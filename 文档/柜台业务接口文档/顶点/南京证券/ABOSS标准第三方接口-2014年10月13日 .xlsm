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B7FE6334-C1A2-E50D-BD3D-5F4D41BBC2E3}"/>
  <workbookPr codeName="ThisWorkbook"/>
  <bookViews>
    <workbookView xWindow="0" yWindow="0" windowWidth="20400" windowHeight="10710" tabRatio="470" firstSheet="1" activeTab="3"/>
  </bookViews>
  <sheets>
    <sheet name="封面" sheetId="1" r:id="rId1"/>
    <sheet name="修订说明" sheetId="2" r:id="rId2"/>
    <sheet name="功能索引" sheetId="3" r:id="rId3"/>
    <sheet name="接口信息" sheetId="4" r:id="rId4"/>
    <sheet name="基本字段定义" sheetId="5" r:id="rId5"/>
    <sheet name="交易类别" sheetId="6" r:id="rId6"/>
    <sheet name="数据字典" sheetId="7" r:id="rId7"/>
    <sheet name="市场参数" sheetId="8" r:id="rId8"/>
  </sheets>
  <calcPr calcId="144525"/>
</workbook>
</file>

<file path=xl/calcChain.xml><?xml version="1.0" encoding="utf-8"?>
<calcChain xmlns="http://schemas.openxmlformats.org/spreadsheetml/2006/main">
  <c r="D65" i="4" l="1"/>
  <c r="D62" i="4"/>
  <c r="D67" i="4"/>
  <c r="D66" i="4"/>
  <c r="D64" i="4"/>
  <c r="G58" i="4"/>
  <c r="C58" i="4"/>
  <c r="D1564" i="4"/>
  <c r="D1563" i="4" l="1"/>
  <c r="D1598" i="4"/>
  <c r="D1596" i="4"/>
  <c r="D1597" i="4"/>
  <c r="D1593" i="4"/>
  <c r="D1594" i="4"/>
  <c r="D1588" i="4"/>
  <c r="D1589" i="4"/>
  <c r="D1590" i="4"/>
  <c r="D1591" i="4"/>
  <c r="D1592" i="4"/>
  <c r="D1587" i="4"/>
  <c r="D1585" i="4"/>
  <c r="D1586" i="4"/>
  <c r="D1582" i="4"/>
  <c r="D1583" i="4"/>
  <c r="D1584" i="4"/>
  <c r="D1578" i="4"/>
  <c r="D1576" i="4"/>
  <c r="D1577" i="4"/>
  <c r="D1574" i="4"/>
  <c r="D1575" i="4"/>
  <c r="D1573" i="4"/>
  <c r="D1572" i="4"/>
  <c r="D1571" i="4"/>
  <c r="D1569" i="4"/>
  <c r="D1562" i="4"/>
  <c r="D915" i="4" l="1"/>
  <c r="D3803" i="4"/>
  <c r="D3802" i="4"/>
  <c r="D3801" i="4"/>
  <c r="D3800" i="4"/>
  <c r="D3799" i="4"/>
  <c r="D3798" i="4"/>
  <c r="D3797" i="4"/>
  <c r="D3796" i="4"/>
  <c r="D3795" i="4"/>
  <c r="D3788" i="4"/>
  <c r="D3785" i="4"/>
  <c r="D3784" i="4"/>
  <c r="D3783" i="4"/>
  <c r="D3782" i="4"/>
  <c r="D3781" i="4"/>
  <c r="D3780" i="4"/>
  <c r="D3779" i="4"/>
  <c r="D3778" i="4"/>
  <c r="D3777" i="4"/>
  <c r="D3776" i="4"/>
  <c r="D3775" i="4"/>
  <c r="D3774" i="4"/>
  <c r="D3773" i="4"/>
  <c r="D3772" i="4"/>
  <c r="D3764" i="4"/>
  <c r="D3763" i="4"/>
  <c r="D3762" i="4"/>
  <c r="D3761" i="4"/>
  <c r="D3760" i="4"/>
  <c r="D3759" i="4"/>
  <c r="D3751" i="4"/>
  <c r="D3750" i="4"/>
  <c r="D3748" i="4"/>
  <c r="D3747" i="4"/>
  <c r="D3746" i="4"/>
  <c r="D3738" i="4"/>
  <c r="D3737" i="4"/>
  <c r="D3736" i="4"/>
  <c r="D3735" i="4"/>
  <c r="D3734" i="4"/>
  <c r="D3727" i="4"/>
  <c r="D3726" i="4"/>
  <c r="D3725" i="4"/>
  <c r="D3724" i="4"/>
  <c r="D3723" i="4"/>
  <c r="D3722" i="4"/>
  <c r="D3721" i="4"/>
  <c r="D3720" i="4"/>
  <c r="D3719" i="4"/>
  <c r="D3718" i="4"/>
  <c r="D3717" i="4"/>
  <c r="D3716" i="4"/>
  <c r="D3715" i="4"/>
  <c r="D3708" i="4"/>
  <c r="D3707" i="4"/>
  <c r="D3706" i="4"/>
  <c r="D3705" i="4"/>
  <c r="D3704" i="4"/>
  <c r="D3703" i="4"/>
  <c r="D3702" i="4"/>
  <c r="D3701" i="4"/>
  <c r="D3700" i="4"/>
  <c r="D3699" i="4"/>
  <c r="D3698" i="4"/>
  <c r="D3697" i="4"/>
  <c r="D3696" i="4"/>
  <c r="D3695" i="4"/>
  <c r="D3694" i="4"/>
  <c r="D3693" i="4"/>
  <c r="D3692" i="4"/>
  <c r="D3691" i="4"/>
  <c r="G3687" i="4"/>
  <c r="C3687" i="4"/>
  <c r="D3684" i="4"/>
  <c r="D3683" i="4"/>
  <c r="D3682" i="4"/>
  <c r="D3681" i="4"/>
  <c r="D3680" i="4"/>
  <c r="D3679" i="4"/>
  <c r="D3678" i="4"/>
  <c r="D3677" i="4"/>
  <c r="D3676" i="4"/>
  <c r="D3675" i="4"/>
  <c r="D3674" i="4"/>
  <c r="D3673" i="4"/>
  <c r="D3672" i="4"/>
  <c r="D3671" i="4"/>
  <c r="D3670" i="4"/>
  <c r="D3669" i="4"/>
  <c r="D3668" i="4"/>
  <c r="D3667" i="4"/>
  <c r="D3666" i="4"/>
  <c r="D3665" i="4"/>
  <c r="D3664" i="4"/>
  <c r="D3663" i="4"/>
  <c r="D3662" i="4"/>
  <c r="D3661" i="4"/>
  <c r="D3660" i="4"/>
  <c r="D3659" i="4"/>
  <c r="D3658" i="4"/>
  <c r="D3657" i="4"/>
  <c r="D3656" i="4"/>
  <c r="D3655" i="4"/>
  <c r="D3654" i="4"/>
  <c r="D3653" i="4"/>
  <c r="D3652" i="4"/>
  <c r="D3651" i="4"/>
  <c r="D3650" i="4"/>
  <c r="D3649" i="4"/>
  <c r="D3648" i="4"/>
  <c r="D3647" i="4"/>
  <c r="D3646" i="4"/>
  <c r="D3645" i="4"/>
  <c r="D3644" i="4"/>
  <c r="D3643" i="4"/>
  <c r="D3642" i="4"/>
  <c r="D3641" i="4"/>
  <c r="D3640" i="4"/>
  <c r="D3639" i="4"/>
  <c r="G3635" i="4"/>
  <c r="C3635" i="4"/>
  <c r="D3632" i="4"/>
  <c r="D3631" i="4"/>
  <c r="D3630" i="4"/>
  <c r="D3629" i="4"/>
  <c r="D3628" i="4"/>
  <c r="D3627" i="4"/>
  <c r="D3626" i="4"/>
  <c r="D3625" i="4"/>
  <c r="D3624" i="4"/>
  <c r="D3617" i="4"/>
  <c r="D3616" i="4"/>
  <c r="D3615" i="4"/>
  <c r="D3614" i="4"/>
  <c r="D3613" i="4"/>
  <c r="D3612" i="4"/>
  <c r="D3611" i="4"/>
  <c r="D3610" i="4"/>
  <c r="D3609" i="4"/>
  <c r="D3608" i="4"/>
  <c r="D3607" i="4"/>
  <c r="D3606" i="4"/>
  <c r="D3605" i="4"/>
  <c r="D3604" i="4"/>
  <c r="D3603" i="4"/>
  <c r="D3602" i="4"/>
  <c r="D3601" i="4"/>
  <c r="D3600" i="4"/>
  <c r="D3599" i="4"/>
  <c r="D3598" i="4"/>
  <c r="D3597" i="4"/>
  <c r="D3596" i="4"/>
  <c r="D3595" i="4"/>
  <c r="D3594" i="4"/>
  <c r="D3593" i="4"/>
  <c r="D3592" i="4"/>
  <c r="G3588" i="4"/>
  <c r="C3588" i="4"/>
  <c r="D3584" i="4"/>
  <c r="D3583" i="4"/>
  <c r="D3582" i="4"/>
  <c r="D3581" i="4"/>
  <c r="D3580" i="4"/>
  <c r="D3579" i="4"/>
  <c r="D3578" i="4"/>
  <c r="D3577" i="4"/>
  <c r="D3576" i="4"/>
  <c r="D3575" i="4"/>
  <c r="D3574" i="4"/>
  <c r="D3573" i="4"/>
  <c r="D3572" i="4"/>
  <c r="D3571" i="4"/>
  <c r="D3570" i="4"/>
  <c r="D3569" i="4"/>
  <c r="D3568" i="4"/>
  <c r="D3567" i="4"/>
  <c r="G3563" i="4"/>
  <c r="C3563" i="4"/>
  <c r="D3559" i="4"/>
  <c r="D3558" i="4"/>
  <c r="D3557" i="4"/>
  <c r="D3556" i="4"/>
  <c r="D3555" i="4"/>
  <c r="D3554" i="4"/>
  <c r="D3553" i="4"/>
  <c r="D3552" i="4"/>
  <c r="D3551" i="4"/>
  <c r="D3550" i="4"/>
  <c r="D3549" i="4"/>
  <c r="D3548" i="4"/>
  <c r="G3544" i="4"/>
  <c r="C3544" i="4"/>
  <c r="D3541" i="4"/>
  <c r="D3540" i="4"/>
  <c r="D3539" i="4"/>
  <c r="D3538" i="4"/>
  <c r="D3537" i="4"/>
  <c r="D3536" i="4"/>
  <c r="D3535" i="4"/>
  <c r="D3534" i="4"/>
  <c r="D3533" i="4"/>
  <c r="D3532" i="4"/>
  <c r="D3531" i="4"/>
  <c r="D3530" i="4"/>
  <c r="D3529" i="4"/>
  <c r="D3528" i="4"/>
  <c r="D3527" i="4"/>
  <c r="D3525" i="4"/>
  <c r="D3524" i="4"/>
  <c r="D3523" i="4"/>
  <c r="G3519" i="4"/>
  <c r="C3519" i="4"/>
  <c r="D3511" i="4"/>
  <c r="D3510" i="4"/>
  <c r="D3509" i="4"/>
  <c r="D3508" i="4"/>
  <c r="D3507" i="4"/>
  <c r="D3506" i="4"/>
  <c r="D3505" i="4"/>
  <c r="D3504" i="4"/>
  <c r="D3503" i="4"/>
  <c r="G3499" i="4"/>
  <c r="C3499" i="4"/>
  <c r="D3496" i="4"/>
  <c r="D3495" i="4"/>
  <c r="D3494" i="4"/>
  <c r="D3493" i="4"/>
  <c r="D3492" i="4"/>
  <c r="D3491" i="4"/>
  <c r="D3490" i="4"/>
  <c r="D3489" i="4"/>
  <c r="D3488" i="4"/>
  <c r="D3487" i="4"/>
  <c r="D3485" i="4"/>
  <c r="D3484" i="4"/>
  <c r="D3483" i="4"/>
  <c r="D3481" i="4"/>
  <c r="D3480" i="4"/>
  <c r="D3479" i="4"/>
  <c r="D3478" i="4"/>
  <c r="D3477" i="4"/>
  <c r="G3473" i="4"/>
  <c r="C3473" i="4"/>
  <c r="D3470" i="4"/>
  <c r="D3469" i="4"/>
  <c r="D3468" i="4"/>
  <c r="D3467" i="4"/>
  <c r="D3466" i="4"/>
  <c r="D3465" i="4"/>
  <c r="D3464" i="4"/>
  <c r="D3463" i="4"/>
  <c r="D3462" i="4"/>
  <c r="D3461" i="4"/>
  <c r="D3460" i="4"/>
  <c r="D3459" i="4"/>
  <c r="D3458" i="4"/>
  <c r="D3457" i="4"/>
  <c r="D3456" i="4"/>
  <c r="D3455" i="4"/>
  <c r="D3454" i="4"/>
  <c r="D3453" i="4"/>
  <c r="D3452" i="4"/>
  <c r="D3451" i="4"/>
  <c r="D3450" i="4"/>
  <c r="D3449" i="4"/>
  <c r="D3448" i="4"/>
  <c r="D3447" i="4"/>
  <c r="D3446" i="4"/>
  <c r="D3445" i="4"/>
  <c r="D3444" i="4"/>
  <c r="D3443" i="4"/>
  <c r="D3442" i="4"/>
  <c r="D3441" i="4"/>
  <c r="D3440" i="4"/>
  <c r="D3439" i="4"/>
  <c r="D3438" i="4"/>
  <c r="D3437" i="4"/>
  <c r="D3436" i="4"/>
  <c r="D3435" i="4"/>
  <c r="D3434" i="4"/>
  <c r="D3433" i="4"/>
  <c r="D3432" i="4"/>
  <c r="D3431" i="4"/>
  <c r="D3430" i="4"/>
  <c r="D3429" i="4"/>
  <c r="D3428" i="4"/>
  <c r="D3427" i="4"/>
  <c r="D3426" i="4"/>
  <c r="D3425" i="4"/>
  <c r="D3424" i="4"/>
  <c r="D3423" i="4"/>
  <c r="D3422" i="4"/>
  <c r="D3421" i="4"/>
  <c r="D3420" i="4"/>
  <c r="D3419" i="4"/>
  <c r="D3418" i="4"/>
  <c r="D3417" i="4"/>
  <c r="D3416" i="4"/>
  <c r="D3415" i="4"/>
  <c r="D3414" i="4"/>
  <c r="D3413" i="4"/>
  <c r="D3412" i="4"/>
  <c r="D3411" i="4"/>
  <c r="D3410" i="4"/>
  <c r="D3409" i="4"/>
  <c r="D3408" i="4"/>
  <c r="D3407" i="4"/>
  <c r="D3406" i="4"/>
  <c r="D3405" i="4"/>
  <c r="D3404" i="4"/>
  <c r="D3403" i="4"/>
  <c r="D3402" i="4"/>
  <c r="D3401" i="4"/>
  <c r="D3400" i="4"/>
  <c r="D3399" i="4"/>
  <c r="D3398" i="4"/>
  <c r="D3397" i="4"/>
  <c r="D3396" i="4"/>
  <c r="D3395" i="4"/>
  <c r="D3394" i="4"/>
  <c r="D3393" i="4"/>
  <c r="D3392" i="4"/>
  <c r="D3391" i="4"/>
  <c r="D3390" i="4"/>
  <c r="D3389" i="4"/>
  <c r="D3388" i="4"/>
  <c r="D3387" i="4"/>
  <c r="D3386" i="4"/>
  <c r="G3382" i="4"/>
  <c r="C3382" i="4"/>
  <c r="D3379" i="4"/>
  <c r="D3378" i="4"/>
  <c r="D3377" i="4"/>
  <c r="D3376" i="4"/>
  <c r="D3375" i="4"/>
  <c r="D3374" i="4"/>
  <c r="D3373" i="4"/>
  <c r="D3372" i="4"/>
  <c r="D3371" i="4"/>
  <c r="D3370" i="4"/>
  <c r="D3369" i="4"/>
  <c r="D3368" i="4"/>
  <c r="D3367" i="4"/>
  <c r="D3366" i="4"/>
  <c r="D3365" i="4"/>
  <c r="D3364" i="4"/>
  <c r="D3363" i="4"/>
  <c r="D3362" i="4"/>
  <c r="D3361" i="4"/>
  <c r="D3360" i="4"/>
  <c r="D3359" i="4"/>
  <c r="D3358" i="4"/>
  <c r="D3357" i="4"/>
  <c r="G3353" i="4"/>
  <c r="C3353" i="4"/>
  <c r="D3349" i="4"/>
  <c r="D3348" i="4"/>
  <c r="D3347" i="4"/>
  <c r="D3346" i="4"/>
  <c r="D3345" i="4"/>
  <c r="D3344" i="4"/>
  <c r="D3343" i="4"/>
  <c r="D3342" i="4"/>
  <c r="D3341" i="4"/>
  <c r="D3340" i="4"/>
  <c r="D3339" i="4"/>
  <c r="D3338" i="4"/>
  <c r="D3337" i="4"/>
  <c r="D3336" i="4"/>
  <c r="D3335" i="4"/>
  <c r="D3334" i="4"/>
  <c r="D3333" i="4"/>
  <c r="D3332" i="4"/>
  <c r="G3328" i="4"/>
  <c r="C3328" i="4"/>
  <c r="D3325" i="4"/>
  <c r="D3324" i="4"/>
  <c r="D3323" i="4"/>
  <c r="D3322" i="4"/>
  <c r="D3321" i="4"/>
  <c r="D3320" i="4"/>
  <c r="D3319" i="4"/>
  <c r="D3318" i="4"/>
  <c r="D3317" i="4"/>
  <c r="D3316" i="4"/>
  <c r="D3315" i="4"/>
  <c r="D3314" i="4"/>
  <c r="D3313" i="4"/>
  <c r="D3312" i="4"/>
  <c r="D3311" i="4"/>
  <c r="D3310" i="4"/>
  <c r="D3309" i="4"/>
  <c r="D3308" i="4"/>
  <c r="D3307" i="4"/>
  <c r="D3306" i="4"/>
  <c r="D3305" i="4"/>
  <c r="D3304" i="4"/>
  <c r="D3303" i="4"/>
  <c r="D3302" i="4"/>
  <c r="D3301" i="4"/>
  <c r="D3300" i="4"/>
  <c r="D3299" i="4"/>
  <c r="D3298" i="4"/>
  <c r="D3297" i="4"/>
  <c r="D3296" i="4"/>
  <c r="D3295" i="4"/>
  <c r="D3294" i="4"/>
  <c r="D3293" i="4"/>
  <c r="D3292" i="4"/>
  <c r="D3291" i="4"/>
  <c r="D3290" i="4"/>
  <c r="D3289" i="4"/>
  <c r="D3288" i="4"/>
  <c r="D3287" i="4"/>
  <c r="D3286" i="4"/>
  <c r="D3285" i="4"/>
  <c r="D3284" i="4"/>
  <c r="D3283" i="4"/>
  <c r="D3282" i="4"/>
  <c r="D3281" i="4"/>
  <c r="D3280" i="4"/>
  <c r="D3279" i="4"/>
  <c r="D3278" i="4"/>
  <c r="D3277" i="4"/>
  <c r="D3276" i="4"/>
  <c r="D3275" i="4"/>
  <c r="D3274" i="4"/>
  <c r="D3273" i="4"/>
  <c r="D3272" i="4"/>
  <c r="D3271" i="4"/>
  <c r="D3270" i="4"/>
  <c r="D3269" i="4"/>
  <c r="D3268" i="4"/>
  <c r="D3267" i="4"/>
  <c r="D3266" i="4"/>
  <c r="G3262" i="4"/>
  <c r="C3262" i="4"/>
  <c r="D3258" i="4"/>
  <c r="D3257" i="4"/>
  <c r="D3256" i="4"/>
  <c r="D3254" i="4"/>
  <c r="D3253" i="4"/>
  <c r="D3252" i="4"/>
  <c r="D3251" i="4"/>
  <c r="D3250" i="4"/>
  <c r="D3249" i="4"/>
  <c r="D3248" i="4"/>
  <c r="D3247" i="4"/>
  <c r="D3246" i="4"/>
  <c r="D3245" i="4"/>
  <c r="D3244" i="4"/>
  <c r="D3243" i="4"/>
  <c r="D3242" i="4"/>
  <c r="D3241" i="4"/>
  <c r="D3240" i="4"/>
  <c r="D3239" i="4"/>
  <c r="D3238" i="4"/>
  <c r="D3237" i="4"/>
  <c r="D3236" i="4"/>
  <c r="D3229" i="4"/>
  <c r="D3228" i="4"/>
  <c r="D3227" i="4"/>
  <c r="D3226" i="4"/>
  <c r="D3225" i="4"/>
  <c r="D3224" i="4"/>
  <c r="D3223" i="4"/>
  <c r="D3222" i="4"/>
  <c r="D3221" i="4"/>
  <c r="D3220" i="4"/>
  <c r="D3213" i="4"/>
  <c r="D3212" i="4"/>
  <c r="D3211" i="4"/>
  <c r="D3210" i="4"/>
  <c r="D3209" i="4"/>
  <c r="D3208" i="4"/>
  <c r="D3207" i="4"/>
  <c r="D3206" i="4"/>
  <c r="D3205" i="4"/>
  <c r="D3204" i="4"/>
  <c r="D3203" i="4"/>
  <c r="D3202" i="4"/>
  <c r="D3201" i="4"/>
  <c r="D3200" i="4"/>
  <c r="D3199" i="4"/>
  <c r="D3198" i="4"/>
  <c r="D3197" i="4"/>
  <c r="D3196" i="4"/>
  <c r="D3194" i="4"/>
  <c r="D3193" i="4"/>
  <c r="D3192" i="4"/>
  <c r="G3188" i="4"/>
  <c r="C3188" i="4"/>
  <c r="D3184" i="4"/>
  <c r="D3183" i="4"/>
  <c r="D3182" i="4"/>
  <c r="D3180" i="4"/>
  <c r="D3179" i="4"/>
  <c r="D3178" i="4"/>
  <c r="D3177" i="4"/>
  <c r="D3176" i="4"/>
  <c r="D3175" i="4"/>
  <c r="D3174" i="4"/>
  <c r="D3173" i="4"/>
  <c r="D3172" i="4"/>
  <c r="D3171" i="4"/>
  <c r="D3170" i="4"/>
  <c r="D3169" i="4"/>
  <c r="G3165" i="4"/>
  <c r="C3165" i="4"/>
  <c r="D3162" i="4"/>
  <c r="D3161" i="4"/>
  <c r="D3160" i="4"/>
  <c r="D3159" i="4"/>
  <c r="D3158" i="4"/>
  <c r="D3157" i="4"/>
  <c r="D3156" i="4"/>
  <c r="D3155" i="4"/>
  <c r="D3154" i="4"/>
  <c r="D3153" i="4"/>
  <c r="D3152" i="4"/>
  <c r="D3151" i="4"/>
  <c r="D3150" i="4"/>
  <c r="D3149" i="4"/>
  <c r="D3148" i="4"/>
  <c r="D3147" i="4"/>
  <c r="D3140" i="4"/>
  <c r="D3139" i="4"/>
  <c r="D3138" i="4"/>
  <c r="D3137" i="4"/>
  <c r="D3136" i="4"/>
  <c r="D3135" i="4"/>
  <c r="D3134" i="4"/>
  <c r="D3133" i="4"/>
  <c r="D3132" i="4"/>
  <c r="D3131" i="4"/>
  <c r="D3130" i="4"/>
  <c r="D3129" i="4"/>
  <c r="D3128" i="4"/>
  <c r="D3127" i="4"/>
  <c r="D3126" i="4"/>
  <c r="D3125" i="4"/>
  <c r="D3124" i="4"/>
  <c r="D3123" i="4"/>
  <c r="D3122" i="4"/>
  <c r="D3121" i="4"/>
  <c r="D3120" i="4"/>
  <c r="D3119" i="4"/>
  <c r="D3118" i="4"/>
  <c r="D3117" i="4"/>
  <c r="D3116" i="4"/>
  <c r="D3115" i="4"/>
  <c r="D3114" i="4"/>
  <c r="D3113" i="4"/>
  <c r="D3106" i="4"/>
  <c r="D3105" i="4"/>
  <c r="D3104" i="4"/>
  <c r="D3103" i="4"/>
  <c r="D3102" i="4"/>
  <c r="D3101" i="4"/>
  <c r="D3100" i="4"/>
  <c r="D3099" i="4"/>
  <c r="D3098" i="4"/>
  <c r="D3097" i="4"/>
  <c r="D3096" i="4"/>
  <c r="D3095" i="4"/>
  <c r="D3094" i="4"/>
  <c r="D3093" i="4"/>
  <c r="D3092" i="4"/>
  <c r="D3091" i="4"/>
  <c r="D3090" i="4"/>
  <c r="D3082" i="4"/>
  <c r="D3081" i="4"/>
  <c r="D3080" i="4"/>
  <c r="D3079" i="4"/>
  <c r="D3078" i="4"/>
  <c r="D3077" i="4"/>
  <c r="D3076" i="4"/>
  <c r="D3075" i="4"/>
  <c r="D3074" i="4"/>
  <c r="D3073" i="4"/>
  <c r="D3072" i="4"/>
  <c r="D3071" i="4"/>
  <c r="D3070" i="4"/>
  <c r="D3069" i="4"/>
  <c r="D3068" i="4"/>
  <c r="D3067" i="4"/>
  <c r="D3066" i="4"/>
  <c r="D3065" i="4"/>
  <c r="D3064" i="4"/>
  <c r="D3063" i="4"/>
  <c r="D3062" i="4"/>
  <c r="D3061" i="4"/>
  <c r="D3054" i="4"/>
  <c r="D3053" i="4"/>
  <c r="D3052" i="4"/>
  <c r="D3051" i="4"/>
  <c r="D3050" i="4"/>
  <c r="D3049" i="4"/>
  <c r="D3048" i="4"/>
  <c r="D3047" i="4"/>
  <c r="D3046" i="4"/>
  <c r="D3045" i="4"/>
  <c r="D3044" i="4"/>
  <c r="D3043" i="4"/>
  <c r="D3042" i="4"/>
  <c r="D3041" i="4"/>
  <c r="D3040" i="4"/>
  <c r="D3039" i="4"/>
  <c r="D3038" i="4"/>
  <c r="D3037" i="4"/>
  <c r="D3030" i="4"/>
  <c r="D3029" i="4"/>
  <c r="D3028" i="4"/>
  <c r="D3027" i="4"/>
  <c r="D3026" i="4"/>
  <c r="D3025" i="4"/>
  <c r="D3024" i="4"/>
  <c r="D3023" i="4"/>
  <c r="D3022" i="4"/>
  <c r="D3021" i="4"/>
  <c r="D3020" i="4"/>
  <c r="D3019" i="4"/>
  <c r="D3018" i="4"/>
  <c r="D3017" i="4"/>
  <c r="D3016" i="4"/>
  <c r="D3015" i="4"/>
  <c r="D3014" i="4"/>
  <c r="D3013" i="4"/>
  <c r="D3012" i="4"/>
  <c r="D3011" i="4"/>
  <c r="D3010" i="4"/>
  <c r="D3009" i="4"/>
  <c r="D3008" i="4"/>
  <c r="D3007" i="4"/>
  <c r="D3006" i="4"/>
  <c r="D3005" i="4"/>
  <c r="D3004" i="4"/>
  <c r="D3003" i="4"/>
  <c r="D3002" i="4"/>
  <c r="D3001" i="4"/>
  <c r="D3000" i="4"/>
  <c r="D2992" i="4"/>
  <c r="D2991" i="4"/>
  <c r="D2990" i="4"/>
  <c r="D2989" i="4"/>
  <c r="D2988" i="4"/>
  <c r="D2987" i="4"/>
  <c r="D2986" i="4"/>
  <c r="D2985" i="4"/>
  <c r="D2984" i="4"/>
  <c r="D2976" i="4"/>
  <c r="D2975" i="4"/>
  <c r="D2974" i="4"/>
  <c r="D2973" i="4"/>
  <c r="D2972" i="4"/>
  <c r="D2971" i="4"/>
  <c r="D2963" i="4"/>
  <c r="D2962" i="4"/>
  <c r="D2961" i="4"/>
  <c r="D2960" i="4"/>
  <c r="D2956" i="4"/>
  <c r="D2955" i="4"/>
  <c r="D2954" i="4"/>
  <c r="D2953" i="4"/>
  <c r="D2952" i="4"/>
  <c r="D2951" i="4"/>
  <c r="D2950" i="4"/>
  <c r="D2949" i="4"/>
  <c r="D2948" i="4"/>
  <c r="D2947" i="4"/>
  <c r="D2939" i="4"/>
  <c r="D2938" i="4"/>
  <c r="D2937" i="4"/>
  <c r="D2936" i="4"/>
  <c r="D2935" i="4"/>
  <c r="D2934" i="4"/>
  <c r="C2930" i="4"/>
  <c r="D2926" i="4"/>
  <c r="D2925" i="4"/>
  <c r="D2924" i="4"/>
  <c r="D2923" i="4"/>
  <c r="D2922" i="4"/>
  <c r="D2921" i="4"/>
  <c r="D2920" i="4"/>
  <c r="D2919" i="4"/>
  <c r="D2918" i="4"/>
  <c r="C2914" i="4"/>
  <c r="D2910" i="4"/>
  <c r="D2909" i="4"/>
  <c r="D2908" i="4"/>
  <c r="D2907" i="4"/>
  <c r="D2906" i="4"/>
  <c r="D2905" i="4"/>
  <c r="D2904" i="4"/>
  <c r="D2903" i="4"/>
  <c r="D2902" i="4"/>
  <c r="D2901" i="4"/>
  <c r="D2900" i="4"/>
  <c r="D2899" i="4"/>
  <c r="D2898" i="4"/>
  <c r="D2897" i="4"/>
  <c r="D2896" i="4"/>
  <c r="D2895" i="4"/>
  <c r="D2894" i="4"/>
  <c r="D2893" i="4"/>
  <c r="D2892" i="4"/>
  <c r="D2891" i="4"/>
  <c r="D2890" i="4"/>
  <c r="D2889" i="4"/>
  <c r="D2888" i="4"/>
  <c r="G2884" i="4"/>
  <c r="C2884" i="4"/>
  <c r="D2881" i="4"/>
  <c r="D2880" i="4"/>
  <c r="D2879" i="4"/>
  <c r="D2878" i="4"/>
  <c r="D2877" i="4"/>
  <c r="D2876" i="4"/>
  <c r="D2875" i="4"/>
  <c r="D2874" i="4"/>
  <c r="D2873" i="4"/>
  <c r="D2872" i="4"/>
  <c r="D2871" i="4"/>
  <c r="D2870" i="4"/>
  <c r="D2869" i="4"/>
  <c r="D2868" i="4"/>
  <c r="D2867" i="4"/>
  <c r="D2866" i="4"/>
  <c r="D2865" i="4"/>
  <c r="D2864" i="4"/>
  <c r="D2863" i="4"/>
  <c r="D2862" i="4"/>
  <c r="D2861" i="4"/>
  <c r="D2860" i="4"/>
  <c r="D2859" i="4"/>
  <c r="D2858" i="4"/>
  <c r="D2857" i="4"/>
  <c r="D2856" i="4"/>
  <c r="D2855" i="4"/>
  <c r="D2854" i="4"/>
  <c r="D2853" i="4"/>
  <c r="D2852" i="4"/>
  <c r="D2851" i="4"/>
  <c r="D2850" i="4"/>
  <c r="D2849" i="4"/>
  <c r="D2848" i="4"/>
  <c r="D2847" i="4"/>
  <c r="D2846" i="4"/>
  <c r="D2845" i="4"/>
  <c r="D2844" i="4"/>
  <c r="D2843" i="4"/>
  <c r="D2842" i="4"/>
  <c r="D2841" i="4"/>
  <c r="D2840" i="4"/>
  <c r="D2839" i="4"/>
  <c r="D2838" i="4"/>
  <c r="D2837" i="4"/>
  <c r="D2836" i="4"/>
  <c r="D2835" i="4"/>
  <c r="D2834" i="4"/>
  <c r="D2833" i="4"/>
  <c r="D2832" i="4"/>
  <c r="D2831" i="4"/>
  <c r="D2830" i="4"/>
  <c r="D2829" i="4"/>
  <c r="D2828" i="4"/>
  <c r="D2827" i="4"/>
  <c r="D2826" i="4"/>
  <c r="D2825" i="4"/>
  <c r="D2824" i="4"/>
  <c r="D2823" i="4"/>
  <c r="D2822" i="4"/>
  <c r="D2821" i="4"/>
  <c r="D2820" i="4"/>
  <c r="D2819" i="4"/>
  <c r="D2818" i="4"/>
  <c r="D2817" i="4"/>
  <c r="D2816" i="4"/>
  <c r="D2815" i="4"/>
  <c r="D2814" i="4"/>
  <c r="G2810" i="4"/>
  <c r="C2810" i="4"/>
  <c r="D2806" i="4"/>
  <c r="D2805" i="4"/>
  <c r="D2804" i="4"/>
  <c r="D2803" i="4"/>
  <c r="D2802" i="4"/>
  <c r="D2801" i="4"/>
  <c r="D2800" i="4"/>
  <c r="D2799" i="4"/>
  <c r="D2798" i="4"/>
  <c r="D2797" i="4"/>
  <c r="D2796" i="4"/>
  <c r="D2795" i="4"/>
  <c r="D2794" i="4"/>
  <c r="D2793" i="4"/>
  <c r="D2792" i="4"/>
  <c r="D2791" i="4"/>
  <c r="D2790" i="4"/>
  <c r="D2789" i="4"/>
  <c r="G2785" i="4"/>
  <c r="C2785" i="4"/>
  <c r="D2781" i="4"/>
  <c r="D2780" i="4"/>
  <c r="D2779" i="4"/>
  <c r="D2778" i="4"/>
  <c r="D2777" i="4"/>
  <c r="D2776" i="4"/>
  <c r="D2775" i="4"/>
  <c r="D2774" i="4"/>
  <c r="D2773" i="4"/>
  <c r="D2772" i="4"/>
  <c r="D2771" i="4"/>
  <c r="D2770" i="4"/>
  <c r="D2769" i="4"/>
  <c r="D2768" i="4"/>
  <c r="D2767" i="4"/>
  <c r="D2766" i="4"/>
  <c r="D2765" i="4"/>
  <c r="D2764" i="4"/>
  <c r="D2763" i="4"/>
  <c r="D2762" i="4"/>
  <c r="G2758" i="4"/>
  <c r="C2758" i="4"/>
  <c r="D2754" i="4"/>
  <c r="D2753" i="4"/>
  <c r="D2752" i="4"/>
  <c r="D2751" i="4"/>
  <c r="D2750" i="4"/>
  <c r="D2749" i="4"/>
  <c r="D2748" i="4"/>
  <c r="D2747" i="4"/>
  <c r="D2746" i="4"/>
  <c r="D2745" i="4"/>
  <c r="D2744" i="4"/>
  <c r="D2743" i="4"/>
  <c r="D2742" i="4"/>
  <c r="D2741" i="4"/>
  <c r="D2740" i="4"/>
  <c r="D2738" i="4"/>
  <c r="D2737" i="4"/>
  <c r="D2736" i="4"/>
  <c r="D2735" i="4"/>
  <c r="D2734" i="4"/>
  <c r="G2730" i="4"/>
  <c r="C2730" i="4"/>
  <c r="D2726" i="4"/>
  <c r="D2725" i="4"/>
  <c r="D2724" i="4"/>
  <c r="D2723" i="4"/>
  <c r="D2722" i="4"/>
  <c r="D2721" i="4"/>
  <c r="D2720" i="4"/>
  <c r="D2719" i="4"/>
  <c r="D2718" i="4"/>
  <c r="D2717" i="4"/>
  <c r="D2716" i="4"/>
  <c r="D2715" i="4"/>
  <c r="D2714" i="4"/>
  <c r="D2713" i="4"/>
  <c r="D2712" i="4"/>
  <c r="D2711" i="4"/>
  <c r="G2707" i="4"/>
  <c r="C2707" i="4"/>
  <c r="D2703" i="4"/>
  <c r="D2702" i="4"/>
  <c r="D2701" i="4"/>
  <c r="D2700" i="4"/>
  <c r="D2699" i="4"/>
  <c r="D2698" i="4"/>
  <c r="D2697" i="4"/>
  <c r="D2696" i="4"/>
  <c r="D2695" i="4"/>
  <c r="D2694" i="4"/>
  <c r="D2693" i="4"/>
  <c r="D2692" i="4"/>
  <c r="D2691" i="4"/>
  <c r="D2690" i="4"/>
  <c r="D2689" i="4"/>
  <c r="D2688" i="4"/>
  <c r="D2687" i="4"/>
  <c r="D2686" i="4"/>
  <c r="D2685" i="4"/>
  <c r="D2683" i="4"/>
  <c r="D2682" i="4"/>
  <c r="D2681" i="4"/>
  <c r="D2680" i="4"/>
  <c r="D2679" i="4"/>
  <c r="D2678" i="4"/>
  <c r="G2674" i="4"/>
  <c r="C2674" i="4"/>
  <c r="D2670" i="4"/>
  <c r="D2669" i="4"/>
  <c r="D2668" i="4"/>
  <c r="D2667" i="4"/>
  <c r="D2666" i="4"/>
  <c r="D2665" i="4"/>
  <c r="D2664" i="4"/>
  <c r="D2663" i="4"/>
  <c r="D2662" i="4"/>
  <c r="D2661" i="4"/>
  <c r="D2660" i="4"/>
  <c r="D2659" i="4"/>
  <c r="D2658" i="4"/>
  <c r="D2657" i="4"/>
  <c r="D2656" i="4"/>
  <c r="D2655" i="4"/>
  <c r="D2654" i="4"/>
  <c r="D2653" i="4"/>
  <c r="D2652" i="4"/>
  <c r="D2651" i="4"/>
  <c r="D2650" i="4"/>
  <c r="D2649" i="4"/>
  <c r="D2648" i="4"/>
  <c r="D2647" i="4"/>
  <c r="D2646" i="4"/>
  <c r="G2642" i="4"/>
  <c r="C2642" i="4"/>
  <c r="D2638" i="4"/>
  <c r="D2637" i="4"/>
  <c r="D2636" i="4"/>
  <c r="D2635" i="4"/>
  <c r="D2634" i="4"/>
  <c r="D2633" i="4"/>
  <c r="D2632" i="4"/>
  <c r="D2631" i="4"/>
  <c r="D2630" i="4"/>
  <c r="D2629" i="4"/>
  <c r="D2628" i="4"/>
  <c r="D2627" i="4"/>
  <c r="D2626" i="4"/>
  <c r="D2625" i="4"/>
  <c r="D2624" i="4"/>
  <c r="D2623" i="4"/>
  <c r="D2622" i="4"/>
  <c r="D2621" i="4"/>
  <c r="D2620" i="4"/>
  <c r="D2619" i="4"/>
  <c r="D2618" i="4"/>
  <c r="D2617" i="4"/>
  <c r="D2616" i="4"/>
  <c r="D2615" i="4"/>
  <c r="D2614" i="4"/>
  <c r="D2613" i="4"/>
  <c r="D2612" i="4"/>
  <c r="D2611" i="4"/>
  <c r="D2610" i="4"/>
  <c r="D2609" i="4"/>
  <c r="D2608" i="4"/>
  <c r="D2607" i="4"/>
  <c r="D2606" i="4"/>
  <c r="D2605" i="4"/>
  <c r="D2604" i="4"/>
  <c r="D2603" i="4"/>
  <c r="D2602" i="4"/>
  <c r="G2598" i="4"/>
  <c r="C2598" i="4"/>
  <c r="D2594" i="4"/>
  <c r="D2593" i="4"/>
  <c r="D2592" i="4"/>
  <c r="D2591" i="4"/>
  <c r="D2590" i="4"/>
  <c r="D2589" i="4"/>
  <c r="D2588" i="4"/>
  <c r="D2587" i="4"/>
  <c r="D2586" i="4"/>
  <c r="D2585" i="4"/>
  <c r="D2584" i="4"/>
  <c r="D2583" i="4"/>
  <c r="D2582" i="4"/>
  <c r="D2581" i="4"/>
  <c r="D2580" i="4"/>
  <c r="D2579" i="4"/>
  <c r="D2578" i="4"/>
  <c r="D2577" i="4"/>
  <c r="D2576" i="4"/>
  <c r="D2575" i="4"/>
  <c r="D2574" i="4"/>
  <c r="D2573" i="4"/>
  <c r="D2572" i="4"/>
  <c r="D2571" i="4"/>
  <c r="D2570" i="4"/>
  <c r="D2569" i="4"/>
  <c r="D2568" i="4"/>
  <c r="D2567" i="4"/>
  <c r="D2566" i="4"/>
  <c r="D2565" i="4"/>
  <c r="D2564" i="4"/>
  <c r="D2563" i="4"/>
  <c r="G2559" i="4"/>
  <c r="C2559" i="4"/>
  <c r="D2555" i="4"/>
  <c r="D2554" i="4"/>
  <c r="D2553" i="4"/>
  <c r="D2552" i="4"/>
  <c r="D2551" i="4"/>
  <c r="D2549" i="4"/>
  <c r="D2548" i="4"/>
  <c r="G2544" i="4"/>
  <c r="C2544" i="4"/>
  <c r="D2540" i="4"/>
  <c r="D2539" i="4"/>
  <c r="D2538" i="4"/>
  <c r="D2537" i="4"/>
  <c r="D2536" i="4"/>
  <c r="D2535" i="4"/>
  <c r="D2534" i="4"/>
  <c r="D2533" i="4"/>
  <c r="D2532" i="4"/>
  <c r="D2531" i="4"/>
  <c r="D2530" i="4"/>
  <c r="D2529" i="4"/>
  <c r="D2528" i="4"/>
  <c r="D2527" i="4"/>
  <c r="D2526" i="4"/>
  <c r="D2525" i="4"/>
  <c r="D2524" i="4"/>
  <c r="D2523" i="4"/>
  <c r="D2522" i="4"/>
  <c r="D2521" i="4"/>
  <c r="D2520" i="4"/>
  <c r="D2519" i="4"/>
  <c r="D2518" i="4"/>
  <c r="D2517" i="4"/>
  <c r="D2516" i="4"/>
  <c r="D2515" i="4"/>
  <c r="D2514" i="4"/>
  <c r="D2513" i="4"/>
  <c r="D2512" i="4"/>
  <c r="D2511" i="4"/>
  <c r="D2510" i="4"/>
  <c r="D2509" i="4"/>
  <c r="D2508" i="4"/>
  <c r="D2507" i="4"/>
  <c r="G2503" i="4"/>
  <c r="C2503" i="4"/>
  <c r="D2499" i="4"/>
  <c r="D2498" i="4"/>
  <c r="D2497" i="4"/>
  <c r="D2496" i="4"/>
  <c r="D2495" i="4"/>
  <c r="D2494" i="4"/>
  <c r="G2490" i="4"/>
  <c r="C2490" i="4"/>
  <c r="D2486" i="4"/>
  <c r="D2485" i="4"/>
  <c r="D2484" i="4"/>
  <c r="D2483" i="4"/>
  <c r="D2482" i="4"/>
  <c r="D2481" i="4"/>
  <c r="D2480" i="4"/>
  <c r="D2479" i="4"/>
  <c r="D2478" i="4"/>
  <c r="D2477" i="4"/>
  <c r="D2476" i="4"/>
  <c r="D2475" i="4"/>
  <c r="D2474" i="4"/>
  <c r="D2473" i="4"/>
  <c r="D2472" i="4"/>
  <c r="D2471" i="4"/>
  <c r="D2470" i="4"/>
  <c r="G2466" i="4"/>
  <c r="C2466" i="4"/>
  <c r="D2462" i="4"/>
  <c r="D2461" i="4"/>
  <c r="D2460" i="4"/>
  <c r="D2459" i="4"/>
  <c r="D2458" i="4"/>
  <c r="D2457" i="4"/>
  <c r="D2456" i="4"/>
  <c r="D2455" i="4"/>
  <c r="D2454" i="4"/>
  <c r="G2450" i="4"/>
  <c r="C2450" i="4"/>
  <c r="D2446" i="4"/>
  <c r="D2445" i="4"/>
  <c r="D2444" i="4"/>
  <c r="D2443" i="4"/>
  <c r="D2442" i="4"/>
  <c r="D2441" i="4"/>
  <c r="D2440" i="4"/>
  <c r="D2439" i="4"/>
  <c r="D2438" i="4"/>
  <c r="D2437" i="4"/>
  <c r="D2436" i="4"/>
  <c r="D2435" i="4"/>
  <c r="D2434" i="4"/>
  <c r="D2433" i="4"/>
  <c r="D2432" i="4"/>
  <c r="D2431" i="4"/>
  <c r="D2430" i="4"/>
  <c r="D2429" i="4"/>
  <c r="D2428" i="4"/>
  <c r="D2427" i="4"/>
  <c r="D2426" i="4"/>
  <c r="D2425" i="4"/>
  <c r="D2424" i="4"/>
  <c r="D2423" i="4"/>
  <c r="D2422" i="4"/>
  <c r="D2421" i="4"/>
  <c r="D2420" i="4"/>
  <c r="D2419" i="4"/>
  <c r="D2418" i="4"/>
  <c r="D2417" i="4"/>
  <c r="D2416" i="4"/>
  <c r="D2415" i="4"/>
  <c r="D2414" i="4"/>
  <c r="D2413" i="4"/>
  <c r="D2412" i="4"/>
  <c r="D2411" i="4"/>
  <c r="D2410" i="4"/>
  <c r="D2409" i="4"/>
  <c r="D2408" i="4"/>
  <c r="D2407" i="4"/>
  <c r="D2406" i="4"/>
  <c r="D2405" i="4"/>
  <c r="D2404" i="4"/>
  <c r="D2403" i="4"/>
  <c r="G2399" i="4"/>
  <c r="C2399" i="4"/>
  <c r="D2392" i="4"/>
  <c r="D2391" i="4"/>
  <c r="D2390" i="4"/>
  <c r="D2389" i="4"/>
  <c r="D2388" i="4"/>
  <c r="D2387" i="4"/>
  <c r="D2386" i="4"/>
  <c r="D2385" i="4"/>
  <c r="D2384" i="4"/>
  <c r="D2383" i="4"/>
  <c r="D2382" i="4"/>
  <c r="D2381" i="4"/>
  <c r="D2380" i="4"/>
  <c r="D2379" i="4"/>
  <c r="D2378" i="4"/>
  <c r="D2377" i="4"/>
  <c r="D2376" i="4"/>
  <c r="D2375" i="4"/>
  <c r="D2374" i="4"/>
  <c r="D2373" i="4"/>
  <c r="D2372" i="4"/>
  <c r="D2371" i="4"/>
  <c r="D2370" i="4"/>
  <c r="D2369" i="4"/>
  <c r="D2368" i="4"/>
  <c r="D2367" i="4"/>
  <c r="D2366" i="4"/>
  <c r="D2365" i="4"/>
  <c r="D2364" i="4"/>
  <c r="D2363" i="4"/>
  <c r="D2362" i="4"/>
  <c r="D2361" i="4"/>
  <c r="D2360" i="4"/>
  <c r="D2359" i="4"/>
  <c r="D2358" i="4"/>
  <c r="D2357" i="4"/>
  <c r="D2356" i="4"/>
  <c r="D2355" i="4"/>
  <c r="D2354" i="4"/>
  <c r="D2353" i="4"/>
  <c r="D2352" i="4"/>
  <c r="D2351" i="4"/>
  <c r="D2350" i="4"/>
  <c r="D2349" i="4"/>
  <c r="D2348" i="4"/>
  <c r="D2347" i="4"/>
  <c r="D2346" i="4"/>
  <c r="D2345" i="4"/>
  <c r="D2344" i="4"/>
  <c r="D2343" i="4"/>
  <c r="D2342" i="4"/>
  <c r="D2341" i="4"/>
  <c r="D2340" i="4"/>
  <c r="D2339" i="4"/>
  <c r="D2338" i="4"/>
  <c r="D2337" i="4"/>
  <c r="D2336" i="4"/>
  <c r="D2335" i="4"/>
  <c r="D2334" i="4"/>
  <c r="D2333" i="4"/>
  <c r="D2332" i="4"/>
  <c r="D2331" i="4"/>
  <c r="D2330" i="4"/>
  <c r="D2329" i="4"/>
  <c r="D2328" i="4"/>
  <c r="D2327" i="4"/>
  <c r="D2326" i="4"/>
  <c r="D2325" i="4"/>
  <c r="D2324" i="4"/>
  <c r="D2323" i="4"/>
  <c r="G2319" i="4"/>
  <c r="C2319" i="4"/>
  <c r="D2315" i="4"/>
  <c r="D2314" i="4"/>
  <c r="D2313" i="4"/>
  <c r="D2312" i="4"/>
  <c r="D2311" i="4"/>
  <c r="D2310" i="4"/>
  <c r="G2306" i="4"/>
  <c r="C2306" i="4"/>
  <c r="D2302" i="4"/>
  <c r="D2301" i="4"/>
  <c r="D2300" i="4"/>
  <c r="D2299" i="4"/>
  <c r="D2298" i="4"/>
  <c r="D2297" i="4"/>
  <c r="D2296" i="4"/>
  <c r="D2295" i="4"/>
  <c r="D2294" i="4"/>
  <c r="D2293" i="4"/>
  <c r="D2292" i="4"/>
  <c r="G2288" i="4"/>
  <c r="C2288" i="4"/>
  <c r="D2284" i="4"/>
  <c r="D2283" i="4"/>
  <c r="D2282" i="4"/>
  <c r="D2281" i="4"/>
  <c r="D2280" i="4"/>
  <c r="D2279" i="4"/>
  <c r="D2278" i="4"/>
  <c r="D2277" i="4"/>
  <c r="D2276" i="4"/>
  <c r="D2275" i="4"/>
  <c r="D2274" i="4"/>
  <c r="D2273" i="4"/>
  <c r="G2269" i="4"/>
  <c r="C2269" i="4"/>
  <c r="D2265" i="4"/>
  <c r="D2264" i="4"/>
  <c r="D2263" i="4"/>
  <c r="D2262" i="4"/>
  <c r="D2261" i="4"/>
  <c r="D2260" i="4"/>
  <c r="D2259" i="4"/>
  <c r="D2258" i="4"/>
  <c r="D2257" i="4"/>
  <c r="G2253" i="4"/>
  <c r="C2253" i="4"/>
  <c r="D2249" i="4"/>
  <c r="D2248" i="4"/>
  <c r="D2247" i="4"/>
  <c r="D2246" i="4"/>
  <c r="D2245" i="4"/>
  <c r="D2244" i="4"/>
  <c r="G2240" i="4"/>
  <c r="C2240" i="4"/>
  <c r="D2236" i="4"/>
  <c r="D2235" i="4"/>
  <c r="D2234" i="4"/>
  <c r="D2233" i="4"/>
  <c r="D2232" i="4"/>
  <c r="D2231" i="4"/>
  <c r="D2230" i="4"/>
  <c r="D2229" i="4"/>
  <c r="D2228" i="4"/>
  <c r="G2224" i="4"/>
  <c r="C2224" i="4"/>
  <c r="D2220" i="4"/>
  <c r="D2219" i="4"/>
  <c r="D2218" i="4"/>
  <c r="D2217" i="4"/>
  <c r="D2216" i="4"/>
  <c r="D2215" i="4"/>
  <c r="D2214" i="4"/>
  <c r="D2213" i="4"/>
  <c r="D2212" i="4"/>
  <c r="G2208" i="4"/>
  <c r="C2208" i="4"/>
  <c r="D2204" i="4"/>
  <c r="D2203" i="4"/>
  <c r="D2202" i="4"/>
  <c r="D2201" i="4"/>
  <c r="D2200" i="4"/>
  <c r="D2199" i="4"/>
  <c r="D2198" i="4"/>
  <c r="D2197" i="4"/>
  <c r="D2196" i="4"/>
  <c r="D2195" i="4"/>
  <c r="G2191" i="4"/>
  <c r="C2191" i="4"/>
  <c r="D2187" i="4"/>
  <c r="D2186" i="4"/>
  <c r="D2185" i="4"/>
  <c r="D2184" i="4"/>
  <c r="D2183" i="4"/>
  <c r="D2182" i="4"/>
  <c r="D2181" i="4"/>
  <c r="D2180" i="4"/>
  <c r="D2179" i="4"/>
  <c r="D2178" i="4"/>
  <c r="D2177" i="4"/>
  <c r="D2176" i="4"/>
  <c r="G2172" i="4"/>
  <c r="C2172" i="4"/>
  <c r="D2168" i="4"/>
  <c r="D2167" i="4"/>
  <c r="D2166" i="4"/>
  <c r="D2165" i="4"/>
  <c r="D2164" i="4"/>
  <c r="D2163" i="4"/>
  <c r="D2162" i="4"/>
  <c r="D2161" i="4"/>
  <c r="D2160" i="4"/>
  <c r="D2159" i="4"/>
  <c r="D2158" i="4"/>
  <c r="D2157" i="4"/>
  <c r="D2156" i="4"/>
  <c r="D2155" i="4"/>
  <c r="D2154" i="4"/>
  <c r="D2153" i="4"/>
  <c r="D2152" i="4"/>
  <c r="D2151" i="4"/>
  <c r="D2150" i="4"/>
  <c r="D2149" i="4"/>
  <c r="D2148" i="4"/>
  <c r="D2147" i="4"/>
  <c r="D2146" i="4"/>
  <c r="D2145" i="4"/>
  <c r="D2144" i="4"/>
  <c r="D2143" i="4"/>
  <c r="D2142" i="4"/>
  <c r="D2141" i="4"/>
  <c r="D2140" i="4"/>
  <c r="D2139" i="4"/>
  <c r="D2138" i="4"/>
  <c r="D2137" i="4"/>
  <c r="D2136" i="4"/>
  <c r="D2135" i="4"/>
  <c r="D2134" i="4"/>
  <c r="D2133" i="4"/>
  <c r="D2132" i="4"/>
  <c r="D2131" i="4"/>
  <c r="D2130" i="4"/>
  <c r="D2129" i="4"/>
  <c r="D2128" i="4"/>
  <c r="D2127" i="4"/>
  <c r="D2126" i="4"/>
  <c r="D2125" i="4"/>
  <c r="D2124" i="4"/>
  <c r="D2123" i="4"/>
  <c r="D2122" i="4"/>
  <c r="D2121" i="4"/>
  <c r="D2120" i="4"/>
  <c r="D2119" i="4"/>
  <c r="D2118" i="4"/>
  <c r="D2117" i="4"/>
  <c r="D2116" i="4"/>
  <c r="D2115" i="4"/>
  <c r="D2114" i="4"/>
  <c r="D2113" i="4"/>
  <c r="D2112" i="4"/>
  <c r="G2108" i="4"/>
  <c r="C2108" i="4"/>
  <c r="D2105" i="4"/>
  <c r="D2104" i="4"/>
  <c r="D2103" i="4"/>
  <c r="D2102" i="4"/>
  <c r="D2101" i="4"/>
  <c r="D2100" i="4"/>
  <c r="D2099" i="4"/>
  <c r="D2098" i="4"/>
  <c r="D2097" i="4"/>
  <c r="D2096" i="4"/>
  <c r="D2095" i="4"/>
  <c r="D2094" i="4"/>
  <c r="D2093" i="4"/>
  <c r="D2092" i="4"/>
  <c r="D2091" i="4"/>
  <c r="G2087" i="4"/>
  <c r="C2087" i="4"/>
  <c r="D2072" i="4"/>
  <c r="D2071" i="4"/>
  <c r="D2070" i="4"/>
  <c r="D2069" i="4"/>
  <c r="D2068" i="4"/>
  <c r="D2067" i="4"/>
  <c r="D2066" i="4"/>
  <c r="D2064" i="4"/>
  <c r="D2063" i="4"/>
  <c r="D2062" i="4"/>
  <c r="D2061" i="4"/>
  <c r="D2060" i="4"/>
  <c r="G2056" i="4"/>
  <c r="C2056" i="4"/>
  <c r="D2052" i="4"/>
  <c r="D2051" i="4"/>
  <c r="D2050" i="4"/>
  <c r="D2049" i="4"/>
  <c r="D2048" i="4"/>
  <c r="D2047" i="4"/>
  <c r="D2046" i="4"/>
  <c r="G2042" i="4"/>
  <c r="C2042" i="4"/>
  <c r="D2038" i="4"/>
  <c r="D2037" i="4"/>
  <c r="D2036" i="4"/>
  <c r="D2035" i="4"/>
  <c r="D2034" i="4"/>
  <c r="G2030" i="4"/>
  <c r="C2030" i="4"/>
  <c r="D2026" i="4"/>
  <c r="D2025" i="4"/>
  <c r="D2024" i="4"/>
  <c r="D2023" i="4"/>
  <c r="D2022" i="4"/>
  <c r="D2021" i="4"/>
  <c r="D2020" i="4"/>
  <c r="D2019" i="4"/>
  <c r="G2015" i="4"/>
  <c r="C2015" i="4"/>
  <c r="D2008" i="4"/>
  <c r="D2007" i="4"/>
  <c r="D2006" i="4"/>
  <c r="D2005" i="4"/>
  <c r="D2004" i="4"/>
  <c r="D2003" i="4"/>
  <c r="D2002" i="4"/>
  <c r="D2001" i="4"/>
  <c r="D2000" i="4"/>
  <c r="D1999" i="4"/>
  <c r="G1995" i="4"/>
  <c r="C1995" i="4"/>
  <c r="D1991" i="4"/>
  <c r="D1990" i="4"/>
  <c r="D1989" i="4"/>
  <c r="D1988" i="4"/>
  <c r="D1987" i="4"/>
  <c r="D1986" i="4"/>
  <c r="D1985" i="4"/>
  <c r="G1981" i="4"/>
  <c r="C1981" i="4"/>
  <c r="D1977" i="4"/>
  <c r="D1976" i="4"/>
  <c r="G1971" i="4"/>
  <c r="C1971" i="4"/>
  <c r="D1967" i="4"/>
  <c r="D1966" i="4"/>
  <c r="D1965" i="4"/>
  <c r="D1964" i="4"/>
  <c r="G1960" i="4"/>
  <c r="C1960" i="4"/>
  <c r="D1956" i="4"/>
  <c r="D1955" i="4"/>
  <c r="D1954" i="4"/>
  <c r="D1953" i="4"/>
  <c r="D1952" i="4"/>
  <c r="D1951" i="4"/>
  <c r="D1950" i="4"/>
  <c r="D1949" i="4"/>
  <c r="D1948" i="4"/>
  <c r="D1947" i="4"/>
  <c r="D1946" i="4"/>
  <c r="D1945" i="4"/>
  <c r="D1944" i="4"/>
  <c r="D1943" i="4"/>
  <c r="D1942" i="4"/>
  <c r="D1941" i="4"/>
  <c r="D1940" i="4"/>
  <c r="G1936" i="4"/>
  <c r="C1936" i="4"/>
  <c r="D1932" i="4"/>
  <c r="D1929" i="4"/>
  <c r="D1927" i="4"/>
  <c r="D1926" i="4"/>
  <c r="D1925" i="4"/>
  <c r="D1924" i="4"/>
  <c r="D1923" i="4"/>
  <c r="D1922" i="4"/>
  <c r="D1921" i="4"/>
  <c r="D1920" i="4"/>
  <c r="D1919" i="4"/>
  <c r="D1918" i="4"/>
  <c r="D1917" i="4"/>
  <c r="D1916" i="4"/>
  <c r="G1912" i="4"/>
  <c r="C1912" i="4"/>
  <c r="D1908" i="4"/>
  <c r="D1907" i="4"/>
  <c r="D1906" i="4"/>
  <c r="D1905" i="4"/>
  <c r="D1904" i="4"/>
  <c r="G1900" i="4"/>
  <c r="C1900" i="4"/>
  <c r="D1896" i="4"/>
  <c r="D1895" i="4"/>
  <c r="D1894" i="4"/>
  <c r="D1893" i="4"/>
  <c r="D1892" i="4"/>
  <c r="D1891" i="4"/>
  <c r="D1890" i="4"/>
  <c r="D1889" i="4"/>
  <c r="D1888" i="4"/>
  <c r="D1887" i="4"/>
  <c r="D1886" i="4"/>
  <c r="G1882" i="4"/>
  <c r="C1882" i="4"/>
  <c r="D1878" i="4"/>
  <c r="D1877" i="4"/>
  <c r="D1876" i="4"/>
  <c r="D1875" i="4"/>
  <c r="D1874" i="4"/>
  <c r="D1873" i="4"/>
  <c r="D1872" i="4"/>
  <c r="D1871" i="4"/>
  <c r="D1870" i="4"/>
  <c r="D1869" i="4"/>
  <c r="D1868" i="4"/>
  <c r="D1867" i="4"/>
  <c r="D1866" i="4"/>
  <c r="D1865" i="4"/>
  <c r="G1861" i="4"/>
  <c r="C1861" i="4"/>
  <c r="D1857" i="4"/>
  <c r="D1856" i="4"/>
  <c r="D1855" i="4"/>
  <c r="D1854" i="4"/>
  <c r="D1853" i="4"/>
  <c r="G1849" i="4"/>
  <c r="C1849" i="4"/>
  <c r="D1845" i="4"/>
  <c r="D1844" i="4"/>
  <c r="D1843" i="4"/>
  <c r="D1842" i="4"/>
  <c r="D1841" i="4"/>
  <c r="D1840" i="4"/>
  <c r="D1839" i="4"/>
  <c r="D1838" i="4"/>
  <c r="D1837" i="4"/>
  <c r="D1836" i="4"/>
  <c r="D1835" i="4"/>
  <c r="D1834" i="4"/>
  <c r="D1833" i="4"/>
  <c r="D1832" i="4"/>
  <c r="D1831" i="4"/>
  <c r="D1830" i="4"/>
  <c r="D1829" i="4"/>
  <c r="D1828" i="4"/>
  <c r="D1827" i="4"/>
  <c r="D1826" i="4"/>
  <c r="G1822" i="4"/>
  <c r="C1822" i="4"/>
  <c r="D1818" i="4"/>
  <c r="D1817" i="4"/>
  <c r="D1816" i="4"/>
  <c r="D1815" i="4"/>
  <c r="G1811" i="4"/>
  <c r="C1811" i="4"/>
  <c r="D1807" i="4"/>
  <c r="D1806" i="4"/>
  <c r="D1805" i="4"/>
  <c r="D1804" i="4"/>
  <c r="D1803" i="4"/>
  <c r="D1802" i="4"/>
  <c r="D1801" i="4"/>
  <c r="D1800" i="4"/>
  <c r="D1799" i="4"/>
  <c r="D1798" i="4"/>
  <c r="D1797" i="4"/>
  <c r="D1796" i="4"/>
  <c r="G1792" i="4"/>
  <c r="C1792" i="4"/>
  <c r="D1788" i="4"/>
  <c r="D1787" i="4"/>
  <c r="D1786" i="4"/>
  <c r="D1785" i="4"/>
  <c r="D1784" i="4"/>
  <c r="D1783" i="4"/>
  <c r="D1782" i="4"/>
  <c r="D1781" i="4"/>
  <c r="D1780" i="4"/>
  <c r="G1776" i="4"/>
  <c r="C1776" i="4"/>
  <c r="D1772" i="4"/>
  <c r="D1771" i="4"/>
  <c r="D1770" i="4"/>
  <c r="D1769" i="4"/>
  <c r="D1768" i="4"/>
  <c r="D1767" i="4"/>
  <c r="D1766" i="4"/>
  <c r="D1765" i="4"/>
  <c r="D1764" i="4"/>
  <c r="D1762" i="4"/>
  <c r="G1758" i="4"/>
  <c r="C1758" i="4"/>
  <c r="D1754" i="4"/>
  <c r="D1753" i="4"/>
  <c r="D1752" i="4"/>
  <c r="D1751" i="4"/>
  <c r="D1750" i="4"/>
  <c r="D1749" i="4"/>
  <c r="D1748" i="4"/>
  <c r="D1747" i="4"/>
  <c r="D1746" i="4"/>
  <c r="D1745" i="4"/>
  <c r="D1744" i="4"/>
  <c r="D1743" i="4"/>
  <c r="G1739" i="4"/>
  <c r="C1739" i="4"/>
  <c r="D1735" i="4"/>
  <c r="D1734" i="4"/>
  <c r="D1733" i="4"/>
  <c r="D1732" i="4"/>
  <c r="G1728" i="4"/>
  <c r="C1728" i="4"/>
  <c r="D1724" i="4"/>
  <c r="D1723" i="4"/>
  <c r="D1722" i="4"/>
  <c r="D1721" i="4"/>
  <c r="D1720" i="4"/>
  <c r="G1716" i="4"/>
  <c r="C1716" i="4"/>
  <c r="D1712" i="4"/>
  <c r="D1711" i="4"/>
  <c r="D1710" i="4"/>
  <c r="D1709" i="4"/>
  <c r="D1708" i="4"/>
  <c r="D1707" i="4"/>
  <c r="G1703" i="4"/>
  <c r="C1703" i="4"/>
  <c r="D1699" i="4"/>
  <c r="D1698" i="4"/>
  <c r="D1697" i="4"/>
  <c r="D1696" i="4"/>
  <c r="G1692" i="4"/>
  <c r="C1692" i="4"/>
  <c r="D1688" i="4"/>
  <c r="D1687" i="4"/>
  <c r="D1686" i="4"/>
  <c r="D1685" i="4"/>
  <c r="D1684" i="4"/>
  <c r="D1683" i="4"/>
  <c r="D1682" i="4"/>
  <c r="D1681" i="4"/>
  <c r="D1680" i="4"/>
  <c r="D1679" i="4"/>
  <c r="D1678" i="4"/>
  <c r="D1677" i="4"/>
  <c r="D1676" i="4"/>
  <c r="D1675" i="4"/>
  <c r="G1671" i="4"/>
  <c r="C1671" i="4"/>
  <c r="D1667" i="4"/>
  <c r="D1666" i="4"/>
  <c r="D1665" i="4"/>
  <c r="D1664" i="4"/>
  <c r="G1660" i="4"/>
  <c r="C1660" i="4"/>
  <c r="D1656" i="4"/>
  <c r="D1655" i="4"/>
  <c r="D1654" i="4"/>
  <c r="D1653" i="4"/>
  <c r="D1652" i="4"/>
  <c r="D1651" i="4"/>
  <c r="D1650" i="4"/>
  <c r="D1649" i="4"/>
  <c r="D1648" i="4"/>
  <c r="D1647" i="4"/>
  <c r="D1646" i="4"/>
  <c r="D1645" i="4"/>
  <c r="D1644" i="4"/>
  <c r="G1638" i="4"/>
  <c r="C1638" i="4"/>
  <c r="D1634" i="4"/>
  <c r="D1633" i="4"/>
  <c r="D1632" i="4"/>
  <c r="D1631" i="4"/>
  <c r="D1630" i="4"/>
  <c r="D1629" i="4"/>
  <c r="D1628" i="4"/>
  <c r="D1627" i="4"/>
  <c r="D1626" i="4"/>
  <c r="D1625" i="4"/>
  <c r="D1624" i="4"/>
  <c r="D1623" i="4"/>
  <c r="D1622" i="4"/>
  <c r="D1621" i="4"/>
  <c r="D1620" i="4"/>
  <c r="D1619" i="4"/>
  <c r="G1615" i="4"/>
  <c r="C1615" i="4"/>
  <c r="D1611" i="4"/>
  <c r="D1610" i="4"/>
  <c r="D1609" i="4"/>
  <c r="D1608" i="4"/>
  <c r="D1607" i="4"/>
  <c r="D1606" i="4"/>
  <c r="D1605" i="4"/>
  <c r="G1601" i="4"/>
  <c r="C1601" i="4"/>
  <c r="D1595" i="4"/>
  <c r="D1581" i="4"/>
  <c r="D1580" i="4"/>
  <c r="D1579" i="4"/>
  <c r="D1570" i="4"/>
  <c r="D1568" i="4"/>
  <c r="D1567" i="4"/>
  <c r="D1566" i="4"/>
  <c r="D1565" i="4"/>
  <c r="D1561" i="4"/>
  <c r="D1560" i="4"/>
  <c r="D1559" i="4"/>
  <c r="G1555" i="4"/>
  <c r="C1555" i="4"/>
  <c r="D1551" i="4"/>
  <c r="D1550" i="4"/>
  <c r="D1549" i="4"/>
  <c r="D1548" i="4"/>
  <c r="D1547" i="4"/>
  <c r="D1546" i="4"/>
  <c r="D1545" i="4"/>
  <c r="D1544" i="4"/>
  <c r="D1543" i="4"/>
  <c r="D1542" i="4"/>
  <c r="D1541" i="4"/>
  <c r="D1540" i="4"/>
  <c r="D1539" i="4"/>
  <c r="D1538" i="4"/>
  <c r="D1537" i="4"/>
  <c r="D1536" i="4"/>
  <c r="G1532" i="4"/>
  <c r="C1532" i="4"/>
  <c r="D1528" i="4"/>
  <c r="D1527" i="4"/>
  <c r="D1526" i="4"/>
  <c r="D1525" i="4"/>
  <c r="D1524" i="4"/>
  <c r="D1523" i="4"/>
  <c r="D1522" i="4"/>
  <c r="D1521" i="4"/>
  <c r="D1520" i="4"/>
  <c r="D1519" i="4"/>
  <c r="D1518" i="4"/>
  <c r="D1517" i="4"/>
  <c r="D1516" i="4"/>
  <c r="D1515" i="4"/>
  <c r="D1514" i="4"/>
  <c r="G1510" i="4"/>
  <c r="C1510" i="4"/>
  <c r="D1506" i="4"/>
  <c r="D1505" i="4"/>
  <c r="D1504" i="4"/>
  <c r="D1503" i="4"/>
  <c r="D1502" i="4"/>
  <c r="D1501" i="4"/>
  <c r="D1500" i="4"/>
  <c r="D1499" i="4"/>
  <c r="D1498" i="4"/>
  <c r="D1497" i="4"/>
  <c r="D1496" i="4"/>
  <c r="D1495" i="4"/>
  <c r="D1494" i="4"/>
  <c r="D1493" i="4"/>
  <c r="D1492" i="4"/>
  <c r="G1488" i="4"/>
  <c r="C1488" i="4"/>
  <c r="D1484" i="4"/>
  <c r="D1483" i="4"/>
  <c r="D1482" i="4"/>
  <c r="D1481" i="4"/>
  <c r="D1480" i="4"/>
  <c r="D1479" i="4"/>
  <c r="D1478" i="4"/>
  <c r="D1477" i="4"/>
  <c r="D1476" i="4"/>
  <c r="D1475" i="4"/>
  <c r="D1474" i="4"/>
  <c r="D1473" i="4"/>
  <c r="D1472" i="4"/>
  <c r="D1471" i="4"/>
  <c r="D1470" i="4"/>
  <c r="D1469" i="4"/>
  <c r="D1468" i="4"/>
  <c r="D1467" i="4"/>
  <c r="D1466" i="4"/>
  <c r="G1462" i="4"/>
  <c r="C1462" i="4"/>
  <c r="D1459" i="4"/>
  <c r="D1458" i="4"/>
  <c r="D1457" i="4"/>
  <c r="D1456" i="4"/>
  <c r="D1455" i="4"/>
  <c r="D1454" i="4"/>
  <c r="D1453" i="4"/>
  <c r="D1452" i="4"/>
  <c r="D1451" i="4"/>
  <c r="D1450" i="4"/>
  <c r="G1446" i="4"/>
  <c r="C1446" i="4"/>
  <c r="D1443" i="4"/>
  <c r="D1442" i="4"/>
  <c r="D1441" i="4"/>
  <c r="D1440" i="4"/>
  <c r="D1439" i="4"/>
  <c r="D1438" i="4"/>
  <c r="D1437" i="4"/>
  <c r="D1436" i="4"/>
  <c r="D1435" i="4"/>
  <c r="D1434" i="4"/>
  <c r="D1433" i="4"/>
  <c r="D1432" i="4"/>
  <c r="D1431" i="4"/>
  <c r="G1427" i="4"/>
  <c r="C1427" i="4"/>
  <c r="D1423" i="4"/>
  <c r="D1422" i="4"/>
  <c r="D1421" i="4"/>
  <c r="D1420" i="4"/>
  <c r="D1419" i="4"/>
  <c r="D1418" i="4"/>
  <c r="D1417" i="4"/>
  <c r="D1416" i="4"/>
  <c r="D1415" i="4"/>
  <c r="D1414" i="4"/>
  <c r="D1413" i="4"/>
  <c r="D1412" i="4"/>
  <c r="D1411" i="4"/>
  <c r="D1410" i="4"/>
  <c r="D1409" i="4"/>
  <c r="D1408" i="4"/>
  <c r="D1407" i="4"/>
  <c r="D1406" i="4"/>
  <c r="D1405" i="4"/>
  <c r="D1404" i="4"/>
  <c r="D1403" i="4"/>
  <c r="D1402" i="4"/>
  <c r="D1401" i="4"/>
  <c r="D1400" i="4"/>
  <c r="G1396" i="4"/>
  <c r="C1396" i="4"/>
  <c r="D1392" i="4"/>
  <c r="D1391" i="4"/>
  <c r="D1390" i="4"/>
  <c r="D1389" i="4"/>
  <c r="D1388" i="4"/>
  <c r="D1387" i="4"/>
  <c r="D1386" i="4"/>
  <c r="D1385" i="4"/>
  <c r="D1384" i="4"/>
  <c r="D1383" i="4"/>
  <c r="D1382" i="4"/>
  <c r="D1381" i="4"/>
  <c r="D1380" i="4"/>
  <c r="D1379" i="4"/>
  <c r="D1378" i="4"/>
  <c r="D1377" i="4"/>
  <c r="D1376" i="4"/>
  <c r="D1375" i="4"/>
  <c r="D1374" i="4"/>
  <c r="G1370" i="4"/>
  <c r="C1370" i="4"/>
  <c r="D1366" i="4"/>
  <c r="D1365" i="4"/>
  <c r="D1364" i="4"/>
  <c r="D1363" i="4"/>
  <c r="D1362" i="4"/>
  <c r="D1361" i="4"/>
  <c r="D1360" i="4"/>
  <c r="D1359" i="4"/>
  <c r="D1358" i="4"/>
  <c r="D1357" i="4"/>
  <c r="D1356" i="4"/>
  <c r="D1355" i="4"/>
  <c r="D1354" i="4"/>
  <c r="D1353" i="4"/>
  <c r="D1352" i="4"/>
  <c r="D1351" i="4"/>
  <c r="D1350" i="4"/>
  <c r="D1349" i="4"/>
  <c r="D1348" i="4"/>
  <c r="G1344" i="4"/>
  <c r="C1344" i="4"/>
  <c r="D1340" i="4"/>
  <c r="D1339" i="4"/>
  <c r="D1338" i="4"/>
  <c r="D1337" i="4"/>
  <c r="D1336" i="4"/>
  <c r="D1335" i="4"/>
  <c r="G1331" i="4"/>
  <c r="C1331" i="4"/>
  <c r="D1327" i="4"/>
  <c r="D1326" i="4"/>
  <c r="D1325" i="4"/>
  <c r="D1324" i="4"/>
  <c r="D1323" i="4"/>
  <c r="D1322" i="4"/>
  <c r="D1321" i="4"/>
  <c r="D1320" i="4"/>
  <c r="D1319" i="4"/>
  <c r="D1318" i="4"/>
  <c r="G1314" i="4"/>
  <c r="C1314" i="4"/>
  <c r="D1310" i="4"/>
  <c r="D1309" i="4"/>
  <c r="D1308" i="4"/>
  <c r="D1307" i="4"/>
  <c r="D1306" i="4"/>
  <c r="D1305" i="4"/>
  <c r="D1304" i="4"/>
  <c r="G1300" i="4"/>
  <c r="C1300" i="4"/>
  <c r="D1296" i="4"/>
  <c r="D1295" i="4"/>
  <c r="D1294" i="4"/>
  <c r="D1293" i="4"/>
  <c r="D1292" i="4"/>
  <c r="D1291" i="4"/>
  <c r="D1290" i="4"/>
  <c r="D1289" i="4"/>
  <c r="D1288" i="4"/>
  <c r="D1287" i="4"/>
  <c r="D1286" i="4"/>
  <c r="D1285" i="4"/>
  <c r="D1284" i="4"/>
  <c r="D1283" i="4"/>
  <c r="D1282" i="4"/>
  <c r="G1278" i="4"/>
  <c r="C1278" i="4"/>
  <c r="D1274" i="4"/>
  <c r="D1273" i="4"/>
  <c r="D1272" i="4"/>
  <c r="D1271" i="4"/>
  <c r="D1270" i="4"/>
  <c r="D1269" i="4"/>
  <c r="D1268" i="4"/>
  <c r="D1267" i="4"/>
  <c r="D1266" i="4"/>
  <c r="D1265" i="4"/>
  <c r="D1264" i="4"/>
  <c r="D1263" i="4"/>
  <c r="G1259" i="4"/>
  <c r="C1259" i="4"/>
  <c r="D1255" i="4"/>
  <c r="D1254" i="4"/>
  <c r="D1253" i="4"/>
  <c r="D1252" i="4"/>
  <c r="D1251" i="4"/>
  <c r="D1250" i="4"/>
  <c r="D1249" i="4"/>
  <c r="D1248" i="4"/>
  <c r="D1247" i="4"/>
  <c r="D1246" i="4"/>
  <c r="D1245" i="4"/>
  <c r="D1244" i="4"/>
  <c r="D1243" i="4"/>
  <c r="D1242" i="4"/>
  <c r="D1241" i="4"/>
  <c r="D1240" i="4"/>
  <c r="D1239" i="4"/>
  <c r="D1238" i="4"/>
  <c r="D1237" i="4"/>
  <c r="D1236" i="4"/>
  <c r="G1232" i="4"/>
  <c r="C1232" i="4"/>
  <c r="D1228" i="4"/>
  <c r="D1227" i="4"/>
  <c r="D1226" i="4"/>
  <c r="D1225" i="4"/>
  <c r="D1224" i="4"/>
  <c r="D1223" i="4"/>
  <c r="D1222" i="4"/>
  <c r="D1221" i="4"/>
  <c r="D1220" i="4"/>
  <c r="D1219" i="4"/>
  <c r="D1218" i="4"/>
  <c r="D1217" i="4"/>
  <c r="D1216" i="4"/>
  <c r="D1215" i="4"/>
  <c r="D1214" i="4"/>
  <c r="D1213" i="4"/>
  <c r="D1212" i="4"/>
  <c r="D1211" i="4"/>
  <c r="D1210" i="4"/>
  <c r="G1206" i="4"/>
  <c r="C1206" i="4"/>
  <c r="D1202" i="4"/>
  <c r="D1201" i="4"/>
  <c r="D1200" i="4"/>
  <c r="D1199" i="4"/>
  <c r="D1198" i="4"/>
  <c r="D1197" i="4"/>
  <c r="D1196" i="4"/>
  <c r="D1195" i="4"/>
  <c r="D1194" i="4"/>
  <c r="D1193" i="4"/>
  <c r="D1192" i="4"/>
  <c r="D1191" i="4"/>
  <c r="D1190" i="4"/>
  <c r="D1189" i="4"/>
  <c r="D1188" i="4"/>
  <c r="D1187" i="4"/>
  <c r="D1186" i="4"/>
  <c r="D1185" i="4"/>
  <c r="D1184" i="4"/>
  <c r="D1183" i="4"/>
  <c r="D1182" i="4"/>
  <c r="D1181" i="4"/>
  <c r="D1180" i="4"/>
  <c r="D1179" i="4"/>
  <c r="D1178" i="4"/>
  <c r="D1177" i="4"/>
  <c r="D1176" i="4"/>
  <c r="D1175" i="4"/>
  <c r="D1174" i="4"/>
  <c r="D1173" i="4"/>
  <c r="G1169" i="4"/>
  <c r="C1169" i="4"/>
  <c r="D1165" i="4"/>
  <c r="D1164" i="4"/>
  <c r="D1163" i="4"/>
  <c r="D1162" i="4"/>
  <c r="D1161" i="4"/>
  <c r="D1160" i="4"/>
  <c r="D1159" i="4"/>
  <c r="D1158" i="4"/>
  <c r="D1157" i="4"/>
  <c r="D1156" i="4"/>
  <c r="D1155" i="4"/>
  <c r="D1154" i="4"/>
  <c r="D1153" i="4"/>
  <c r="D1152" i="4"/>
  <c r="D1151" i="4"/>
  <c r="D1150" i="4"/>
  <c r="D1149" i="4"/>
  <c r="D1148" i="4"/>
  <c r="D1147" i="4"/>
  <c r="D1146" i="4"/>
  <c r="D1145" i="4"/>
  <c r="D1144" i="4"/>
  <c r="D1143" i="4"/>
  <c r="D1142" i="4"/>
  <c r="D1141" i="4"/>
  <c r="D1140" i="4"/>
  <c r="D1139" i="4"/>
  <c r="D1138" i="4"/>
  <c r="D1137" i="4"/>
  <c r="D1136" i="4"/>
  <c r="D1135" i="4"/>
  <c r="D1134" i="4"/>
  <c r="D1133" i="4"/>
  <c r="D1132" i="4"/>
  <c r="G1128" i="4"/>
  <c r="C1128" i="4"/>
  <c r="D1124" i="4"/>
  <c r="D1123" i="4"/>
  <c r="D1122" i="4"/>
  <c r="D1121" i="4"/>
  <c r="D1120" i="4"/>
  <c r="D1119" i="4"/>
  <c r="D1118" i="4"/>
  <c r="D1117" i="4"/>
  <c r="D1116" i="4"/>
  <c r="G1112" i="4"/>
  <c r="C1112" i="4"/>
  <c r="D1108" i="4"/>
  <c r="D1107" i="4"/>
  <c r="D1106" i="4"/>
  <c r="D1105" i="4"/>
  <c r="D1104" i="4"/>
  <c r="D1103" i="4"/>
  <c r="D1102" i="4"/>
  <c r="D1101" i="4"/>
  <c r="D1100" i="4"/>
  <c r="D1099" i="4"/>
  <c r="D1098" i="4"/>
  <c r="G1094" i="4"/>
  <c r="C1094" i="4"/>
  <c r="D1090" i="4"/>
  <c r="D1089" i="4"/>
  <c r="D1088" i="4"/>
  <c r="D1087" i="4"/>
  <c r="D1086" i="4"/>
  <c r="D1085" i="4"/>
  <c r="G1081" i="4"/>
  <c r="C1081" i="4"/>
  <c r="D1077" i="4"/>
  <c r="D1076" i="4"/>
  <c r="D1075" i="4"/>
  <c r="D1074" i="4"/>
  <c r="D1073" i="4"/>
  <c r="D1072" i="4"/>
  <c r="D1071" i="4"/>
  <c r="D1070" i="4"/>
  <c r="D1069" i="4"/>
  <c r="D1068" i="4"/>
  <c r="D1067" i="4"/>
  <c r="D1066" i="4"/>
  <c r="D1065" i="4"/>
  <c r="D1064" i="4"/>
  <c r="D1063" i="4"/>
  <c r="D1062" i="4"/>
  <c r="D1061" i="4"/>
  <c r="D1060" i="4"/>
  <c r="D1059" i="4"/>
  <c r="D1058" i="4"/>
  <c r="D1057" i="4"/>
  <c r="D1056" i="4"/>
  <c r="G1052" i="4"/>
  <c r="C1052" i="4"/>
  <c r="D1048" i="4"/>
  <c r="D1047" i="4"/>
  <c r="D1046" i="4"/>
  <c r="D1045" i="4"/>
  <c r="D1044" i="4"/>
  <c r="D1043" i="4"/>
  <c r="D1042" i="4"/>
  <c r="D1041" i="4"/>
  <c r="D1040" i="4"/>
  <c r="D1039" i="4"/>
  <c r="G1035" i="4"/>
  <c r="C1035" i="4"/>
  <c r="D1031" i="4"/>
  <c r="D1030" i="4"/>
  <c r="D1029" i="4"/>
  <c r="D1028" i="4"/>
  <c r="D1027" i="4"/>
  <c r="D1026" i="4"/>
  <c r="G1022" i="4"/>
  <c r="C1022" i="4"/>
  <c r="D1018" i="4"/>
  <c r="D1017" i="4"/>
  <c r="D1016" i="4"/>
  <c r="D1015" i="4"/>
  <c r="D1014" i="4"/>
  <c r="D1013" i="4"/>
  <c r="D1012" i="4"/>
  <c r="D1011" i="4"/>
  <c r="D1010" i="4"/>
  <c r="D1009" i="4"/>
  <c r="D1008" i="4"/>
  <c r="D1007" i="4"/>
  <c r="D1006" i="4"/>
  <c r="D1005" i="4"/>
  <c r="D1004" i="4"/>
  <c r="D1003" i="4"/>
  <c r="D1002" i="4"/>
  <c r="D1001" i="4"/>
  <c r="D1000" i="4"/>
  <c r="D999" i="4"/>
  <c r="D998" i="4"/>
  <c r="D997" i="4"/>
  <c r="G993" i="4"/>
  <c r="C993" i="4"/>
  <c r="D989" i="4"/>
  <c r="D988" i="4"/>
  <c r="D987" i="4"/>
  <c r="D986" i="4"/>
  <c r="D985" i="4"/>
  <c r="D984" i="4"/>
  <c r="D983" i="4"/>
  <c r="D982" i="4"/>
  <c r="D981" i="4"/>
  <c r="D980" i="4"/>
  <c r="G976" i="4"/>
  <c r="C976" i="4"/>
  <c r="D972" i="4"/>
  <c r="D971" i="4"/>
  <c r="D970" i="4"/>
  <c r="D969" i="4"/>
  <c r="D968" i="4"/>
  <c r="G964" i="4"/>
  <c r="C964" i="4"/>
  <c r="D960" i="4"/>
  <c r="D959" i="4"/>
  <c r="D958" i="4"/>
  <c r="D957" i="4"/>
  <c r="D956" i="4"/>
  <c r="D955" i="4"/>
  <c r="D954" i="4"/>
  <c r="D953" i="4"/>
  <c r="G949" i="4"/>
  <c r="C949" i="4"/>
  <c r="D945" i="4"/>
  <c r="D944" i="4"/>
  <c r="D943" i="4"/>
  <c r="D942" i="4"/>
  <c r="D941" i="4"/>
  <c r="D940" i="4"/>
  <c r="D939" i="4"/>
  <c r="D938" i="4"/>
  <c r="D937" i="4"/>
  <c r="D936" i="4"/>
  <c r="G932" i="4"/>
  <c r="C932" i="4"/>
  <c r="D928" i="4"/>
  <c r="D927" i="4"/>
  <c r="D926" i="4"/>
  <c r="D925" i="4"/>
  <c r="D924" i="4"/>
  <c r="D923" i="4"/>
  <c r="D922" i="4"/>
  <c r="D921" i="4"/>
  <c r="D920" i="4"/>
  <c r="D919" i="4"/>
  <c r="D918" i="4"/>
  <c r="D917" i="4"/>
  <c r="D916" i="4"/>
  <c r="D914" i="4"/>
  <c r="D913" i="4"/>
  <c r="D912" i="4"/>
  <c r="D911" i="4"/>
  <c r="D910" i="4"/>
  <c r="D909" i="4"/>
  <c r="D908" i="4"/>
  <c r="D907" i="4"/>
  <c r="D906" i="4"/>
  <c r="D905" i="4"/>
  <c r="D904" i="4"/>
  <c r="D903" i="4"/>
  <c r="D902" i="4"/>
  <c r="D901" i="4"/>
  <c r="D900" i="4"/>
  <c r="D899" i="4"/>
  <c r="D898" i="4"/>
  <c r="D897" i="4"/>
  <c r="D896" i="4"/>
  <c r="D895" i="4"/>
  <c r="D894" i="4"/>
  <c r="G890" i="4"/>
  <c r="C890" i="4"/>
  <c r="D886" i="4"/>
  <c r="D885" i="4"/>
  <c r="D884" i="4"/>
  <c r="D883" i="4"/>
  <c r="D882" i="4"/>
  <c r="D881" i="4"/>
  <c r="D880" i="4"/>
  <c r="D879" i="4"/>
  <c r="G875" i="4"/>
  <c r="C875" i="4"/>
  <c r="D870" i="4"/>
  <c r="D869" i="4"/>
  <c r="D868" i="4"/>
  <c r="D867" i="4"/>
  <c r="D866" i="4"/>
  <c r="D865" i="4"/>
  <c r="D864" i="4"/>
  <c r="G860" i="4"/>
  <c r="C860" i="4"/>
  <c r="D855" i="4"/>
  <c r="D854" i="4"/>
  <c r="D853" i="4"/>
  <c r="D852" i="4"/>
  <c r="D851" i="4"/>
  <c r="D850" i="4"/>
  <c r="G846" i="4"/>
  <c r="C846" i="4"/>
  <c r="D842" i="4"/>
  <c r="D841" i="4"/>
  <c r="D840" i="4"/>
  <c r="D839" i="4"/>
  <c r="D838" i="4"/>
  <c r="D837" i="4"/>
  <c r="D836" i="4"/>
  <c r="G832" i="4"/>
  <c r="C832" i="4"/>
  <c r="D828" i="4"/>
  <c r="D827" i="4"/>
  <c r="D826" i="4"/>
  <c r="D825" i="4"/>
  <c r="D824" i="4"/>
  <c r="D823" i="4"/>
  <c r="D822" i="4"/>
  <c r="D821" i="4"/>
  <c r="D820" i="4"/>
  <c r="D819" i="4"/>
  <c r="D818" i="4"/>
  <c r="D817" i="4"/>
  <c r="D816" i="4"/>
  <c r="G812" i="4"/>
  <c r="C812" i="4"/>
  <c r="D808" i="4"/>
  <c r="D807" i="4"/>
  <c r="D806" i="4"/>
  <c r="D805" i="4"/>
  <c r="D804" i="4"/>
  <c r="D803" i="4"/>
  <c r="D802" i="4"/>
  <c r="D801" i="4"/>
  <c r="D800" i="4"/>
  <c r="G796" i="4"/>
  <c r="C796" i="4"/>
  <c r="D792" i="4"/>
  <c r="D791" i="4"/>
  <c r="D790" i="4"/>
  <c r="D789" i="4"/>
  <c r="D788" i="4"/>
  <c r="D787" i="4"/>
  <c r="D786" i="4"/>
  <c r="D785" i="4"/>
  <c r="D784" i="4"/>
  <c r="D783" i="4"/>
  <c r="D782" i="4"/>
  <c r="D781" i="4"/>
  <c r="D780" i="4"/>
  <c r="D779" i="4"/>
  <c r="G775" i="4"/>
  <c r="C775" i="4"/>
  <c r="D771" i="4"/>
  <c r="D770" i="4"/>
  <c r="D769" i="4"/>
  <c r="D768" i="4"/>
  <c r="D767" i="4"/>
  <c r="D766" i="4"/>
  <c r="D765" i="4"/>
  <c r="D764" i="4"/>
  <c r="D763" i="4"/>
  <c r="D762" i="4"/>
  <c r="D761" i="4"/>
  <c r="D760" i="4"/>
  <c r="C756" i="4"/>
  <c r="D752" i="4"/>
  <c r="D751" i="4"/>
  <c r="D750" i="4"/>
  <c r="D749" i="4"/>
  <c r="D748" i="4"/>
  <c r="D747" i="4"/>
  <c r="D746" i="4"/>
  <c r="D745" i="4"/>
  <c r="G741" i="4"/>
  <c r="C741" i="4"/>
  <c r="D736" i="4"/>
  <c r="D735" i="4"/>
  <c r="D734" i="4"/>
  <c r="D733" i="4"/>
  <c r="D732" i="4"/>
  <c r="D731" i="4"/>
  <c r="D730" i="4"/>
  <c r="D729" i="4"/>
  <c r="D728" i="4"/>
  <c r="D727" i="4"/>
  <c r="D726" i="4"/>
  <c r="D725" i="4"/>
  <c r="D724" i="4"/>
  <c r="D723" i="4"/>
  <c r="D722" i="4"/>
  <c r="D721" i="4"/>
  <c r="D720" i="4"/>
  <c r="D719" i="4"/>
  <c r="D718" i="4"/>
  <c r="D717" i="4"/>
  <c r="D716" i="4"/>
  <c r="D715" i="4"/>
  <c r="D714" i="4"/>
  <c r="D713" i="4"/>
  <c r="D712" i="4"/>
  <c r="D711" i="4"/>
  <c r="D710" i="4"/>
  <c r="D709" i="4"/>
  <c r="D708" i="4"/>
  <c r="D707" i="4"/>
  <c r="D706" i="4"/>
  <c r="D705" i="4"/>
  <c r="D704" i="4"/>
  <c r="D703" i="4"/>
  <c r="D702" i="4"/>
  <c r="D701" i="4"/>
  <c r="D700" i="4"/>
  <c r="D699" i="4"/>
  <c r="D698" i="4"/>
  <c r="D697" i="4"/>
  <c r="D696" i="4"/>
  <c r="G692" i="4"/>
  <c r="C692" i="4"/>
  <c r="D688" i="4"/>
  <c r="D687" i="4"/>
  <c r="D686" i="4"/>
  <c r="D685" i="4"/>
  <c r="D684" i="4"/>
  <c r="D683" i="4"/>
  <c r="D682" i="4"/>
  <c r="D681" i="4"/>
  <c r="D680" i="4"/>
  <c r="D679" i="4"/>
  <c r="D678" i="4"/>
  <c r="G674" i="4"/>
  <c r="C674" i="4"/>
  <c r="D670" i="4"/>
  <c r="D669" i="4"/>
  <c r="D668" i="4"/>
  <c r="D667" i="4"/>
  <c r="D666" i="4"/>
  <c r="D665" i="4"/>
  <c r="D664" i="4"/>
  <c r="G660" i="4"/>
  <c r="C660" i="4"/>
  <c r="D656" i="4"/>
  <c r="D655" i="4"/>
  <c r="D654" i="4"/>
  <c r="D653" i="4"/>
  <c r="D652" i="4"/>
  <c r="D651" i="4"/>
  <c r="D650" i="4"/>
  <c r="D649" i="4"/>
  <c r="D648" i="4"/>
  <c r="D647" i="4"/>
  <c r="D646" i="4"/>
  <c r="D645" i="4"/>
  <c r="D644" i="4"/>
  <c r="D643" i="4"/>
  <c r="G639" i="4"/>
  <c r="C639" i="4"/>
  <c r="D635" i="4"/>
  <c r="D634" i="4"/>
  <c r="D633" i="4"/>
  <c r="D632" i="4"/>
  <c r="D631" i="4"/>
  <c r="D630" i="4"/>
  <c r="D629" i="4"/>
  <c r="D628" i="4"/>
  <c r="D627" i="4"/>
  <c r="D626" i="4"/>
  <c r="C622" i="4"/>
  <c r="D618" i="4"/>
  <c r="D617" i="4"/>
  <c r="D616" i="4"/>
  <c r="D615" i="4"/>
  <c r="D614" i="4"/>
  <c r="D613" i="4"/>
  <c r="D612" i="4"/>
  <c r="D611" i="4"/>
  <c r="D610" i="4"/>
  <c r="D609" i="4"/>
  <c r="D608" i="4"/>
  <c r="G604" i="4"/>
  <c r="C604" i="4"/>
  <c r="D600" i="4"/>
  <c r="D599" i="4"/>
  <c r="D598" i="4"/>
  <c r="D597" i="4"/>
  <c r="D596" i="4"/>
  <c r="D595" i="4"/>
  <c r="D594" i="4"/>
  <c r="D593" i="4"/>
  <c r="D592" i="4"/>
  <c r="D591" i="4"/>
  <c r="G587" i="4"/>
  <c r="C587" i="4"/>
  <c r="D583" i="4"/>
  <c r="D582" i="4"/>
  <c r="D581" i="4"/>
  <c r="D580" i="4"/>
  <c r="D579" i="4"/>
  <c r="D578" i="4"/>
  <c r="D577" i="4"/>
  <c r="D576" i="4"/>
  <c r="D575" i="4"/>
  <c r="D574" i="4"/>
  <c r="D573" i="4"/>
  <c r="G569" i="4"/>
  <c r="C569" i="4"/>
  <c r="D565" i="4"/>
  <c r="D564" i="4"/>
  <c r="D563" i="4"/>
  <c r="D562" i="4"/>
  <c r="D561" i="4"/>
  <c r="D560" i="4"/>
  <c r="D559" i="4"/>
  <c r="D558" i="4"/>
  <c r="D557" i="4"/>
  <c r="D556" i="4"/>
  <c r="D555" i="4"/>
  <c r="G551" i="4"/>
  <c r="C551" i="4"/>
  <c r="D547" i="4"/>
  <c r="D546" i="4"/>
  <c r="D545" i="4"/>
  <c r="D544" i="4"/>
  <c r="D543" i="4"/>
  <c r="D542" i="4"/>
  <c r="D541" i="4"/>
  <c r="G537" i="4"/>
  <c r="C537" i="4"/>
  <c r="D533" i="4"/>
  <c r="D532" i="4"/>
  <c r="D531" i="4"/>
  <c r="D530" i="4"/>
  <c r="D529" i="4"/>
  <c r="D528" i="4"/>
  <c r="D527" i="4"/>
  <c r="D526" i="4"/>
  <c r="D525" i="4"/>
  <c r="D524" i="4"/>
  <c r="D523" i="4"/>
  <c r="D522" i="4"/>
  <c r="D521" i="4"/>
  <c r="D520" i="4"/>
  <c r="D519" i="4"/>
  <c r="D518" i="4"/>
  <c r="D517" i="4"/>
  <c r="G513" i="4"/>
  <c r="C513" i="4"/>
  <c r="D509" i="4"/>
  <c r="D508" i="4"/>
  <c r="D507" i="4"/>
  <c r="D506" i="4"/>
  <c r="D505" i="4"/>
  <c r="D504" i="4"/>
  <c r="D503" i="4"/>
  <c r="D502" i="4"/>
  <c r="D501" i="4"/>
  <c r="D500" i="4"/>
  <c r="G496" i="4"/>
  <c r="C496" i="4"/>
  <c r="D493" i="4"/>
  <c r="D491" i="4"/>
  <c r="D490" i="4"/>
  <c r="D489" i="4"/>
  <c r="D488" i="4"/>
  <c r="D487" i="4"/>
  <c r="D486" i="4"/>
  <c r="D485" i="4"/>
  <c r="D484" i="4"/>
  <c r="D483" i="4"/>
  <c r="D482" i="4"/>
  <c r="G478" i="4"/>
  <c r="C478" i="4"/>
  <c r="D474" i="4"/>
  <c r="D473" i="4"/>
  <c r="D472" i="4"/>
  <c r="D471" i="4"/>
  <c r="D470" i="4"/>
  <c r="D469" i="4"/>
  <c r="D468" i="4"/>
  <c r="D467" i="4"/>
  <c r="D466" i="4"/>
  <c r="G462" i="4"/>
  <c r="C462" i="4"/>
  <c r="D458" i="4"/>
  <c r="D457" i="4"/>
  <c r="D456" i="4"/>
  <c r="D455" i="4"/>
  <c r="D454" i="4"/>
  <c r="D453" i="4"/>
  <c r="D452" i="4"/>
  <c r="D451" i="4"/>
  <c r="D450" i="4"/>
  <c r="D449" i="4"/>
  <c r="D448" i="4"/>
  <c r="D447" i="4"/>
  <c r="D446" i="4"/>
  <c r="D445" i="4"/>
  <c r="D444" i="4"/>
  <c r="D443" i="4"/>
  <c r="G439" i="4"/>
  <c r="C439" i="4"/>
  <c r="D435" i="4"/>
  <c r="D434" i="4"/>
  <c r="D433" i="4"/>
  <c r="D432" i="4"/>
  <c r="D431" i="4"/>
  <c r="D430" i="4"/>
  <c r="D429" i="4"/>
  <c r="D428" i="4"/>
  <c r="D427" i="4"/>
  <c r="D426" i="4"/>
  <c r="D425" i="4"/>
  <c r="D424" i="4"/>
  <c r="D423" i="4"/>
  <c r="D422" i="4"/>
  <c r="D421" i="4"/>
  <c r="D420" i="4"/>
  <c r="G416" i="4"/>
  <c r="C416" i="4"/>
  <c r="D412" i="4"/>
  <c r="D411" i="4"/>
  <c r="D410" i="4"/>
  <c r="D409" i="4"/>
  <c r="D408" i="4"/>
  <c r="D407" i="4"/>
  <c r="G403" i="4"/>
  <c r="C403" i="4"/>
  <c r="D399" i="4"/>
  <c r="D398" i="4"/>
  <c r="D397" i="4"/>
  <c r="D396" i="4"/>
  <c r="D395" i="4"/>
  <c r="D394" i="4"/>
  <c r="D393" i="4"/>
  <c r="D392" i="4"/>
  <c r="G388" i="4"/>
  <c r="C388" i="4"/>
  <c r="D384" i="4"/>
  <c r="D383" i="4"/>
  <c r="D382" i="4"/>
  <c r="D381" i="4"/>
  <c r="D380" i="4"/>
  <c r="G376" i="4"/>
  <c r="C376" i="4"/>
  <c r="D372" i="4"/>
  <c r="D371" i="4"/>
  <c r="D370" i="4"/>
  <c r="D369" i="4"/>
  <c r="G365" i="4"/>
  <c r="C365" i="4"/>
  <c r="D361" i="4"/>
  <c r="D360" i="4"/>
  <c r="D359" i="4"/>
  <c r="D358" i="4"/>
  <c r="D357" i="4"/>
  <c r="D356" i="4"/>
  <c r="G352" i="4"/>
  <c r="C352" i="4"/>
  <c r="D348" i="4"/>
  <c r="D347" i="4"/>
  <c r="D346" i="4"/>
  <c r="D345" i="4"/>
  <c r="D344" i="4"/>
  <c r="D343" i="4"/>
  <c r="G339" i="4"/>
  <c r="C339" i="4"/>
  <c r="D335" i="4"/>
  <c r="D334" i="4"/>
  <c r="D333" i="4"/>
  <c r="D332" i="4"/>
  <c r="D331" i="4"/>
  <c r="D330" i="4"/>
  <c r="D329" i="4"/>
  <c r="G325" i="4"/>
  <c r="C325" i="4"/>
  <c r="D321" i="4"/>
  <c r="D320" i="4"/>
  <c r="D319" i="4"/>
  <c r="D318" i="4"/>
  <c r="D317" i="4"/>
  <c r="D316" i="4"/>
  <c r="G312" i="4"/>
  <c r="C312" i="4"/>
  <c r="D308" i="4"/>
  <c r="D307" i="4"/>
  <c r="D306" i="4"/>
  <c r="D305" i="4"/>
  <c r="D304" i="4"/>
  <c r="G300" i="4"/>
  <c r="C300" i="4"/>
  <c r="D296" i="4"/>
  <c r="D295" i="4"/>
  <c r="D294" i="4"/>
  <c r="D293" i="4"/>
  <c r="G289" i="4"/>
  <c r="C289" i="4"/>
  <c r="D285" i="4"/>
  <c r="D284" i="4"/>
  <c r="D283" i="4"/>
  <c r="D282" i="4"/>
  <c r="D281" i="4"/>
  <c r="D280" i="4"/>
  <c r="D279" i="4"/>
  <c r="D278" i="4"/>
  <c r="G274" i="4"/>
  <c r="C274" i="4"/>
  <c r="D270" i="4"/>
  <c r="D269" i="4"/>
  <c r="D268" i="4"/>
  <c r="D267" i="4"/>
  <c r="D266" i="4"/>
  <c r="D265" i="4"/>
  <c r="D264" i="4"/>
  <c r="D263" i="4"/>
  <c r="D262" i="4"/>
  <c r="D261" i="4"/>
  <c r="D260" i="4"/>
  <c r="G256" i="4"/>
  <c r="C256" i="4"/>
  <c r="D252" i="4"/>
  <c r="D251" i="4"/>
  <c r="D250" i="4"/>
  <c r="D249" i="4"/>
  <c r="G245" i="4"/>
  <c r="C245" i="4"/>
  <c r="D241" i="4"/>
  <c r="D240" i="4"/>
  <c r="D239" i="4"/>
  <c r="D238" i="4"/>
  <c r="D237" i="4"/>
  <c r="D236" i="4"/>
  <c r="G232" i="4"/>
  <c r="C232" i="4"/>
  <c r="D228" i="4"/>
  <c r="D227" i="4"/>
  <c r="D226" i="4"/>
  <c r="D225" i="4"/>
  <c r="D224" i="4"/>
  <c r="D223" i="4"/>
  <c r="D222" i="4"/>
  <c r="D221" i="4"/>
  <c r="D220" i="4"/>
  <c r="D219" i="4"/>
  <c r="D218" i="4"/>
  <c r="D217" i="4"/>
  <c r="D216" i="4"/>
  <c r="G212" i="4"/>
  <c r="C212" i="4"/>
  <c r="D208" i="4"/>
  <c r="D207" i="4"/>
  <c r="D206" i="4"/>
  <c r="D205" i="4"/>
  <c r="D204" i="4"/>
  <c r="D203" i="4"/>
  <c r="D202" i="4"/>
  <c r="D201" i="4"/>
  <c r="D200" i="4"/>
  <c r="D199" i="4"/>
  <c r="D198" i="4"/>
  <c r="D197" i="4"/>
  <c r="D196" i="4"/>
  <c r="D195" i="4"/>
  <c r="D194" i="4"/>
  <c r="D193" i="4"/>
  <c r="D192" i="4"/>
  <c r="D191" i="4"/>
  <c r="D190" i="4"/>
  <c r="G186" i="4"/>
  <c r="C186" i="4"/>
  <c r="D182" i="4"/>
  <c r="D181" i="4"/>
  <c r="D180" i="4"/>
  <c r="D179" i="4"/>
  <c r="D178" i="4"/>
  <c r="D177" i="4"/>
  <c r="G173" i="4"/>
  <c r="C173" i="4"/>
  <c r="D169" i="4"/>
  <c r="D168" i="4"/>
  <c r="D167" i="4"/>
  <c r="D166" i="4"/>
  <c r="D165" i="4"/>
  <c r="D164" i="4"/>
  <c r="G160" i="4"/>
  <c r="C160" i="4"/>
  <c r="D156" i="4"/>
  <c r="D155" i="4"/>
  <c r="D154" i="4"/>
  <c r="D153" i="4"/>
  <c r="D152" i="4"/>
  <c r="G148" i="4"/>
  <c r="C148" i="4"/>
  <c r="D144" i="4"/>
  <c r="D143" i="4"/>
  <c r="D142" i="4"/>
  <c r="D141" i="4"/>
  <c r="D140" i="4"/>
  <c r="D139" i="4"/>
  <c r="D138" i="4"/>
  <c r="D137" i="4"/>
  <c r="D136" i="4"/>
  <c r="D135" i="4"/>
  <c r="D134" i="4"/>
  <c r="D133" i="4"/>
  <c r="D132" i="4"/>
  <c r="D131" i="4"/>
  <c r="D130" i="4"/>
  <c r="D129" i="4"/>
  <c r="D128" i="4"/>
  <c r="G124" i="4"/>
  <c r="C124" i="4"/>
  <c r="D121" i="4"/>
  <c r="D120" i="4"/>
  <c r="D119" i="4"/>
  <c r="D118" i="4"/>
  <c r="D117" i="4"/>
  <c r="D116" i="4"/>
  <c r="D115" i="4"/>
  <c r="D114" i="4"/>
  <c r="D113" i="4"/>
  <c r="D112" i="4"/>
  <c r="D111" i="4"/>
  <c r="C107" i="4"/>
  <c r="D103" i="4"/>
  <c r="D102" i="4"/>
  <c r="D101" i="4"/>
  <c r="D100" i="4"/>
  <c r="D99" i="4"/>
  <c r="G95" i="4"/>
  <c r="C95" i="4"/>
  <c r="D91" i="4"/>
  <c r="D90" i="4"/>
  <c r="D89" i="4"/>
  <c r="D87" i="4"/>
  <c r="G83" i="4"/>
  <c r="C83" i="4"/>
  <c r="D79" i="4"/>
  <c r="D78" i="4"/>
  <c r="D77" i="4"/>
  <c r="D76" i="4"/>
  <c r="G71" i="4"/>
  <c r="C71" i="4"/>
  <c r="D54" i="4"/>
  <c r="D53" i="4"/>
  <c r="D52" i="4"/>
  <c r="D51" i="4"/>
  <c r="G47" i="4"/>
  <c r="C47" i="4"/>
  <c r="D43" i="4"/>
  <c r="D42" i="4"/>
  <c r="D41" i="4"/>
  <c r="D40" i="4"/>
  <c r="G36" i="4"/>
  <c r="C36" i="4"/>
  <c r="D32" i="4"/>
  <c r="D31" i="4"/>
  <c r="G26" i="4"/>
  <c r="C26" i="4"/>
  <c r="D22" i="4"/>
  <c r="D21" i="4"/>
  <c r="D20" i="4"/>
  <c r="D19" i="4"/>
  <c r="G15" i="4"/>
  <c r="C15" i="4"/>
  <c r="D11" i="4"/>
  <c r="D10" i="4"/>
  <c r="D9" i="4"/>
  <c r="D8" i="4"/>
  <c r="G3" i="4"/>
  <c r="C3" i="4"/>
  <c r="G3711" i="4" l="1"/>
  <c r="G3768" i="4"/>
  <c r="G3755" i="4"/>
  <c r="G3742" i="4"/>
  <c r="G3730" i="4"/>
</calcChain>
</file>

<file path=xl/sharedStrings.xml><?xml version="1.0" encoding="utf-8"?>
<sst xmlns="http://schemas.openxmlformats.org/spreadsheetml/2006/main" count="15846" uniqueCount="4141">
  <si>
    <t>ABOSS2标准第三方接口说明</t>
  </si>
  <si>
    <t>核心交易产品部</t>
  </si>
  <si>
    <t>版本</t>
  </si>
  <si>
    <t>修订日期</t>
  </si>
  <si>
    <t>修改内容</t>
  </si>
  <si>
    <t>修订人</t>
  </si>
  <si>
    <t xml:space="preserve">204591功能码：输出参数增加：FID_TS,FID_JXTS,FID-GHJG,FID-LXJE
204543功能码：输入参数增加：FID_GDH，输出参数增加：FID_ZQLB
204594功能码：输入参数增加：FID_EXFLG，输出参数增加：FID_MRSL,FID_MRSL1，FID_MRSL2
204544功能码：输出参数增加：FID_KYZJ2 (XGDKYZJ)
304233功能码：输入参数增加：FID_EN_ZQDM
</t>
  </si>
  <si>
    <t>高文青</t>
  </si>
  <si>
    <t>修改204534 港股投票业务增加查询说明</t>
  </si>
  <si>
    <t>廖忠芹</t>
  </si>
  <si>
    <t>2.1.56</t>
  </si>
  <si>
    <t>修改204535及204536功能码,新增204539港股通公司行为信息查询申报功能码</t>
  </si>
  <si>
    <t>2.1.55</t>
  </si>
  <si>
    <t>增加204545（港股通买卖委托）、204546（港股通委托撤单）和204547（港股通可买卖数量计算）三个功能服务，原204501、204502、204503不再支持港股通业务；注：新增的三个功能服务输入输出参数依次相同于原204501、204502、204503的输入输出；</t>
  </si>
  <si>
    <t>2.1.54</t>
  </si>
  <si>
    <t>修改功能码204833，增加出参</t>
  </si>
  <si>
    <t>曾冬梅</t>
  </si>
  <si>
    <t>2.1.53</t>
  </si>
  <si>
    <t>增加 204534 港股通投票业务，204535 港股通红利选择权，204536 港股通公司收购业务，299026查询港股通公司行为信息</t>
  </si>
  <si>
    <t>增加104101行情查询输出：FID_FXED（港股总额度）,FID_KYXYED（港股剩余额度）,FID_EDKZBZ（额度状态）</t>
  </si>
  <si>
    <t>郭丽萍</t>
  </si>
  <si>
    <t>2.1.52</t>
  </si>
  <si>
    <t>增加104101、104102行情查询增加输出FID_JYJS（对应港股的整手数）</t>
  </si>
  <si>
    <t>2.1.51</t>
  </si>
  <si>
    <t>增加299025-查询交易价位控制</t>
  </si>
  <si>
    <t>卢惠珍</t>
  </si>
  <si>
    <t>2.1.50</t>
  </si>
  <si>
    <t>增加功能码204594查询质押回购客户交易额度信息</t>
  </si>
  <si>
    <t>张晓波</t>
  </si>
  <si>
    <t>2.1.49</t>
  </si>
  <si>
    <t>增加市场参数数据字典</t>
  </si>
  <si>
    <t>2.1.48</t>
  </si>
  <si>
    <t>修改功能码407001，增加入参出参</t>
  </si>
  <si>
    <t>2.1.47</t>
  </si>
  <si>
    <t>增加功能码103001 查询汇率参数</t>
  </si>
  <si>
    <t>2.1.46</t>
  </si>
  <si>
    <t>1、增加账户可用资金查询接口303008；3、修改原普通委托接口以支持港股通业务（增加订单交易指令限制类型和订单时效限制类型）</t>
  </si>
  <si>
    <t>蔡海防</t>
  </si>
  <si>
    <t>2.1.45</t>
  </si>
  <si>
    <t>修改功能码204835，增加入参出参</t>
  </si>
  <si>
    <t>2.1.44</t>
  </si>
  <si>
    <t>1、小微贷合约信息中增加记录预警线最低线信息；2、204550（综合业务委托之质押质押快速微贷）增加预计利息查询功能</t>
  </si>
  <si>
    <t>2.1.43</t>
  </si>
  <si>
    <t>1、小微贷相关接口更新维护；2、新增客户新股贷可用资金查询204544功能</t>
  </si>
  <si>
    <t>2.1.42</t>
  </si>
  <si>
    <t>新增功能码204979</t>
  </si>
  <si>
    <t>2.1.41</t>
  </si>
  <si>
    <t>新增功能码204972</t>
  </si>
  <si>
    <t>李海山</t>
  </si>
  <si>
    <t>2.1.40</t>
  </si>
  <si>
    <t>修改功能码204833增加罚息预计利息、罚息已归还利息返回</t>
  </si>
  <si>
    <t>2.1.39</t>
  </si>
  <si>
    <t>增加204583（约定购回展期）、204567（约购合约信息查询）和204629（约购顺延明细查询）等接口</t>
  </si>
  <si>
    <t>2.1.38</t>
  </si>
  <si>
    <t>增加功能吗303009查询客户资金冻结明细</t>
  </si>
  <si>
    <t>增冬梅</t>
  </si>
  <si>
    <t>2.1.37</t>
  </si>
  <si>
    <t>增加功能码203019变更主资金帐户检查</t>
  </si>
  <si>
    <t>潘攀</t>
  </si>
  <si>
    <t>2.1.36</t>
  </si>
  <si>
    <t>修改功能码204833，增加入参</t>
  </si>
  <si>
    <t>2.1.35</t>
  </si>
  <si>
    <t>增加功能码302018客户资料变更明细查询</t>
  </si>
  <si>
    <t>2.1.34</t>
  </si>
  <si>
    <t>修改304823增加入参</t>
  </si>
  <si>
    <t>2.1.33</t>
  </si>
  <si>
    <t>新增204974查询融券白名单信息功能码</t>
  </si>
  <si>
    <t>2.1.32</t>
  </si>
  <si>
    <t>修改304823增加券源标识字段</t>
  </si>
  <si>
    <t>2.1.31</t>
  </si>
  <si>
    <t>功能码304232增加三个出参</t>
  </si>
  <si>
    <t>2.1.30</t>
  </si>
  <si>
    <t>增加功能码101007查询某一系统参数配置</t>
  </si>
  <si>
    <t>罗春淼</t>
  </si>
  <si>
    <t>2.1.29</t>
  </si>
  <si>
    <t>增加功能码304233查询质押回购标的证券_FOR快速微贷</t>
  </si>
  <si>
    <t>2.1.28</t>
  </si>
  <si>
    <t>增加功能码204588查询质押回购协议信息、增加104212查询北交所做市行情</t>
  </si>
  <si>
    <t>2.1.27</t>
  </si>
  <si>
    <t>204591（查询质押回购履约金比例）增加需要补充质押的市值（正数）或可以解除质押的市值（负数）</t>
  </si>
  <si>
    <t>2.1.26</t>
  </si>
  <si>
    <t>股票质押回购微贷业务增加接口204543（查询可融资金额信息）</t>
  </si>
  <si>
    <t>2.1.25</t>
  </si>
  <si>
    <t>股票质押回购微贷业务交易接口204550支持</t>
  </si>
  <si>
    <t>2.1.24</t>
  </si>
  <si>
    <t>添加204590 查询质押回购标的证券折算金额及304232质押回购微贷参数查询</t>
  </si>
  <si>
    <t>2.1.23</t>
  </si>
  <si>
    <t>更新204831增加输入：FID_SBGDH（A股股东号）</t>
  </si>
  <si>
    <t>2.1.22</t>
  </si>
  <si>
    <t>更新407003客户历史负债信息功能号入参出参</t>
  </si>
  <si>
    <t>邱艳</t>
  </si>
  <si>
    <t>2.1.21</t>
  </si>
  <si>
    <t>新增 104211北交所协议行情查询</t>
  </si>
  <si>
    <t>2.1.20</t>
  </si>
  <si>
    <t>修改304822，增加输出FID_SXF，手续费字段</t>
  </si>
  <si>
    <t>2.1.19</t>
  </si>
  <si>
    <t>新增304230-查询客户配售权益</t>
  </si>
  <si>
    <t>陈晓丹</t>
  </si>
  <si>
    <t>2.1.18</t>
  </si>
  <si>
    <t>修改405003、403204增加入参。</t>
  </si>
  <si>
    <t>2.1.17</t>
  </si>
  <si>
    <t>增加功能码407002【客户历史信用合同信息查询】</t>
  </si>
  <si>
    <t>2.1.16</t>
  </si>
  <si>
    <t>修改功能码304807【合同信息查询】增加个性化保证金相关的3个字段输出</t>
  </si>
  <si>
    <t>2.1.15</t>
  </si>
  <si>
    <t>新增功能码202039记录【自助登入信息】</t>
  </si>
  <si>
    <t>2.1.14</t>
  </si>
  <si>
    <t>新增功能码204956【校验风险控制指标】</t>
  </si>
  <si>
    <t>2.1.13</t>
  </si>
  <si>
    <t>新增104012功能号</t>
  </si>
  <si>
    <t>刘凯</t>
  </si>
  <si>
    <t>2.1.12</t>
  </si>
  <si>
    <t>修改204835功能号</t>
  </si>
  <si>
    <t>2.1.11</t>
  </si>
  <si>
    <t>新增302050功能号</t>
  </si>
  <si>
    <t>2.1.10</t>
  </si>
  <si>
    <t>新增104044查询基金行情信息</t>
  </si>
  <si>
    <t>2.1.9</t>
  </si>
  <si>
    <t>增加145009修改定期定额协议的功能号</t>
  </si>
  <si>
    <t>陈志</t>
  </si>
  <si>
    <t>2.1.8</t>
  </si>
  <si>
    <t>304104【查询待购回】增加返回购回应收金额</t>
  </si>
  <si>
    <t>2.1.7</t>
  </si>
  <si>
    <t>增加305009【查询基金份额明细数据】第三方接口</t>
  </si>
  <si>
    <t>钟瑞兵</t>
  </si>
  <si>
    <t>2.1.6</t>
  </si>
  <si>
    <t>提供164080【添加股东附加交易权限】和104041【查询股东附加交易权限】的接口信息</t>
  </si>
  <si>
    <t>谢丹凤</t>
  </si>
  <si>
    <t>2.1.5</t>
  </si>
  <si>
    <t>提供“股东帐户信息”修改，功能码204002的接口信息</t>
  </si>
  <si>
    <t>2.1.4</t>
  </si>
  <si>
    <t>提供股东“交易权限”查询，功能码304002的接口信息</t>
  </si>
  <si>
    <t>2.1.3</t>
  </si>
  <si>
    <t>数据字典删除ABOSS2未用到的新编码，行情查询104101增加输出证券类别，股东号查询304001增加输出股东交易权限</t>
  </si>
  <si>
    <t>2.1.2</t>
  </si>
  <si>
    <t>增加接口中字符型入参的字段长度</t>
  </si>
  <si>
    <t>2.1.1</t>
  </si>
  <si>
    <t>现金宝增加参与方式输入和输出,涉及功能码125012,305209</t>
  </si>
  <si>
    <t>孙登</t>
  </si>
  <si>
    <t>2.0.10</t>
  </si>
  <si>
    <t>第三方接口中增加FUN_SECU_LIST_YIELD_KH（投资损益）接口说明</t>
  </si>
  <si>
    <t>2.0.9</t>
  </si>
  <si>
    <t>修改ABOSS标准第三方接口.xlsm文件，增加304216功能码的接口说明</t>
  </si>
  <si>
    <t>2.0.8</t>
  </si>
  <si>
    <t>增加功能码303016查询客户存取授权流水，增加125012入参，修正功能索引超连接</t>
  </si>
  <si>
    <t>2.0.7</t>
  </si>
  <si>
    <t>超额存取预约203515功能号返回域太少</t>
  </si>
  <si>
    <t>刘畅</t>
  </si>
  <si>
    <t>2.0.6</t>
  </si>
  <si>
    <t>增加综合业务委托表的接口，适用于报价回购、约定购回</t>
  </si>
  <si>
    <t>王加林</t>
  </si>
  <si>
    <t>2.0.5</t>
  </si>
  <si>
    <t>基金代码查询增加理财产品标志说明，涉及功能码105002</t>
  </si>
  <si>
    <t>张雄金</t>
  </si>
  <si>
    <t>2.0.4</t>
  </si>
  <si>
    <t>增加现金宝相关外围接口说明，涉及功能码205105和145010</t>
  </si>
  <si>
    <t>2.0.3</t>
  </si>
  <si>
    <t>增加银行存管预约转账的接口说明，涉及功能码203529</t>
  </si>
  <si>
    <t>2.0.2</t>
  </si>
  <si>
    <t>增加报价回购的接口说明，涉及功能码101040、101042、204525、204501、304104</t>
  </si>
  <si>
    <t>2.0.1</t>
  </si>
  <si>
    <t>初稿</t>
  </si>
  <si>
    <t>涂义瑾</t>
  </si>
  <si>
    <t>功能号</t>
  </si>
  <si>
    <t>内容</t>
  </si>
  <si>
    <t>多结果集</t>
  </si>
  <si>
    <t>系统参数类</t>
  </si>
  <si>
    <t>查询系统当前状态</t>
  </si>
  <si>
    <t>系统数据字典查询</t>
  </si>
  <si>
    <t>Y</t>
  </si>
  <si>
    <t>客户提示属性项目查询</t>
  </si>
  <si>
    <t>银行代码参数查询</t>
  </si>
  <si>
    <t>查询当天所属交易日</t>
  </si>
  <si>
    <t>查询下一交易日</t>
  </si>
  <si>
    <t>查询上一交易日</t>
  </si>
  <si>
    <t>查询某一系统参数配置</t>
  </si>
  <si>
    <t>查询汇率参数</t>
  </si>
  <si>
    <t>客户管理类</t>
  </si>
  <si>
    <t>交易密码效验</t>
  </si>
  <si>
    <t>资金密码效验</t>
  </si>
  <si>
    <t>交易密码修改</t>
  </si>
  <si>
    <t>资金密码修改</t>
  </si>
  <si>
    <t>客户基本信息查询</t>
  </si>
  <si>
    <t>客户资产汇总查询</t>
  </si>
  <si>
    <t>客户基本信息修改</t>
  </si>
  <si>
    <t>客户委托方式变更</t>
  </si>
  <si>
    <t>邮寄对帐单业务查询</t>
  </si>
  <si>
    <t>邮寄对帐单服务开通</t>
  </si>
  <si>
    <t>邮寄对帐单服务变更</t>
  </si>
  <si>
    <t>邮寄对帐单服务中止</t>
  </si>
  <si>
    <t>客户提示信息查询</t>
  </si>
  <si>
    <t>客户提示信息登记</t>
  </si>
  <si>
    <t>客户提示信息变更</t>
  </si>
  <si>
    <t>客户提示信息删除</t>
  </si>
  <si>
    <t>记录资料变更信息</t>
  </si>
  <si>
    <t>交易风险确认</t>
  </si>
  <si>
    <t>交易风险确认结果查询</t>
  </si>
  <si>
    <t>自助登入信息</t>
  </si>
  <si>
    <t>变更主资金帐户检查</t>
  </si>
  <si>
    <t>资金业务类</t>
  </si>
  <si>
    <t>资金账户查询</t>
  </si>
  <si>
    <t>指定资金账户信息查询</t>
  </si>
  <si>
    <t>实际可取资金查询</t>
  </si>
  <si>
    <t>取款预约</t>
  </si>
  <si>
    <t>资金收费</t>
  </si>
  <si>
    <t>资金明细查询</t>
  </si>
  <si>
    <t>银证转帐对应关系查询</t>
  </si>
  <si>
    <t>银行转证券</t>
  </si>
  <si>
    <t>证券转银行</t>
  </si>
  <si>
    <t>银行账户余额查询申请</t>
  </si>
  <si>
    <t>多银行存管转账</t>
  </si>
  <si>
    <t>银行存管预约转账</t>
  </si>
  <si>
    <t>证券发起银证业务查询</t>
  </si>
  <si>
    <t>银行发起银证业务查询</t>
  </si>
  <si>
    <t>查询客户资金冻结明细</t>
  </si>
  <si>
    <t>查询客户存取授权流水</t>
  </si>
  <si>
    <t>查询账户可用资金</t>
  </si>
  <si>
    <t>证券交易类</t>
  </si>
  <si>
    <t>证券行情查询</t>
  </si>
  <si>
    <t>权证信息查询</t>
  </si>
  <si>
    <t>查询股东附加交易权限</t>
  </si>
  <si>
    <t>查询基金行情信息</t>
  </si>
  <si>
    <t>查询ETF基本信息</t>
  </si>
  <si>
    <t>查询ETF成份股信息</t>
  </si>
  <si>
    <t>查询三板报价转让行情</t>
  </si>
  <si>
    <t>添加股东附加交易权限</t>
  </si>
  <si>
    <t>客户股东号查询</t>
  </si>
  <si>
    <t>股东资料查询</t>
  </si>
  <si>
    <t>根据股东帐号获取客户号</t>
  </si>
  <si>
    <t>客户持仓查询</t>
  </si>
  <si>
    <t>查询客户委托佣金折扣参数</t>
  </si>
  <si>
    <t>股东帐户信息修改</t>
  </si>
  <si>
    <t>检查客户证券风险匹配</t>
  </si>
  <si>
    <t>可委托数量计算</t>
  </si>
  <si>
    <t>股票买卖委托</t>
  </si>
  <si>
    <t>股票委托撤单</t>
  </si>
  <si>
    <t>批量买卖</t>
  </si>
  <si>
    <t>批量撤单</t>
  </si>
  <si>
    <t>客户当日委托查询</t>
  </si>
  <si>
    <t>查询指定委托号的委托详细信息</t>
  </si>
  <si>
    <t>客户实时成交查询</t>
  </si>
  <si>
    <t>客户分笔成交查询</t>
  </si>
  <si>
    <t>客户实时成交汇总查询</t>
  </si>
  <si>
    <t>待购回数据查询</t>
  </si>
  <si>
    <t>持仓成本调整</t>
  </si>
  <si>
    <t>ETF网下预约委托</t>
  </si>
  <si>
    <t>ETF网下预约委托撤单</t>
  </si>
  <si>
    <t>查询客户ETF网下申购委托</t>
  </si>
  <si>
    <t>查询客户ETF成份股的持仓信息</t>
  </si>
  <si>
    <t>查询债券抵押明细记录</t>
  </si>
  <si>
    <t>客户各委托批次号证券持仓成本的查询</t>
  </si>
  <si>
    <t>多股简单行情查询</t>
  </si>
  <si>
    <t>查询客户配售权益</t>
  </si>
  <si>
    <t>查询北交所协议行情</t>
  </si>
  <si>
    <t>查询北交所做市行情</t>
  </si>
  <si>
    <t>港股通投票业务</t>
  </si>
  <si>
    <t>港股通红利选择权</t>
  </si>
  <si>
    <t>港股通公司收购业务</t>
  </si>
  <si>
    <t>港股通公司行为信息查询申报</t>
  </si>
  <si>
    <t>港股通买卖委托</t>
  </si>
  <si>
    <t>港股通委托撤单</t>
  </si>
  <si>
    <t>港股通可买卖数量计算</t>
  </si>
  <si>
    <t>查询港股通公司行为信息</t>
  </si>
  <si>
    <t>查询交易价位控制</t>
  </si>
  <si>
    <t>综合业务委托类</t>
  </si>
  <si>
    <t>报价回购品种参数查询</t>
  </si>
  <si>
    <t>报价回购预约委托信息查询</t>
  </si>
  <si>
    <t>报价回购预约委托管理</t>
  </si>
  <si>
    <t>综合业务委托</t>
  </si>
  <si>
    <t>综合业务撤单</t>
  </si>
  <si>
    <t>综合业务可买卖数量计算</t>
  </si>
  <si>
    <t>综合业务客户当日委托查询</t>
  </si>
  <si>
    <t>查询质押回购标的证券折算金额</t>
  </si>
  <si>
    <t>股票质押微贷参数查询</t>
  </si>
  <si>
    <t>根据客户号查询快速微贷可折算金额</t>
  </si>
  <si>
    <t>查询质押回购履约金比例</t>
  </si>
  <si>
    <t>综合业务委托之质押质押快速微贷</t>
  </si>
  <si>
    <t>查询质押回购标的证券_FOR快速微贷</t>
  </si>
  <si>
    <t>约定购回合约信息查询</t>
  </si>
  <si>
    <t>约定购回顺延明细查询</t>
  </si>
  <si>
    <t>约定购回信息变更</t>
  </si>
  <si>
    <t>新股贷可用资金查询</t>
  </si>
  <si>
    <t>查询质押回购协议信息</t>
  </si>
  <si>
    <t>查询质押回购客户交易额度信息</t>
  </si>
  <si>
    <t>基金交易类</t>
  </si>
  <si>
    <t>基金公司参数查询</t>
  </si>
  <si>
    <t>基金代码查询</t>
  </si>
  <si>
    <t>客户风险承受能力相适应的基金代码查询</t>
  </si>
  <si>
    <t>基金账户自助开户</t>
  </si>
  <si>
    <t>基金认购申购风险检查</t>
  </si>
  <si>
    <t>基金账户查询</t>
  </si>
  <si>
    <t>基金持有份额查询</t>
  </si>
  <si>
    <t>基金认购申购赎回</t>
  </si>
  <si>
    <t>基金分红方式设置</t>
  </si>
  <si>
    <t>基金转换申请</t>
  </si>
  <si>
    <t>基金委托撤销</t>
  </si>
  <si>
    <t>查询当日基金委托</t>
  </si>
  <si>
    <t>查询基金份额明细数据</t>
  </si>
  <si>
    <t>基金理财类</t>
  </si>
  <si>
    <t>定期定额申购品种查询</t>
  </si>
  <si>
    <t>定期定额协议查询</t>
  </si>
  <si>
    <t>定期定额申购协议开通</t>
  </si>
  <si>
    <t>定期定额申购协议中止</t>
  </si>
  <si>
    <t>电子理财协议查询(现金宝保留额度等)</t>
  </si>
  <si>
    <t>电子理财申购协议开通</t>
  </si>
  <si>
    <t>电子理财申购协议中止</t>
  </si>
  <si>
    <t>现金宝资金保留额度设置</t>
  </si>
  <si>
    <t>修改理财电子合同协议(现金宝解约)</t>
  </si>
  <si>
    <t>修改定期定额申购协议</t>
  </si>
  <si>
    <t>融资融券类</t>
  </si>
  <si>
    <t>信用等级查询</t>
  </si>
  <si>
    <t>信用客户信息查询</t>
  </si>
  <si>
    <t>信用合同信息查询</t>
  </si>
  <si>
    <t>授信额度申请</t>
  </si>
  <si>
    <t>授信中止申请</t>
  </si>
  <si>
    <t>授信申请查询</t>
  </si>
  <si>
    <t>信用资格证券查询</t>
  </si>
  <si>
    <t>融券证券池查询</t>
  </si>
  <si>
    <t>信用资金情况查询</t>
  </si>
  <si>
    <t>信用可委托数量查询</t>
  </si>
  <si>
    <t>担保物划转</t>
  </si>
  <si>
    <t>余券划转</t>
  </si>
  <si>
    <t>还券划转</t>
  </si>
  <si>
    <t>现金直接还款</t>
  </si>
  <si>
    <t>现金替代还券</t>
  </si>
  <si>
    <t>信用交易</t>
  </si>
  <si>
    <t>融资融券交易</t>
  </si>
  <si>
    <t>信用委托撤单</t>
  </si>
  <si>
    <t>信用负债信息查询</t>
  </si>
  <si>
    <t>信用负债汇总查询</t>
  </si>
  <si>
    <t>信用指令信息查询</t>
  </si>
  <si>
    <t>信用负债变动明细查询</t>
  </si>
  <si>
    <t>普通股东账户查询</t>
  </si>
  <si>
    <t>普通账户证券持仓查询</t>
  </si>
  <si>
    <t>查询融券白名单信息</t>
  </si>
  <si>
    <t>查询融券卖出金额</t>
  </si>
  <si>
    <t>查询普通和信用汇总净资产（只支持独立部署）</t>
  </si>
  <si>
    <t>校验风险控制指标</t>
  </si>
  <si>
    <t>历史数据类</t>
  </si>
  <si>
    <t>证券历史委托查询</t>
  </si>
  <si>
    <t>证券历史成交查询</t>
  </si>
  <si>
    <t>基金历史委托查询</t>
  </si>
  <si>
    <t>基金委托确认查询</t>
  </si>
  <si>
    <t>资金变动明细查询</t>
  </si>
  <si>
    <t>三方存管历史申请流水查询</t>
  </si>
  <si>
    <t>证券发起历史资金转账申请查询</t>
  </si>
  <si>
    <t>银行发起历史资金转账申请查询</t>
  </si>
  <si>
    <t>信用负债历史情况</t>
  </si>
  <si>
    <t>信用负债变动历史查询</t>
  </si>
  <si>
    <t>客户历史信用合同信息查询</t>
  </si>
  <si>
    <t>客户历史投资损益查询</t>
  </si>
  <si>
    <t>客户资料变更明细查询</t>
  </si>
  <si>
    <t>更新日期</t>
  </si>
  <si>
    <t>功能名称</t>
  </si>
  <si>
    <t>功能说明</t>
  </si>
  <si>
    <t>输入参数</t>
  </si>
  <si>
    <t>参数名</t>
  </si>
  <si>
    <t>定义</t>
  </si>
  <si>
    <t>类型</t>
  </si>
  <si>
    <t>必须</t>
  </si>
  <si>
    <t>说明</t>
  </si>
  <si>
    <t>输出参数</t>
  </si>
  <si>
    <t>FID_CODE</t>
  </si>
  <si>
    <t>N</t>
  </si>
  <si>
    <t>FID_MESSAGE</t>
  </si>
  <si>
    <t>C</t>
  </si>
  <si>
    <t>FID_QSBZ</t>
  </si>
  <si>
    <t>清算标志：0表示正常，1表示清算中</t>
  </si>
  <si>
    <t>FID_XTCSBZ</t>
  </si>
  <si>
    <t>测试标志：0表示正常；1表示系统处于测试状态</t>
  </si>
  <si>
    <t>FID_FLDM</t>
  </si>
  <si>
    <t>C4</t>
  </si>
  <si>
    <t>分类代码</t>
  </si>
  <si>
    <t>FID_BM</t>
  </si>
  <si>
    <t>编码</t>
  </si>
  <si>
    <t>FID_BMSM</t>
  </si>
  <si>
    <t>FID_SXDM</t>
  </si>
  <si>
    <t>属性代码</t>
  </si>
  <si>
    <t>FID_SXMC</t>
  </si>
  <si>
    <t>属性名称</t>
  </si>
  <si>
    <t>FID_JGLB</t>
  </si>
  <si>
    <t>机构类别：1为B股转账， 3为存管银行代码</t>
  </si>
  <si>
    <t>FID_JGDM</t>
  </si>
  <si>
    <t>机构代码</t>
  </si>
  <si>
    <t>FID_JGJC</t>
  </si>
  <si>
    <t>机构简称</t>
  </si>
  <si>
    <t>用于判断当天是否为交易日，比如周末为非交易日</t>
  </si>
  <si>
    <t>FID_JYS</t>
  </si>
  <si>
    <t>C2</t>
  </si>
  <si>
    <t>交易所</t>
  </si>
  <si>
    <t>FID_JYRBS</t>
  </si>
  <si>
    <t>交易日标识：0正常交易交收日，1非交易日，2非交收日</t>
  </si>
  <si>
    <t>用于判断当天所属的下一交易日，比如周末的交易日为下周一，周一的下一交易日为周二。</t>
  </si>
  <si>
    <t>FID_RQ</t>
  </si>
  <si>
    <t>下一交易日期</t>
  </si>
  <si>
    <t>用于判断当天所属的上一交易日，比如周末的交易日为上周五，周一的上一交易日为上周五。</t>
  </si>
  <si>
    <t>上一交易日期</t>
  </si>
  <si>
    <t>单结果集</t>
  </si>
  <si>
    <t>调用Base_GetXTCS，获取指定营业部及参数类别的参数定义。</t>
  </si>
  <si>
    <t>FID_YYB</t>
  </si>
  <si>
    <t>营业部</t>
  </si>
  <si>
    <t>FID_CSDM</t>
  </si>
  <si>
    <t>参数代码</t>
  </si>
  <si>
    <t>结果代码</t>
  </si>
  <si>
    <t>结果信息</t>
  </si>
  <si>
    <t>FID_CSZ</t>
  </si>
  <si>
    <t>参数值</t>
  </si>
  <si>
    <t>用于查询各币种之间的汇率</t>
  </si>
  <si>
    <t>FID_BZ1</t>
  </si>
  <si>
    <t>币种1</t>
  </si>
  <si>
    <t>FID_BZ2</t>
  </si>
  <si>
    <t>币种2</t>
  </si>
  <si>
    <t>FID_XCMRJ</t>
  </si>
  <si>
    <t>R(16,5)</t>
  </si>
  <si>
    <t>现钞买入价</t>
  </si>
  <si>
    <t>FID_XCMCJ</t>
  </si>
  <si>
    <t>现钞卖出价</t>
  </si>
  <si>
    <t>FID_XHMRJ</t>
  </si>
  <si>
    <t>现汇买入价</t>
  </si>
  <si>
    <t>FID_XHMCJ</t>
  </si>
  <si>
    <t>现汇卖出价</t>
  </si>
  <si>
    <t>FID_GSBL</t>
  </si>
  <si>
    <t>估算兑换比例</t>
  </si>
  <si>
    <t>FID_XGRQ</t>
  </si>
  <si>
    <t>I</t>
  </si>
  <si>
    <t>修改日期</t>
  </si>
  <si>
    <t>FID_HLBZ</t>
  </si>
  <si>
    <t>汇率标志</t>
  </si>
  <si>
    <t>FID_KHH</t>
  </si>
  <si>
    <t>C12</t>
  </si>
  <si>
    <t>客户号</t>
  </si>
  <si>
    <t>FID_GDH</t>
  </si>
  <si>
    <t>C10</t>
  </si>
  <si>
    <t>股东号</t>
  </si>
  <si>
    <t>FID_KHKH</t>
  </si>
  <si>
    <t>C60</t>
  </si>
  <si>
    <t>客户卡号</t>
  </si>
  <si>
    <t>FID_JYMM</t>
  </si>
  <si>
    <t>C16</t>
  </si>
  <si>
    <t>密码</t>
  </si>
  <si>
    <t>FID_JMLX</t>
  </si>
  <si>
    <t xml:space="preserve">加密方式，0  简单加密算法  1  标准加密算法 </t>
  </si>
  <si>
    <t>股东号，使用股东帐号进行身份认证成功的话，会返回完整的股东帐号及交易所</t>
  </si>
  <si>
    <t>FID_KHQZ</t>
  </si>
  <si>
    <t>群组</t>
  </si>
  <si>
    <t>测试状态：1测试状态，0正常交易状态</t>
  </si>
  <si>
    <t>FID_KHXM</t>
  </si>
  <si>
    <t>姓名</t>
  </si>
  <si>
    <t>FID_KHZT</t>
  </si>
  <si>
    <t>客户状态， 0正常，其它为异常</t>
  </si>
  <si>
    <t>FID_TZZFL</t>
  </si>
  <si>
    <t>客户风险承受能力，有些功能码调用时要用此字段作为输入参数</t>
  </si>
  <si>
    <t>FID_ZJMM</t>
  </si>
  <si>
    <t>FID_MM</t>
  </si>
  <si>
    <t>原密码</t>
  </si>
  <si>
    <t>FID_NEWMM</t>
  </si>
  <si>
    <t>新密码</t>
  </si>
  <si>
    <t>由于密码变更引起的令牌更新，后续业务必须用该令牌</t>
  </si>
  <si>
    <t>FID_EXFLG</t>
  </si>
  <si>
    <t>扩展标志，送0或1</t>
  </si>
  <si>
    <t>&gt;0 成功 &lt;=0 失败</t>
  </si>
  <si>
    <t>FID_FWXM</t>
  </si>
  <si>
    <t>服务项目范围,FLDM=FWXM</t>
  </si>
  <si>
    <t>FID_WTFS</t>
  </si>
  <si>
    <t>委托方式范围,FLDM=WTFS</t>
  </si>
  <si>
    <t>FID_ZJBH</t>
  </si>
  <si>
    <t>证件</t>
  </si>
  <si>
    <t>卡号</t>
  </si>
  <si>
    <t>状态：0正常，其它异常, FLDM=KHZT</t>
  </si>
  <si>
    <t>基金风险承受能力， FLDM=TZZFL</t>
  </si>
  <si>
    <t>FID_KHJF</t>
  </si>
  <si>
    <t>证券风险承受能力，FLDM=KHJF</t>
  </si>
  <si>
    <t>FID_DZ</t>
  </si>
  <si>
    <t>通讯地址，FID_EXFLG=1时返回</t>
  </si>
  <si>
    <t>FID_DH</t>
  </si>
  <si>
    <t>电话，FID_EXFLG=1时返回</t>
  </si>
  <si>
    <t>FID_FAX</t>
  </si>
  <si>
    <t>传真，FID_EXFLG=1时返回</t>
  </si>
  <si>
    <t>FID_EMAIL</t>
  </si>
  <si>
    <t>EMAIL,FID_EXFLG=1时返回</t>
  </si>
  <si>
    <t>FID_MOBILE</t>
  </si>
  <si>
    <t>手机，FID_EXFLG=1时返回</t>
  </si>
  <si>
    <t>交易密码</t>
  </si>
  <si>
    <t>基金风险承受能力,FLDM=TZZFL</t>
  </si>
  <si>
    <t>证券风险承受能力,FLDM=KHJF</t>
  </si>
  <si>
    <t>C80</t>
  </si>
  <si>
    <t>通讯地址</t>
  </si>
  <si>
    <t>C20</t>
  </si>
  <si>
    <t>电话</t>
  </si>
  <si>
    <t>传真</t>
  </si>
  <si>
    <t>C50</t>
  </si>
  <si>
    <t>EMAI</t>
  </si>
  <si>
    <t>手机</t>
  </si>
  <si>
    <t>FID_ZLLB</t>
  </si>
  <si>
    <t>修改指令，送入99</t>
  </si>
  <si>
    <t>委托方式范围，累加方式，FLDM=WTFS</t>
  </si>
  <si>
    <t>FID_ZY</t>
  </si>
  <si>
    <t>C255</t>
  </si>
  <si>
    <t>修改说明</t>
  </si>
  <si>
    <t>强制送入99  提交业务处理</t>
  </si>
  <si>
    <t>B</t>
  </si>
  <si>
    <t>FID_YZBM</t>
  </si>
  <si>
    <t>邮编</t>
  </si>
  <si>
    <t>FID_ZDXM</t>
  </si>
  <si>
    <t>对账项目，多值累加， FLDM=KHDZXM</t>
  </si>
  <si>
    <t>寄送地址</t>
  </si>
  <si>
    <t>C6</t>
  </si>
  <si>
    <t>对账项目， 多值累加，FLDM=KHDZXM</t>
  </si>
  <si>
    <t>FID_ZDZQ</t>
  </si>
  <si>
    <t>周期，送1</t>
  </si>
  <si>
    <t>FID_KSRQ</t>
  </si>
  <si>
    <t>开始日期，送0</t>
  </si>
  <si>
    <t>FID_JSRQ</t>
  </si>
  <si>
    <t>结束日期，送0</t>
  </si>
  <si>
    <t>属性代码，属于自定义性质，通过功能码102002查询获得</t>
  </si>
  <si>
    <t>提示项目</t>
  </si>
  <si>
    <t>FID_SXZ</t>
  </si>
  <si>
    <t>提示内容</t>
  </si>
  <si>
    <t>FID_BDRQ</t>
  </si>
  <si>
    <t>变动日期</t>
  </si>
  <si>
    <t>FID_SXZ_OLD</t>
  </si>
  <si>
    <t>原内容</t>
  </si>
  <si>
    <t>FID_YWKM</t>
  </si>
  <si>
    <t>C5</t>
  </si>
  <si>
    <t>根据实际情况，客户资料修改时送20002，修改服务项目送20027</t>
  </si>
  <si>
    <t>FID_LOGINID</t>
  </si>
  <si>
    <t>C8</t>
  </si>
  <si>
    <t>用户标识，由运维人员统一分配</t>
  </si>
  <si>
    <t>登录时可能会提示您的风险承受能力，如果不想每次提示，则调用本功能码后可以不再提示
委托时可能会提示该证券（基金）的风险标准超过您的风险承受能力，是否继续委托，如果不想每次提示，则调用本功能码后不再提示</t>
  </si>
  <si>
    <t>FID_TYPE</t>
  </si>
  <si>
    <t>0表示确认风险承受能力,1表示确认证券交易风险,2表示确认基金交易风险</t>
  </si>
  <si>
    <t>用于查询是否已确认过风险提示，如果客户已表达过不要每次交易都提示，则不外围可以不必每次委托前都调用风险检测的功能服务。</t>
  </si>
  <si>
    <t>0:风险承受能力,1:证券交易风险,2:基金交易风险</t>
  </si>
  <si>
    <t>FID_DJRQ</t>
  </si>
  <si>
    <t>确认日期</t>
  </si>
  <si>
    <t>FID_KQBZ</t>
  </si>
  <si>
    <t>确定标志，未确认过则没有该记录返回，有返回的只会是1.</t>
  </si>
  <si>
    <t>记录客户自动登入登出信息</t>
  </si>
  <si>
    <t>说明，取值在“自助登入”或“自助登出”</t>
  </si>
  <si>
    <t>FID_SQCZRH</t>
  </si>
  <si>
    <t>C13</t>
  </si>
  <si>
    <t>授权操作人号</t>
  </si>
  <si>
    <t>FID_DLSF</t>
  </si>
  <si>
    <t>登录身份</t>
  </si>
  <si>
    <t>FID_FHGY</t>
  </si>
  <si>
    <t>复核柜员</t>
  </si>
  <si>
    <t>FID_ZJZH_ZR</t>
  </si>
  <si>
    <t>新主资金帐号</t>
  </si>
  <si>
    <t>FID_ZJZH</t>
  </si>
  <si>
    <t>原主资金帐号</t>
  </si>
  <si>
    <t>FID_BZ</t>
  </si>
  <si>
    <t>币种</t>
  </si>
  <si>
    <t>0  查询基本信息  1  查询扩展信息</t>
  </si>
  <si>
    <t>C3</t>
  </si>
  <si>
    <t>币种，一般为 RMB，USD或 HKD</t>
  </si>
  <si>
    <t>资金账户</t>
  </si>
  <si>
    <t>FID_ZZHBZ</t>
  </si>
  <si>
    <t>主账户标志，1表示主账户</t>
  </si>
  <si>
    <t>FID_ZHLB</t>
  </si>
  <si>
    <t>1 普通帐户  2 融资融券帐户</t>
  </si>
  <si>
    <t>FID_ZHZT</t>
  </si>
  <si>
    <t>状态，0正常，其它为异常,FLDM=ZJZHZT</t>
  </si>
  <si>
    <t>FID_ZHYE</t>
  </si>
  <si>
    <t>R</t>
  </si>
  <si>
    <t>资金余额</t>
  </si>
  <si>
    <t>FID_DJJE</t>
  </si>
  <si>
    <t>冻结资金</t>
  </si>
  <si>
    <t>FID_KYZJ</t>
  </si>
  <si>
    <t>FID_EXFLG=1时有效，可用资金</t>
  </si>
  <si>
    <t>FID_KQZJ</t>
  </si>
  <si>
    <t>FID_EXFLG=1时有效，可取资金</t>
  </si>
  <si>
    <t>FID_OFSS_JZ</t>
  </si>
  <si>
    <t>FID_EXFLG=1时有效，基金市值</t>
  </si>
  <si>
    <t>FID_ZXSZ</t>
  </si>
  <si>
    <t>FID_EXFLG=1时有效，证券市值</t>
  </si>
  <si>
    <t>FID_QTZC</t>
  </si>
  <si>
    <t>FID_EXFLG=1时有效，其它资产</t>
  </si>
  <si>
    <t>FID_ZZC</t>
  </si>
  <si>
    <t>FID_EXFLG=1时有效，总资产</t>
  </si>
  <si>
    <t>C14</t>
  </si>
  <si>
    <t>0  基本查询  1  详细信息查询</t>
  </si>
  <si>
    <t>因额度控制影响可取资金</t>
  </si>
  <si>
    <t>FID_YHDM</t>
  </si>
  <si>
    <t>银行代码，不同银行额度控制可能不一样</t>
  </si>
  <si>
    <t>类型，送1</t>
  </si>
  <si>
    <t>FID_FLAG</t>
  </si>
  <si>
    <t>单客户多资金账户间内部转帐要填入1，其它情况可以不送</t>
  </si>
  <si>
    <t>&gt;0为成功</t>
  </si>
  <si>
    <t>超额存取预约</t>
  </si>
  <si>
    <t>FID_KHYYB</t>
  </si>
  <si>
    <t>营业部，暂时要送</t>
  </si>
  <si>
    <t>群组，暂时要送</t>
  </si>
  <si>
    <t>通过哪个银行转出</t>
  </si>
  <si>
    <t>FID_QKZE</t>
  </si>
  <si>
    <t>取款总额</t>
  </si>
  <si>
    <t>FID_YXRQ</t>
  </si>
  <si>
    <t>预约取款日期</t>
  </si>
  <si>
    <t>正数则表示申请成功</t>
  </si>
  <si>
    <t>返回结果说明</t>
  </si>
  <si>
    <t>FID_HTSH</t>
  </si>
  <si>
    <t>后台审核</t>
  </si>
  <si>
    <t>FID_LSH</t>
  </si>
  <si>
    <t>流水号</t>
  </si>
  <si>
    <t>FID_CQBZ</t>
  </si>
  <si>
    <t>C1</t>
  </si>
  <si>
    <t>取款标志，必须为 Q</t>
  </si>
  <si>
    <t>暂时必须为'0000'</t>
  </si>
  <si>
    <t>需要运维人员确定</t>
  </si>
  <si>
    <t>FID_FSJE</t>
  </si>
  <si>
    <t>收费金额</t>
  </si>
  <si>
    <t>收费说明</t>
  </si>
  <si>
    <t>多页查询</t>
  </si>
  <si>
    <t>FID_SORTTYPE</t>
  </si>
  <si>
    <t>0  顺序  1  逆序</t>
  </si>
  <si>
    <t>FID_BROWINDEX</t>
  </si>
  <si>
    <t>定位串，首次查询可以不送</t>
  </si>
  <si>
    <t>FID_ROWCOUNT</t>
  </si>
  <si>
    <t>每页查询记录数</t>
  </si>
  <si>
    <t>定位串</t>
  </si>
  <si>
    <t>发生日期</t>
  </si>
  <si>
    <t>FID_FSSJ</t>
  </si>
  <si>
    <t>发生时间</t>
  </si>
  <si>
    <t>科目</t>
  </si>
  <si>
    <t>FID_SRJE</t>
  </si>
  <si>
    <t>收入</t>
  </si>
  <si>
    <t>FID_FCJE</t>
  </si>
  <si>
    <t>付出</t>
  </si>
  <si>
    <t>FID_BCZJYE</t>
  </si>
  <si>
    <t>发生后资金余额</t>
  </si>
  <si>
    <t>发生额： FID_SRJE-FID_FCJE</t>
  </si>
  <si>
    <t>银行代码</t>
  </si>
  <si>
    <t>FID_YHZH</t>
  </si>
  <si>
    <t>银行账户</t>
  </si>
  <si>
    <t>资金号</t>
  </si>
  <si>
    <t>成功申请不代表转账成功</t>
  </si>
  <si>
    <t>C30</t>
  </si>
  <si>
    <t>FID_ZZJE</t>
  </si>
  <si>
    <t>转账金额，正数</t>
  </si>
  <si>
    <t>FID_WBZHMM</t>
  </si>
  <si>
    <t>银行密码</t>
  </si>
  <si>
    <t>FID_SQH</t>
  </si>
  <si>
    <t>申请号</t>
  </si>
  <si>
    <t>转账金额</t>
  </si>
  <si>
    <t>资金密码</t>
  </si>
  <si>
    <t>成功申请不代表查询成功</t>
  </si>
  <si>
    <t>转出方资金账户</t>
  </si>
  <si>
    <t>转入方资金账户</t>
  </si>
  <si>
    <t>转账说明</t>
  </si>
  <si>
    <t>FID_ZZXY</t>
  </si>
  <si>
    <t>T+1自动转账标志，1表示自动转账，默认为0，表示T+1要手工再发起证转银</t>
  </si>
  <si>
    <t>小于0表示发生错误</t>
  </si>
  <si>
    <t>FID_YYRQ</t>
  </si>
  <si>
    <t>预约日期</t>
  </si>
  <si>
    <t>FID_WBZH</t>
  </si>
  <si>
    <t>FID_YWLB</t>
  </si>
  <si>
    <t>业务类别，1银转证,2证转银,4查余额,8登记,16撤销,32冲银转证,
64冲证转银 128交易核实 剩下为其它业务</t>
  </si>
  <si>
    <t>本次资金余额或银行余额</t>
  </si>
  <si>
    <t>FID_SQSJ</t>
  </si>
  <si>
    <t>申请时间</t>
  </si>
  <si>
    <t>FID_CLJG</t>
  </si>
  <si>
    <t>处理结果：111表示成功，其它表示失败</t>
  </si>
  <si>
    <t>FID_JGSM</t>
  </si>
  <si>
    <t>处理说明</t>
  </si>
  <si>
    <t>FID_CXSQH</t>
  </si>
  <si>
    <t>原申请号，对冲正记录有效</t>
  </si>
  <si>
    <t>银行发起业务，只能B股转账有效</t>
  </si>
  <si>
    <t>FID_ZQDM</t>
  </si>
  <si>
    <t>标的证券</t>
  </si>
  <si>
    <t>FID_XQJG</t>
  </si>
  <si>
    <t>行权价格</t>
  </si>
  <si>
    <t>FID_XQBL</t>
  </si>
  <si>
    <t>行权比例</t>
  </si>
  <si>
    <t>FID_XQDM</t>
  </si>
  <si>
    <t>行权代码</t>
  </si>
  <si>
    <t>FID_QZDM</t>
  </si>
  <si>
    <t>权证代码</t>
  </si>
  <si>
    <t>资金帐号</t>
  </si>
  <si>
    <t>有效日期</t>
  </si>
  <si>
    <t>FID_SQRQ</t>
  </si>
  <si>
    <t>申请日期</t>
  </si>
  <si>
    <t>FID_CKZE</t>
  </si>
  <si>
    <t>存款总额限制</t>
  </si>
  <si>
    <t>取款总额限制</t>
  </si>
  <si>
    <t>证券代码</t>
  </si>
  <si>
    <t>交易所，可不送</t>
  </si>
  <si>
    <t>FID_ZQMC</t>
  </si>
  <si>
    <t>证券名称</t>
  </si>
  <si>
    <t>FID_JYDW</t>
  </si>
  <si>
    <t>数量单位，只对债券有效，10表示手，1表示张（近期将全改为张）</t>
  </si>
  <si>
    <t>FID_TPBZ</t>
  </si>
  <si>
    <t>1:停牌  0:正常</t>
  </si>
  <si>
    <t>FID_ZXJ</t>
  </si>
  <si>
    <t>最新价</t>
  </si>
  <si>
    <t>FID_ZSP</t>
  </si>
  <si>
    <t>昨收盘</t>
  </si>
  <si>
    <t>FID_JKP</t>
  </si>
  <si>
    <t>今开盘</t>
  </si>
  <si>
    <t>FID_JYJW</t>
  </si>
  <si>
    <t>交易价位，比如0.01表示1分，0.005则表示报价间隔是5厘。</t>
  </si>
  <si>
    <t>FID_JJJYBZ</t>
  </si>
  <si>
    <t>是否净价交易，一般债券为净价交易，1表示净价，0表示否</t>
  </si>
  <si>
    <t>FID_LXBJ</t>
  </si>
  <si>
    <t>债券利息报价</t>
  </si>
  <si>
    <t>FID_ZDBJ</t>
  </si>
  <si>
    <t>最低报价</t>
  </si>
  <si>
    <t>FID_ZGBJ</t>
  </si>
  <si>
    <t>最高报价</t>
  </si>
  <si>
    <t>FID_CJSL</t>
  </si>
  <si>
    <t>总成交数量</t>
  </si>
  <si>
    <t>FID_CJJE</t>
  </si>
  <si>
    <t>总成交金额</t>
  </si>
  <si>
    <t>FID_ZXZS</t>
  </si>
  <si>
    <t>本市场综合指数</t>
  </si>
  <si>
    <t>FID_MRJG1</t>
  </si>
  <si>
    <t>买价1</t>
  </si>
  <si>
    <t>FID_MRJG2</t>
  </si>
  <si>
    <t>买价2</t>
  </si>
  <si>
    <t>FID_MRJG3</t>
  </si>
  <si>
    <t>买价3</t>
  </si>
  <si>
    <t>FID_MRJG4</t>
  </si>
  <si>
    <t>买价4</t>
  </si>
  <si>
    <t>FID_MRJG5</t>
  </si>
  <si>
    <t>买价5</t>
  </si>
  <si>
    <t>FID_MCJG1</t>
  </si>
  <si>
    <t>卖价1</t>
  </si>
  <si>
    <t>FID_MCJG2</t>
  </si>
  <si>
    <t>卖价2</t>
  </si>
  <si>
    <t>FID_MCJG3</t>
  </si>
  <si>
    <t>卖价3</t>
  </si>
  <si>
    <t>FID_MCJG4</t>
  </si>
  <si>
    <t>卖价4</t>
  </si>
  <si>
    <t>FID_MCJG5</t>
  </si>
  <si>
    <t>卖价5</t>
  </si>
  <si>
    <t>FID_MRSL1</t>
  </si>
  <si>
    <t>买量1</t>
  </si>
  <si>
    <t>FID_MRSL2</t>
  </si>
  <si>
    <t>买量2</t>
  </si>
  <si>
    <t>FID_MRSL3</t>
  </si>
  <si>
    <t>买量3</t>
  </si>
  <si>
    <t>FID_MRSL4</t>
  </si>
  <si>
    <t>买量4</t>
  </si>
  <si>
    <t>FID_MRSL5</t>
  </si>
  <si>
    <t>买量5</t>
  </si>
  <si>
    <t>FID_MCSL1</t>
  </si>
  <si>
    <t>卖量1</t>
  </si>
  <si>
    <t>FID_MCSL2</t>
  </si>
  <si>
    <t>卖量2</t>
  </si>
  <si>
    <t>FID_MCSL3</t>
  </si>
  <si>
    <t>卖量3</t>
  </si>
  <si>
    <t>FID_MCSL4</t>
  </si>
  <si>
    <t>卖量4</t>
  </si>
  <si>
    <t>FID_MCSL5</t>
  </si>
  <si>
    <t>卖量5</t>
  </si>
  <si>
    <t>FID_FXED</t>
  </si>
  <si>
    <t>债券发行额度（港股发行额度）</t>
  </si>
  <si>
    <t>FID_KYXYED</t>
  </si>
  <si>
    <t>可用信息额度（港股可用额度）</t>
  </si>
  <si>
    <t>FID_EDKZBZ</t>
  </si>
  <si>
    <t>额度状态控制(1额度用完，2额度可用)</t>
  </si>
  <si>
    <t>FID_ZQLB</t>
  </si>
  <si>
    <t>证券类别</t>
  </si>
  <si>
    <t>FID_JYJS</t>
  </si>
  <si>
    <t>交易基数（港股整手数）</t>
  </si>
  <si>
    <t>FID_GDFJQX</t>
  </si>
  <si>
    <t>股东附加权限：101 报价回购 102 约定购回 103 转融通证券出借</t>
  </si>
  <si>
    <t>FID_ZT</t>
  </si>
  <si>
    <t>权限状态</t>
  </si>
  <si>
    <t>FID_CJRQ</t>
  </si>
  <si>
    <t>首次交易日期</t>
  </si>
  <si>
    <t>FID_KHRQ</t>
  </si>
  <si>
    <t>开户日期</t>
  </si>
  <si>
    <t>FID_XHRQ</t>
  </si>
  <si>
    <t>销户日期</t>
  </si>
  <si>
    <t>FID_JJDM</t>
  </si>
  <si>
    <t>基金代码</t>
  </si>
  <si>
    <t>FID_SGDM</t>
  </si>
  <si>
    <t>申购赎回代码</t>
  </si>
  <si>
    <t>FID_JJMC</t>
  </si>
  <si>
    <t>基金简称</t>
  </si>
  <si>
    <t>FID_RGDM</t>
  </si>
  <si>
    <t>认购代码</t>
  </si>
  <si>
    <t>FID_COUNT</t>
  </si>
  <si>
    <t>成份股个数</t>
  </si>
  <si>
    <t>FID_XJTDBL</t>
  </si>
  <si>
    <t>最高现金替代比例</t>
  </si>
  <si>
    <t>FID_SGSHZT</t>
  </si>
  <si>
    <t>状态，0禁止申赎 1允许申赎</t>
  </si>
  <si>
    <t>FID_TZDW</t>
  </si>
  <si>
    <t>篮子单位，比如100万</t>
  </si>
  <si>
    <t>FID_XJCE</t>
  </si>
  <si>
    <t>预估现金差额</t>
  </si>
  <si>
    <t>FID_SGSHDWJZ</t>
  </si>
  <si>
    <t>上日篮子净值</t>
  </si>
  <si>
    <t>成份股证券代码</t>
  </si>
  <si>
    <t>成份股交易所</t>
  </si>
  <si>
    <t>成份股名称</t>
  </si>
  <si>
    <t>FID_ZQSL</t>
  </si>
  <si>
    <t>成份股数量</t>
  </si>
  <si>
    <t>FID_TDBZ</t>
  </si>
  <si>
    <t>替代标志 0股票 1可用现金 2必须现金 3现金溢价</t>
  </si>
  <si>
    <t>FID_TDJE</t>
  </si>
  <si>
    <t>替代金额</t>
  </si>
  <si>
    <t>FID_YJBL</t>
  </si>
  <si>
    <t>溢价比例</t>
  </si>
  <si>
    <t>FID_HYH</t>
  </si>
  <si>
    <t>自动约定号</t>
  </si>
  <si>
    <t>FID_WTLB</t>
  </si>
  <si>
    <t>交易类别：55意向买入，56意向卖出，57定价买入，58定价卖出，其它无效</t>
  </si>
  <si>
    <t>FID_XWH</t>
  </si>
  <si>
    <t>席位号</t>
  </si>
  <si>
    <t>FID_WTSL</t>
  </si>
  <si>
    <t>委托数量</t>
  </si>
  <si>
    <t>FID_WTJG</t>
  </si>
  <si>
    <t>委托价格</t>
  </si>
  <si>
    <t>状态：1表示有效记录，0表示无效记录</t>
  </si>
  <si>
    <t>FID_USERID</t>
  </si>
  <si>
    <t>用户代码</t>
  </si>
  <si>
    <t>FID_USERNAME</t>
  </si>
  <si>
    <t>用户名称</t>
  </si>
  <si>
    <t>股东附加权限:101 报价回购， 102 约定购回  103转融通证券出借</t>
  </si>
  <si>
    <t>主股东号标志，1表示主股东号，其它为辅助股东号</t>
  </si>
  <si>
    <t>FID_JYQX</t>
  </si>
  <si>
    <t>股东交易权限</t>
  </si>
  <si>
    <t>客户姓名</t>
  </si>
  <si>
    <t>FID_GDXM</t>
  </si>
  <si>
    <t>股东姓名</t>
  </si>
  <si>
    <t>只返回满足条件的其中一条客户信息</t>
  </si>
  <si>
    <t>0  不扩展  1  查询扩展信息</t>
  </si>
  <si>
    <t>数量</t>
  </si>
  <si>
    <t>FID_DRMCWTSL</t>
  </si>
  <si>
    <t>当天卖出冻结</t>
  </si>
  <si>
    <t>FID_DRMRCJSL</t>
  </si>
  <si>
    <t>当天买入成交</t>
  </si>
  <si>
    <t>FID_DRMCCJSL</t>
  </si>
  <si>
    <t>当天卖出成交</t>
  </si>
  <si>
    <t>FID_KSHSL</t>
  </si>
  <si>
    <t>可赎回数量(对ETF基金)</t>
  </si>
  <si>
    <t>FID_KSGSL</t>
  </si>
  <si>
    <t>可申购数量(对成份股)</t>
  </si>
  <si>
    <t>FID_KMCSL</t>
  </si>
  <si>
    <t>可卖出数量</t>
  </si>
  <si>
    <t>FID_DJSL</t>
  </si>
  <si>
    <t>其它冻结</t>
  </si>
  <si>
    <t>FID_FLTSL</t>
  </si>
  <si>
    <t>非流通数量</t>
  </si>
  <si>
    <t>FID_JCCL</t>
  </si>
  <si>
    <t>当前持仓数量，包括了当天买入成交及卖出成交部分</t>
  </si>
  <si>
    <t>FID_WJSSL</t>
  </si>
  <si>
    <t>非交收数量</t>
  </si>
  <si>
    <t>FID_KCRQ</t>
  </si>
  <si>
    <t>开仓日期</t>
  </si>
  <si>
    <t>FID_EXFLG=1时有效，最新市值</t>
  </si>
  <si>
    <t>FID_EXFLG=1时有效，数量单位，对债券有效，1表示张，10表示手</t>
  </si>
  <si>
    <t>FID_EXFLG=1时有效，最新价</t>
  </si>
  <si>
    <t>FID_EXFLG=1时有效，利息报价，对债券有效</t>
  </si>
  <si>
    <t>FID_MRJJ</t>
  </si>
  <si>
    <t>FID_EXFLG=1时有效，买入均价</t>
  </si>
  <si>
    <t>FID_CCJJ</t>
  </si>
  <si>
    <t>成本算法一</t>
  </si>
  <si>
    <t>FID_EXFLG=1时有效，成本价(卖出不影响成本价的算法)</t>
  </si>
  <si>
    <t>FID_BBJ</t>
  </si>
  <si>
    <t>FID_EXFLG=1时有效，保本价（考虑了按当前渠道卖出的费用）</t>
  </si>
  <si>
    <t>FID_FDYK</t>
  </si>
  <si>
    <t>FID_EXFLG=1时有效，浮动盈亏（市价与保本价的计算结果）</t>
  </si>
  <si>
    <t>FID_LJYK</t>
  </si>
  <si>
    <t>FID_EXFLG=1时有效，累计盈亏（未卖出的浮动盈亏+卖出部分实现的盈亏）</t>
  </si>
  <si>
    <t>FID_TBCBJ</t>
  </si>
  <si>
    <t>成本算法二</t>
  </si>
  <si>
    <t>FID_EXFLG=1时有效，摊薄成本价(卖出要摊薄成本的算法)</t>
  </si>
  <si>
    <t>FID_TBBBJ</t>
  </si>
  <si>
    <t>FID_EXFLG=1时有效，摊薄保本价（考虑了当前渠道卖出的费用）</t>
  </si>
  <si>
    <t>FID_TBFDYK</t>
  </si>
  <si>
    <t>FID_EXFLG=1时有效，摊薄浮动盈亏</t>
  </si>
  <si>
    <t>客户营业部（只是为了提高查询效率，交易密码检验时会返回它）</t>
  </si>
  <si>
    <t>客户群组（只是为了提高查询效率，交易密码检验时会返回它）</t>
  </si>
  <si>
    <t>FID_JYLB</t>
  </si>
  <si>
    <t>买卖方向：1买入，2卖出</t>
  </si>
  <si>
    <t>FID_DJJSFS</t>
  </si>
  <si>
    <t>佣金计算方式，1佣金折扣，2净佣金折扣(证管费经手费不折扣)，3佣金率</t>
  </si>
  <si>
    <t>FID_YJZKBL</t>
  </si>
  <si>
    <t>佣金折扣率或佣金率，含义由 FID_DJJSFS决定</t>
  </si>
  <si>
    <t>FID_YJXX</t>
  </si>
  <si>
    <t>折扣后实收佣金下限，为0表示不设置上限</t>
  </si>
  <si>
    <t>FID_YJSX</t>
  </si>
  <si>
    <t>折扣后实收佣金上限，为0表示不设置上限</t>
  </si>
  <si>
    <t>客户所属营业部</t>
  </si>
  <si>
    <t>客户群组</t>
  </si>
  <si>
    <t>交易权限(1 基本交易权限 2 回购融资 4 回购融券 8 ETF申赎 16 权证交易 32 三板报价转让 64 创业板128 债券专业投资 512 退市警示)</t>
  </si>
  <si>
    <t>用于客户买入委托前调用，由后台判断该客户是否适合投资该证券，若不适合，可以直接根据FID_MESSAGE信息来提示客户是否继续委托。</t>
  </si>
  <si>
    <t>返回1表示该客户适合投资该证券，0表示不适合，其它为错误</t>
  </si>
  <si>
    <t>提示信息</t>
  </si>
  <si>
    <t>交易类别，见数据字典，常用的就是1买入，2卖出，4融资，5融券等</t>
  </si>
  <si>
    <t>委托价格，当订单类型为0时，此价格无效</t>
  </si>
  <si>
    <t>FID_DDLX</t>
  </si>
  <si>
    <t>订单类型，默认为0，为1时表示市价订单，委托价格自动按涨停价计算</t>
  </si>
  <si>
    <t>可委托数量</t>
  </si>
  <si>
    <t>交易类别：1买入  2 卖出其他请参考交易类别说明</t>
  </si>
  <si>
    <t>委托价格，对普通回购表示年利率</t>
  </si>
  <si>
    <t>订单类型:0限价,1最优5档剩余撤单,2最优5档剩下转限价等，FLDM=DDLX</t>
  </si>
  <si>
    <t>FID_DDYXRQ</t>
  </si>
  <si>
    <t>订单有效日期，大于当天为有效值。</t>
  </si>
  <si>
    <t>FID_HGRQ</t>
  </si>
  <si>
    <r>
      <rPr>
        <sz val="10.5"/>
        <rFont val="宋体"/>
        <family val="3"/>
        <charset val="134"/>
      </rPr>
      <t>报价回购日期，</t>
    </r>
    <r>
      <rPr>
        <sz val="10.5"/>
        <color indexed="10"/>
        <rFont val="宋体"/>
        <family val="3"/>
        <charset val="134"/>
      </rPr>
      <t>对于JYLB是36时需要送入</t>
    </r>
  </si>
  <si>
    <t>FID_CJBH</t>
  </si>
  <si>
    <r>
      <rPr>
        <sz val="10.5"/>
        <rFont val="宋体"/>
        <family val="3"/>
        <charset val="134"/>
      </rPr>
      <t>成交编号，</t>
    </r>
    <r>
      <rPr>
        <sz val="10.5"/>
        <color indexed="10"/>
        <rFont val="宋体"/>
        <family val="3"/>
        <charset val="134"/>
      </rPr>
      <t>对于JYLB是36时需要送入</t>
    </r>
  </si>
  <si>
    <t>自动约定号，对大宗交易、协议转让时可能需要输入</t>
  </si>
  <si>
    <t>FID_DFXW</t>
  </si>
  <si>
    <t>对方席位，对大宗交易、协议转让时可能需要输入</t>
  </si>
  <si>
    <t>FID_DFGDH</t>
  </si>
  <si>
    <t>对方股东号，对大宗交易、协议转让时可能需要输入</t>
  </si>
  <si>
    <t>FID_WTPCH</t>
  </si>
  <si>
    <t>批次号</t>
  </si>
  <si>
    <t>FID_DDJYXZ</t>
  </si>
  <si>
    <t>订单交易指令限制，详见数据字典中相关描述</t>
  </si>
  <si>
    <t>FID_DDSXXZ</t>
  </si>
  <si>
    <t>订单时效限制，详见数据字典中相关描述</t>
  </si>
  <si>
    <t>FID_WTH</t>
  </si>
  <si>
    <t>委托号，一般是数字类型</t>
  </si>
  <si>
    <t>委托号</t>
  </si>
  <si>
    <t>多笔委托同时下单，提高委托速度，最多暂时支持60笔，其中订单类型见字典 FLDM=DDLX,此处不再赘述。
FJXX固定由30个字节长度的信息串组成，即每30个字节长度代表一条委托信息(每个项目不足位数均用前补0方式)，最多组合60笔委托。</t>
  </si>
  <si>
    <t>笔数，不超过60</t>
  </si>
  <si>
    <t>FID_FJXX</t>
  </si>
  <si>
    <t>C[30的倍数]</t>
  </si>
  <si>
    <t>JYS(2位) ZQDM(6位) WTLB(1或2) WTJG(9个字节,9.3) WTSL(9个字节) 
订单类型(3个字节)</t>
  </si>
  <si>
    <t>委托批次号，未送时，本批次统一使用第一笔委托号作为批次号。</t>
  </si>
  <si>
    <t>只要有一笔成功，即返回正数</t>
  </si>
  <si>
    <t>委托成功笔数</t>
  </si>
  <si>
    <t>本次委托批次号</t>
  </si>
  <si>
    <t>FID_EN_WTH</t>
  </si>
  <si>
    <t>用逗号间隔的委托号，失败则为空，比如：1,2,,3,表示的是2笔失败3笔成功</t>
  </si>
  <si>
    <t>交易类别，见数据字典</t>
  </si>
  <si>
    <t>FID_SBBS</t>
  </si>
  <si>
    <t>成功申请撤单的笔数</t>
  </si>
  <si>
    <t>FID_CXBZ</t>
  </si>
  <si>
    <t>O  委托  W  撤单  A 所有(委托和撤单);默认取值</t>
  </si>
  <si>
    <t>委托批次号</t>
  </si>
  <si>
    <t>0 查询所有委托， 1表示只查询可以撤单的委托</t>
  </si>
  <si>
    <t>查询记录数</t>
  </si>
  <si>
    <t>定位串，首次查询可以送空</t>
  </si>
  <si>
    <t>撤销标志，W表示撤单记录，其它为委托记录</t>
  </si>
  <si>
    <t>订单类型，0表示限价订单，其它见数据字典，FLDM=DDLX</t>
  </si>
  <si>
    <t>FID_WTSJ</t>
  </si>
  <si>
    <t>委托时间</t>
  </si>
  <si>
    <t>FID_SBSJ</t>
  </si>
  <si>
    <t>申报时间</t>
  </si>
  <si>
    <t>FID_SBJG</t>
  </si>
  <si>
    <t>申报结果：0未申报，2已申报，5部分成功，6全部成交，8全部撤单，
其它见数据字典FLDM=WTSBJG</t>
  </si>
  <si>
    <t>结果说明</t>
  </si>
  <si>
    <t>FID_CDSL</t>
  </si>
  <si>
    <t>撤单数量</t>
  </si>
  <si>
    <t>成交数量</t>
  </si>
  <si>
    <t>成交金额</t>
  </si>
  <si>
    <t>FID_CJJG</t>
  </si>
  <si>
    <t>成交均价</t>
  </si>
  <si>
    <t>FID_QSZJ</t>
  </si>
  <si>
    <t>清算资金</t>
  </si>
  <si>
    <t>FID_NODE</t>
  </si>
  <si>
    <t>委托站点信息</t>
  </si>
  <si>
    <t>委托号，与申报委托号必须要送一个。</t>
  </si>
  <si>
    <t>FID_SBWTH</t>
  </si>
  <si>
    <t>申报委托号，与撤销标志要同时送，与委托号必须要送一个</t>
  </si>
  <si>
    <t>撤销标志，与申报委托号要同时送，O委托委托  W 撤单记录</t>
  </si>
  <si>
    <t>是否返回撤单记录，1表示要返回，默认不返回</t>
  </si>
  <si>
    <t>申报委托号</t>
  </si>
  <si>
    <t>撤销标志，O表示委托，W表示撤单记录</t>
  </si>
  <si>
    <t>成交价格</t>
  </si>
  <si>
    <t>委托号范围，多个委托号可以用逗号分隔</t>
  </si>
  <si>
    <t>定位串，首次查询可送空</t>
  </si>
  <si>
    <t>FID_QSJE</t>
  </si>
  <si>
    <t>清算金额</t>
  </si>
  <si>
    <t>FID_CJSJ</t>
  </si>
  <si>
    <t>成交时间</t>
  </si>
  <si>
    <t>成交编号</t>
  </si>
  <si>
    <t>0同时返回撤单记录1只返回成交的记录</t>
  </si>
  <si>
    <t>成交日期</t>
  </si>
  <si>
    <t>到期日期</t>
  </si>
  <si>
    <t>证券类别：H3质押式回购，H4报价回购</t>
  </si>
  <si>
    <t>交易类别，4回购融资，5回购融券(报价回购)</t>
  </si>
  <si>
    <t>FID_YSJE</t>
  </si>
  <si>
    <t>购回应收金额</t>
  </si>
  <si>
    <t>修改后，两种算法的成本价初始值一致</t>
  </si>
  <si>
    <t>成本价</t>
  </si>
  <si>
    <t>用于ETF网下股票认购、网下现金认购</t>
  </si>
  <si>
    <t>ETF认购代码</t>
  </si>
  <si>
    <t>32现金认购，33股票认购</t>
  </si>
  <si>
    <t>FID_RGSL</t>
  </si>
  <si>
    <t>现金认购金额，或者成份股数量</t>
  </si>
  <si>
    <t>网下股票认购时必须此参数，网下现金认购不需要</t>
  </si>
  <si>
    <t>委托开始日期</t>
  </si>
  <si>
    <t>委托结束日期</t>
  </si>
  <si>
    <t>FID_WTRQ</t>
  </si>
  <si>
    <t>委托日期</t>
  </si>
  <si>
    <t>交易类别：32 网下现金认购 33 网下股票认购</t>
  </si>
  <si>
    <t>FID_RGJE</t>
  </si>
  <si>
    <t>网下现金认购有意义：认购金额</t>
  </si>
  <si>
    <t>网下股票认购有意义：股票代码</t>
  </si>
  <si>
    <t>网下股票认购有意义：股票数量</t>
  </si>
  <si>
    <t>网下股票认购有意义：股票名称</t>
  </si>
  <si>
    <t>FID_SXF</t>
  </si>
  <si>
    <t>手续费</t>
  </si>
  <si>
    <t>IP或MAC地址</t>
  </si>
  <si>
    <t>客户对应指定ETF基金下成份股的持仓情况。</t>
  </si>
  <si>
    <t>默认为0表示无持仓不返回对应记录，为1则表示返回所有记录</t>
  </si>
  <si>
    <t>FID_PLWTPCH</t>
  </si>
  <si>
    <t>最新市值</t>
  </si>
  <si>
    <t>买入均价</t>
  </si>
  <si>
    <t>成本价(卖出不影响成本价的算法)</t>
  </si>
  <si>
    <t>保本价（考虑了按当前渠道卖出的费用）</t>
  </si>
  <si>
    <t>浮动盈亏（市价与保本价的计算结果）</t>
  </si>
  <si>
    <t>累计盈亏（未卖出的浮动盈亏+卖出部分实现的盈亏）</t>
  </si>
  <si>
    <t>摊薄成本价(卖出要摊薄成本的算法)</t>
  </si>
  <si>
    <t>摊薄保本价（考虑了当前渠道卖出的费用）</t>
  </si>
  <si>
    <t>摊薄浮动盈亏</t>
  </si>
  <si>
    <t>委托类别</t>
  </si>
  <si>
    <t>FID_YDH</t>
  </si>
  <si>
    <t>记录号</t>
  </si>
  <si>
    <t>FID_PBU</t>
  </si>
  <si>
    <t>交易单元</t>
  </si>
  <si>
    <t>申报数量</t>
  </si>
  <si>
    <t>申报价格</t>
  </si>
  <si>
    <t>FID_LXR</t>
  </si>
  <si>
    <t>联系人</t>
  </si>
  <si>
    <t>FID_LXFS</t>
  </si>
  <si>
    <t>联系方式</t>
  </si>
  <si>
    <t>成交约定号</t>
  </si>
  <si>
    <t>业务类别</t>
  </si>
  <si>
    <t>FID_IBY</t>
  </si>
  <si>
    <t>备用字段</t>
  </si>
  <si>
    <t>FID_LX</t>
  </si>
  <si>
    <t>数据类型</t>
  </si>
  <si>
    <r>
      <rPr>
        <sz val="10.5"/>
        <rFont val="宋体"/>
        <family val="3"/>
        <charset val="134"/>
      </rPr>
      <t>交易类别：</t>
    </r>
    <r>
      <rPr>
        <sz val="10.5"/>
        <color indexed="10"/>
        <rFont val="宋体"/>
        <family val="3"/>
        <charset val="134"/>
      </rPr>
      <t>必须为23</t>
    </r>
    <r>
      <rPr>
        <sz val="10.5"/>
        <rFont val="宋体"/>
        <family val="3"/>
        <charset val="134"/>
      </rPr>
      <t xml:space="preserve"> 港股投票</t>
    </r>
  </si>
  <si>
    <t>FID_FZDM</t>
  </si>
  <si>
    <t>公告编号通过查询港股通公司行为信息查询辅助代码,结果可能多个，可选</t>
  </si>
  <si>
    <t>FID_YYH</t>
  </si>
  <si>
    <t>议案编号</t>
  </si>
  <si>
    <r>
      <rPr>
        <sz val="10.5"/>
        <rFont val="宋体"/>
        <family val="3"/>
        <charset val="134"/>
      </rPr>
      <t>同意数量</t>
    </r>
    <r>
      <rPr>
        <sz val="10.5"/>
        <color indexed="10"/>
        <rFont val="宋体"/>
        <family val="3"/>
        <charset val="134"/>
      </rPr>
      <t xml:space="preserve"> 查询时,当日委托查询304103同样出参FID_MRSL1</t>
    </r>
  </si>
  <si>
    <r>
      <rPr>
        <sz val="10.5"/>
        <rFont val="宋体"/>
        <family val="3"/>
        <charset val="134"/>
      </rPr>
      <t xml:space="preserve">反对数量 </t>
    </r>
    <r>
      <rPr>
        <sz val="10.5"/>
        <color indexed="10"/>
        <rFont val="宋体"/>
        <family val="3"/>
        <charset val="134"/>
      </rPr>
      <t>查询时,当日委托查询304103同样出参FID_MRSL2</t>
    </r>
  </si>
  <si>
    <r>
      <rPr>
        <sz val="10.5"/>
        <rFont val="宋体"/>
        <family val="3"/>
        <charset val="134"/>
      </rPr>
      <t>弃权数量</t>
    </r>
    <r>
      <rPr>
        <sz val="10.5"/>
        <color indexed="10"/>
        <rFont val="宋体"/>
        <family val="3"/>
        <charset val="134"/>
      </rPr>
      <t xml:space="preserve"> 查询时,当日委托查询304103同样出参FID_MRSL3</t>
    </r>
  </si>
  <si>
    <t>委托数量，</t>
  </si>
  <si>
    <r>
      <rPr>
        <sz val="10.5"/>
        <rFont val="宋体"/>
        <family val="3"/>
        <charset val="134"/>
      </rPr>
      <t>交易类别</t>
    </r>
    <r>
      <rPr>
        <sz val="10.5"/>
        <color indexed="10"/>
        <rFont val="宋体"/>
        <family val="3"/>
        <charset val="134"/>
      </rPr>
      <t>：50 申报 52 撤销(必须为50或52,申报和撤销唯一入参不同为此交易类别)</t>
    </r>
  </si>
  <si>
    <r>
      <rPr>
        <sz val="10.5"/>
        <rFont val="宋体"/>
        <family val="3"/>
        <charset val="134"/>
      </rPr>
      <t>委托价格，</t>
    </r>
    <r>
      <rPr>
        <sz val="10.5"/>
        <color indexed="10"/>
        <rFont val="宋体"/>
        <family val="3"/>
        <charset val="134"/>
      </rPr>
      <t>分红方式必须为 100 红利转股</t>
    </r>
  </si>
  <si>
    <t>公司行为编号，通过查询港股通公司行为信息查询辅助代码,结果可能多个，可选</t>
  </si>
  <si>
    <r>
      <rPr>
        <sz val="10.5"/>
        <rFont val="宋体"/>
        <family val="3"/>
        <charset val="134"/>
      </rPr>
      <t>交易类别：</t>
    </r>
    <r>
      <rPr>
        <sz val="10.5"/>
        <color indexed="10"/>
        <rFont val="宋体"/>
        <family val="3"/>
        <charset val="134"/>
      </rPr>
      <t>76 申报 77撤销 （必须为76或77,申报和撤销唯一入参不同为此交易类别）</t>
    </r>
  </si>
  <si>
    <r>
      <rPr>
        <sz val="10.5"/>
        <rFont val="宋体"/>
        <family val="3"/>
        <charset val="134"/>
      </rPr>
      <t>委托价格</t>
    </r>
    <r>
      <rPr>
        <sz val="10.5"/>
        <color indexed="10"/>
        <rFont val="宋体"/>
        <family val="3"/>
        <charset val="134"/>
      </rPr>
      <t xml:space="preserve"> 0.0</t>
    </r>
  </si>
  <si>
    <t>最终得到的查询结果通过304103返回的FID_CJSL （昨日权益数量，保管数量） FID_BRCJSL(累计申报数量) 查询</t>
  </si>
  <si>
    <r>
      <rPr>
        <sz val="10.5"/>
        <rFont val="宋体"/>
        <family val="3"/>
        <charset val="134"/>
      </rPr>
      <t>交易类别：</t>
    </r>
    <r>
      <rPr>
        <sz val="10.5"/>
        <color indexed="10"/>
        <rFont val="宋体"/>
        <family val="3"/>
        <charset val="134"/>
      </rPr>
      <t>108 必须为108</t>
    </r>
  </si>
  <si>
    <t>FID_YWDM</t>
  </si>
  <si>
    <t>参考YWDM数据字典例如(收购:H63 现金选择H66)</t>
  </si>
  <si>
    <t>交易类别</t>
  </si>
  <si>
    <t>FID_QYDJRQ</t>
  </si>
  <si>
    <t>开始日期</t>
  </si>
  <si>
    <t>FID_HGDM</t>
  </si>
  <si>
    <t>回购代码</t>
  </si>
  <si>
    <t>FID_HGMC</t>
  </si>
  <si>
    <t>回购名称</t>
  </si>
  <si>
    <t>FID_DQLL</t>
  </si>
  <si>
    <t>到期利率</t>
  </si>
  <si>
    <t>FID_TQLL</t>
  </si>
  <si>
    <t>提前终止利率</t>
  </si>
  <si>
    <t>FID_HGTS</t>
  </si>
  <si>
    <t>回购天数</t>
  </si>
  <si>
    <t>未来时间自动进行报价回购委托的客户信息，主要包括一天期自动续约客户信息及大额提前终止预约客户信息。</t>
  </si>
  <si>
    <t>FID_CLBZ</t>
  </si>
  <si>
    <t>处理标识：暂时要送0，否则会查到无效的记录</t>
  </si>
  <si>
    <t>FID_DEBS</t>
  </si>
  <si>
    <t>数据标识：0表示一天期自动续约客户信息，1表示大额提前终止预约客户</t>
  </si>
  <si>
    <t>FID_SEQNO</t>
  </si>
  <si>
    <t>预约号</t>
  </si>
  <si>
    <t>CLBZ为0时，表示最近一笔续做委托日期，CLBZ为1表示原委托日期</t>
  </si>
  <si>
    <t>CLBZ为0时，表示最近一笔续做委托号，CLBZ为1表示原成交编号</t>
  </si>
  <si>
    <t>交易类别：DEBS为0时，WTLB=5，DEBS为1时，WTLB=36</t>
  </si>
  <si>
    <t>委托价格：CLBZ为0时表示当前回购价格，CLBZ为1时表示当时提前终止价格</t>
  </si>
  <si>
    <t>预约日期：CLBZ为0时，一般为下一交易日，CLBZ为1时，为预约日期</t>
  </si>
  <si>
    <t>用于大额提前赎回预约或大额提前赎回预约中止、自动续约中止。
大额提前赎回预约：先按304104查询有哪些报价回购未到期，如果通过204501无法正常提前终止，则需要通过本功能进行预约，YYLB=1；
中止预约：即大额提前赎回预约取消，先根据104042(DEBS=1)查询到有哪些提前赎回预约，再通过本功能进行中止，YYLB=3；
中止续约：即一天期报价回购取消续约，先根据104042(DEBS=0)查询到有哪些提前赎回预约，再通过本功能进行中止，YYLB=3；</t>
  </si>
  <si>
    <t>FID_YYLB</t>
  </si>
  <si>
    <t>业务类别：1表示大额提前赎回预约， 3表示中止预约或中止续约</t>
  </si>
  <si>
    <t>提前终止预约
要送</t>
  </si>
  <si>
    <t>YYLB=1时要送，交易类别，暂时送36</t>
  </si>
  <si>
    <t>YYLB=1时要送，原委托日期</t>
  </si>
  <si>
    <t>YYLB=1时要送，原成交编号</t>
  </si>
  <si>
    <t>YYLB=1时要送，预约购回日期</t>
  </si>
  <si>
    <t>中止预(续)约</t>
  </si>
  <si>
    <t>YYLB=3时要送，预约号</t>
  </si>
  <si>
    <t>FID_TADM</t>
  </si>
  <si>
    <t>TA编码</t>
  </si>
  <si>
    <t>基金公司简称</t>
  </si>
  <si>
    <t>FID_JGMC</t>
  </si>
  <si>
    <t>基金公司名称</t>
  </si>
  <si>
    <t>FID_JJFXDJ</t>
  </si>
  <si>
    <t>风险等级， 见数据字典FLDM=OF_JJFXDJ</t>
  </si>
  <si>
    <t>FID_LCCPBZ</t>
  </si>
  <si>
    <t>理财分类， 见数据字典FLDM=OF_LCCPBZ</t>
  </si>
  <si>
    <t>FID_JJJC</t>
  </si>
  <si>
    <t>FID_JJQC</t>
  </si>
  <si>
    <t>基金全称</t>
  </si>
  <si>
    <t>FID_JJJZ</t>
  </si>
  <si>
    <t>基金净值</t>
  </si>
  <si>
    <t>FID_SFFS</t>
  </si>
  <si>
    <t>可多选：1前端收费，2后端收费，4C类收费， 比如3表示支持前、后端收费</t>
  </si>
  <si>
    <t>FID_LJJZ</t>
  </si>
  <si>
    <t>累计净值</t>
  </si>
  <si>
    <t>FID_MWFSY</t>
  </si>
  <si>
    <t>每万份收益</t>
  </si>
  <si>
    <t>FID_NSYL</t>
  </si>
  <si>
    <t>年化收益率</t>
  </si>
  <si>
    <t>股东号（中登开户时有效）</t>
  </si>
  <si>
    <t>用于客户认购申购委托前调用，由后台判断该客户是否适合投资该基金，若不适合，可以直接根据FID_MESSAGE信息来提示客户是否继续委托。</t>
  </si>
  <si>
    <t>FID_JJZH</t>
  </si>
  <si>
    <t>基金账户</t>
  </si>
  <si>
    <t>收费方式：1前端收费 2后端收费 4C类收费</t>
  </si>
  <si>
    <t>FID_FHFS</t>
  </si>
  <si>
    <t>分红方式：1再投资，2现金分红</t>
  </si>
  <si>
    <t>FID_JJSL</t>
  </si>
  <si>
    <t>基金数量</t>
  </si>
  <si>
    <t>FID_KYSL</t>
  </si>
  <si>
    <t>可用数量</t>
  </si>
  <si>
    <t>市值</t>
  </si>
  <si>
    <t>基金公司代码</t>
  </si>
  <si>
    <t>业务代码：020认购，022申购，024赎回</t>
  </si>
  <si>
    <t>收费方式：1前端，2后端，4C类收费</t>
  </si>
  <si>
    <t>FID_WTJE</t>
  </si>
  <si>
    <t>认购申购时表示金额，赎回时，为委托份额</t>
  </si>
  <si>
    <t>赎回申请时有效，巨额赎回处理方式，0表示取消，1表示自动顺延</t>
  </si>
  <si>
    <t>源基金代码</t>
  </si>
  <si>
    <t>源基金收费方式：1前端，2后端，4C类收费</t>
  </si>
  <si>
    <t>FID_WTFE</t>
  </si>
  <si>
    <t>转换转出份额</t>
  </si>
  <si>
    <t>FID_DFJJDM</t>
  </si>
  <si>
    <t>目标基金代码</t>
  </si>
  <si>
    <t>FID_DFSFFS</t>
  </si>
  <si>
    <t>目标基金收费方式：1前端，2后端，4C类收费</t>
  </si>
  <si>
    <t>业务代码，暂时必须送036</t>
  </si>
  <si>
    <t>业务代码，参照标准业务代码，此处不赘述</t>
  </si>
  <si>
    <t>委托份额</t>
  </si>
  <si>
    <t>委托金额</t>
  </si>
  <si>
    <t>委托结果：-1已撤单，其它为正常记录</t>
  </si>
  <si>
    <t>目标基金代码：基金转换时有效</t>
  </si>
  <si>
    <t>目标基金收费方式：基金转换时有效，1前端，2后端，4C类收费</t>
  </si>
  <si>
    <t>分红方式：设置分红方式时有效：1再投资，2现金分红</t>
  </si>
  <si>
    <t>巨额赎回处理方式：0取消，1顺延。 赎回委托时有效</t>
  </si>
  <si>
    <t>FID_PZDM</t>
  </si>
  <si>
    <t>品种代码</t>
  </si>
  <si>
    <t>FID_NOTE</t>
  </si>
  <si>
    <t>名称</t>
  </si>
  <si>
    <t>每月扣款日</t>
  </si>
  <si>
    <t>有效标志：1表示只查询有效记录，默认查询所有记录</t>
  </si>
  <si>
    <t>FID_XYBH</t>
  </si>
  <si>
    <t>协议编号</t>
  </si>
  <si>
    <t>FID_MYKKRQ</t>
  </si>
  <si>
    <t>有效日期开始</t>
  </si>
  <si>
    <t>有效日期结束</t>
  </si>
  <si>
    <t>状态： 0正常，1终止，2已终止，10本月已扣款，见字典FLDM=OF_DQDEXYZT</t>
  </si>
  <si>
    <t>FID_SGJE</t>
  </si>
  <si>
    <t>每次投资金额</t>
  </si>
  <si>
    <t>C256</t>
  </si>
  <si>
    <t>结束日期</t>
  </si>
  <si>
    <t>开通日期</t>
  </si>
  <si>
    <t>开通时间</t>
  </si>
  <si>
    <t>状态：0待审核，1已审核，2待补正</t>
  </si>
  <si>
    <t>FID_ZJKZED</t>
  </si>
  <si>
    <t>增值计划保留额度</t>
  </si>
  <si>
    <t>FID_ZDXY</t>
  </si>
  <si>
    <t>现金宝参与方式（0手动参与，1自动参与）</t>
  </si>
  <si>
    <t>FID_DQRQ</t>
  </si>
  <si>
    <t>保留额度截至日期</t>
  </si>
  <si>
    <t>FID_HYZ</t>
  </si>
  <si>
    <t>激活状态(详见“数据字典”标签页"OF_LCCPJHZT"项)</t>
  </si>
  <si>
    <t>FID_HBSMJG</t>
  </si>
  <si>
    <t>确认说明</t>
  </si>
  <si>
    <t>有些参数不太合理，暂时按以下约定方式处理，后台升级后不再需要送红色部分参数</t>
  </si>
  <si>
    <t>客户营业部，暂时需要此参数，密码检验成功后有返回此字段</t>
  </si>
  <si>
    <t>客户群组，暂时需要此参数，密码检验成功后有返回此字段</t>
  </si>
  <si>
    <t>FID_ZDKZBZ</t>
  </si>
  <si>
    <t>暂时必须送1</t>
  </si>
  <si>
    <t>FID_SQWD</t>
  </si>
  <si>
    <t>C64</t>
  </si>
  <si>
    <t>暂时送MAC地址</t>
  </si>
  <si>
    <t>FID_WDH</t>
  </si>
  <si>
    <t>暂时送客户营业部</t>
  </si>
  <si>
    <t>基金风险等级，暂时要送，基金信息查询时会返回该字段</t>
  </si>
  <si>
    <t>FID_KHQR</t>
  </si>
  <si>
    <t>客户风险承受能力，暂时要送，密码检验成功后有返回此字段(FID_TZZFL)</t>
  </si>
  <si>
    <t>FID_FXJB</t>
  </si>
  <si>
    <t>暂时送1</t>
  </si>
  <si>
    <t>结束日期   ( 0自动    其他不支持)</t>
  </si>
  <si>
    <t>签署途径（0柜台，1电话，2互联网，3其他）</t>
  </si>
  <si>
    <t>协议编号(注意，305209中查询返回的是 FID_WTH 对应此字段)</t>
  </si>
  <si>
    <t>FID_XYDJ</t>
  </si>
  <si>
    <t>信用等级</t>
  </si>
  <si>
    <t>FID_SZSM</t>
  </si>
  <si>
    <t>等级名称</t>
  </si>
  <si>
    <t>信用等级说明</t>
  </si>
  <si>
    <t>FID_ZF</t>
  </si>
  <si>
    <t>评级总分</t>
  </si>
  <si>
    <t>登记日期</t>
  </si>
  <si>
    <t>合同状态，0有效合同，其它为无效合同</t>
  </si>
  <si>
    <t>FID_RZED</t>
  </si>
  <si>
    <t>融资额度</t>
  </si>
  <si>
    <t>FID_RQED</t>
  </si>
  <si>
    <t>融券额度</t>
  </si>
  <si>
    <t>FID_RZXYED</t>
  </si>
  <si>
    <t>融资授信额度</t>
  </si>
  <si>
    <t>FID_RQXYED</t>
  </si>
  <si>
    <t>融券授信额度</t>
  </si>
  <si>
    <t>FID_RZJE</t>
  </si>
  <si>
    <t>融资金额</t>
  </si>
  <si>
    <t>FID_RQJE</t>
  </si>
  <si>
    <t>融券金额</t>
  </si>
  <si>
    <t>FID_RZYJLX</t>
  </si>
  <si>
    <t>融资预计利息</t>
  </si>
  <si>
    <t>FID_RQYJLX</t>
  </si>
  <si>
    <t>融券预计利息</t>
  </si>
  <si>
    <t>保证金比例方式（0：非个性化 1：个性化）</t>
  </si>
  <si>
    <t>FID_RZJEBL</t>
  </si>
  <si>
    <t>融资比例(个性化融资比例）</t>
  </si>
  <si>
    <t>FID_RQJEBL</t>
  </si>
  <si>
    <t>融券比例(个性化融券比例）</t>
  </si>
  <si>
    <t>FID_LLLX</t>
  </si>
  <si>
    <t>利率类型：1额度利率(按申请额度为积数),2使用利率(按实际使用为积数)</t>
  </si>
  <si>
    <t>业务类别，0表示追加额度，1表示降低额度</t>
  </si>
  <si>
    <t>申请融资授信额度，正数</t>
  </si>
  <si>
    <t>申请融券授信额度，正数</t>
  </si>
  <si>
    <t>业务类别，1终止融资授信额度，2终止融券授信额度</t>
  </si>
  <si>
    <t>融资申请授信</t>
  </si>
  <si>
    <t>融券申请授信</t>
  </si>
  <si>
    <t xml:space="preserve">C </t>
  </si>
  <si>
    <t>FID_SXLB</t>
  </si>
  <si>
    <t>证券属性</t>
  </si>
  <si>
    <t>FID_JYZT</t>
  </si>
  <si>
    <t>交易状态</t>
  </si>
  <si>
    <t>扩展标志</t>
  </si>
  <si>
    <t>证券属性：1融资标的，2融券标的，4担保证券。多值累加表达方式。</t>
  </si>
  <si>
    <t>FID_XTZT</t>
  </si>
  <si>
    <t>状态：1-当日禁止融资；2-当日禁止融券</t>
  </si>
  <si>
    <t>FID_ZJBL</t>
  </si>
  <si>
    <t>融资保证金比例</t>
  </si>
  <si>
    <t>融券保证金比例</t>
  </si>
  <si>
    <t>交易状态：1调出融资标的，2调出融券标的，4调出担保物</t>
  </si>
  <si>
    <t>FID_JYLBFW</t>
  </si>
  <si>
    <t>交易类别限制：交易类别（61，63，64，65，66，70）的组合</t>
  </si>
  <si>
    <t>FID_DYBL</t>
  </si>
  <si>
    <t>公司折算比例</t>
  </si>
  <si>
    <t>公司融资比例</t>
  </si>
  <si>
    <t>公司融券比例</t>
  </si>
  <si>
    <t>FID_GRZGCYBL</t>
  </si>
  <si>
    <t>标准融资比例（交易所）</t>
  </si>
  <si>
    <t>FID_JGZGCYBL</t>
  </si>
  <si>
    <t>标准融券比例（交易所）</t>
  </si>
  <si>
    <t>FID_ZCBL</t>
  </si>
  <si>
    <t>标准折算比例（交易所）</t>
  </si>
  <si>
    <t>FID_RZLV</t>
  </si>
  <si>
    <t>实际折算率</t>
  </si>
  <si>
    <t>实际融资比例</t>
  </si>
  <si>
    <t>实际融券比例</t>
  </si>
  <si>
    <t>客户号（非必须）</t>
  </si>
  <si>
    <t>类别（1返回所有融券证券；0：返回非白名单的券源，
加上FID_KHH对应的白名单券源）</t>
  </si>
  <si>
    <t>定位串，首次查询可不送或空</t>
  </si>
  <si>
    <t>当日融券卖出</t>
  </si>
  <si>
    <t>当前可融券数量</t>
  </si>
  <si>
    <t>FID_DXBS</t>
  </si>
  <si>
    <t>券源标识：1-自营证券；2-银行；3-其他；4-白名单；5-未设置券源标识</t>
  </si>
  <si>
    <t>标志：1增强查询，0普通查询</t>
  </si>
  <si>
    <t>返回码</t>
  </si>
  <si>
    <t>返回错误说明</t>
  </si>
  <si>
    <t>FID_BZJ</t>
  </si>
  <si>
    <t>可用保证金</t>
  </si>
  <si>
    <t>FID_BZJBL</t>
  </si>
  <si>
    <t>维持担保比例</t>
  </si>
  <si>
    <t>预计维持担保比例，考虑未成交的情况</t>
  </si>
  <si>
    <t>可用资金</t>
  </si>
  <si>
    <t>FID_ZQSZ</t>
  </si>
  <si>
    <t>证券市值</t>
  </si>
  <si>
    <t>FID_WJSJE</t>
  </si>
  <si>
    <t>当天担保证券提交市值</t>
  </si>
  <si>
    <t>FID_SZZR</t>
  </si>
  <si>
    <t>担保证券市值</t>
  </si>
  <si>
    <t>融资负债(已成交)</t>
  </si>
  <si>
    <t>融券负债(已成交)</t>
  </si>
  <si>
    <t>FID_RZWTJE</t>
  </si>
  <si>
    <t>融资负债(未成交)</t>
  </si>
  <si>
    <t>FID_RQWTJE</t>
  </si>
  <si>
    <t>融券负债(未成交)</t>
  </si>
  <si>
    <t>FID_SZZC</t>
  </si>
  <si>
    <t>融券归还(未成交)</t>
  </si>
  <si>
    <t>追补到比例线的资金差额</t>
  </si>
  <si>
    <t>FID_PCKZ</t>
  </si>
  <si>
    <t>需要平仓的金额</t>
  </si>
  <si>
    <t>需要主动平仓的金额</t>
  </si>
  <si>
    <t>可提资产标准</t>
  </si>
  <si>
    <t>可取资金</t>
  </si>
  <si>
    <t>总资产(不含未成交)</t>
  </si>
  <si>
    <t>FID_HLJE</t>
  </si>
  <si>
    <t>红利未过户金额</t>
  </si>
  <si>
    <t>FID_ZQSZ_RMB</t>
  </si>
  <si>
    <t>未过户市值</t>
  </si>
  <si>
    <t>FID_FZYE</t>
  </si>
  <si>
    <t>总负债(不含未成交)</t>
  </si>
  <si>
    <t>FID_XJZC</t>
  </si>
  <si>
    <t>净资产</t>
  </si>
  <si>
    <t>FID_BRBD</t>
  </si>
  <si>
    <t>本日卖出还款金额</t>
  </si>
  <si>
    <t>FID_YJLX</t>
  </si>
  <si>
    <t>预计利息/费用</t>
  </si>
  <si>
    <t>FID_DFLX</t>
  </si>
  <si>
    <t>占用利息</t>
  </si>
  <si>
    <t>FID_SYZCJE</t>
  </si>
  <si>
    <t>融资盈亏</t>
  </si>
  <si>
    <t>FID_SYZTZE</t>
  </si>
  <si>
    <t>融券盈亏</t>
  </si>
  <si>
    <t>FID_DKJE</t>
  </si>
  <si>
    <t>FID_RZFY</t>
  </si>
  <si>
    <t>融资费用</t>
  </si>
  <si>
    <t>FID_RQFY</t>
  </si>
  <si>
    <t>融券费用</t>
  </si>
  <si>
    <t>FID_HGRZSRJE</t>
  </si>
  <si>
    <t>融资当前市值</t>
  </si>
  <si>
    <t>FID_QTFXX</t>
  </si>
  <si>
    <t>融资占用保证金</t>
  </si>
  <si>
    <t>FID_QTFSX</t>
  </si>
  <si>
    <t>融券占用保证金</t>
  </si>
  <si>
    <t>FID_S5</t>
  </si>
  <si>
    <t>上海担保证券市值</t>
  </si>
  <si>
    <t>FID_S6</t>
  </si>
  <si>
    <t>深圳担保证券市值</t>
  </si>
  <si>
    <t>FID_MAX_D</t>
  </si>
  <si>
    <t>融资浮盈折算</t>
  </si>
  <si>
    <t>FID_MIN_D</t>
  </si>
  <si>
    <t>融资浮亏</t>
  </si>
  <si>
    <t>FID_MAX_L</t>
  </si>
  <si>
    <t>融券浮亏折算</t>
  </si>
  <si>
    <t>FID_MIN_L</t>
  </si>
  <si>
    <t>融券浮亏</t>
  </si>
  <si>
    <t>FID_RZLL</t>
  </si>
  <si>
    <t>FLAG=1时返回，融资利率</t>
  </si>
  <si>
    <t>FID_RQLL</t>
  </si>
  <si>
    <t>FLAG=1时返回，融券利率</t>
  </si>
  <si>
    <t>FLAG=1时返回，合同到期日</t>
  </si>
  <si>
    <t>FID_S1</t>
  </si>
  <si>
    <t>FLAG=1时返回，融资已用额度</t>
  </si>
  <si>
    <t>FID_S2</t>
  </si>
  <si>
    <t>FLAG=1时返回，融券已用额度</t>
  </si>
  <si>
    <t>FLAG=1时返回，融资授信额度</t>
  </si>
  <si>
    <t>FLAG=1时返回，融券授信额度</t>
  </si>
  <si>
    <t>FID_S3</t>
  </si>
  <si>
    <t>FLAG=1时返回，可买担保品资金</t>
  </si>
  <si>
    <t>FID_S4</t>
  </si>
  <si>
    <t>FLAG=1时返回，可还款金额</t>
  </si>
  <si>
    <t>FID_BZS1</t>
  </si>
  <si>
    <t>FLAG=1时返回，融券剩余资金</t>
  </si>
  <si>
    <t>交易类别：参见字典说明</t>
  </si>
  <si>
    <t>委托价格，订单类型为1时则被忽略</t>
  </si>
  <si>
    <t>FID_SBGDH</t>
  </si>
  <si>
    <t>A股股东号</t>
  </si>
  <si>
    <t>指定负债编号，用于指定平仓</t>
  </si>
  <si>
    <t>信用股东号</t>
  </si>
  <si>
    <t>交易类别：1(或65)转入信用账户、2(或66)转出信用账户。</t>
  </si>
  <si>
    <t>划转数量</t>
  </si>
  <si>
    <t>指定负债编号，用于指定负债的余券划转</t>
  </si>
  <si>
    <t>还券数量</t>
  </si>
  <si>
    <t>指定负债编号，用于指定负债的还券划转</t>
  </si>
  <si>
    <t>信用资金账户</t>
  </si>
  <si>
    <t>FID_GHJE</t>
  </si>
  <si>
    <t>偿还金额</t>
  </si>
  <si>
    <t>指定负债编号，用于指定负债的直接还款</t>
  </si>
  <si>
    <t>指定负债编号</t>
  </si>
  <si>
    <t>替代价格</t>
  </si>
  <si>
    <t>交易类别：1买入、2卖出、62卖券还款、63买券还券</t>
  </si>
  <si>
    <t>订单类型，默认为0表示限价订单，市价订单类型见数据字典 FLDM=DDLX</t>
  </si>
  <si>
    <t>指定负债编号，用于指定负债的卖券还款或买券还券</t>
  </si>
  <si>
    <t>交易类别：1(或61)融资买入、2(或64)融券卖出</t>
  </si>
  <si>
    <t>客户号,FID_LSH,FID_ENYYB不能都为空</t>
  </si>
  <si>
    <t>FID_EN_YYB</t>
  </si>
  <si>
    <t>营业部范围</t>
  </si>
  <si>
    <t>FID_EN_KHQZ</t>
  </si>
  <si>
    <t>客户群组范围</t>
  </si>
  <si>
    <t>N8</t>
  </si>
  <si>
    <t>交易类别：61-融资买入，64-融券卖出</t>
  </si>
  <si>
    <t>FID_QYLB</t>
  </si>
  <si>
    <t>权益类别，数据字典：XY_QYLB</t>
  </si>
  <si>
    <t>状态：0-正常，3-了结，9-所有负债</t>
  </si>
  <si>
    <t>0-不返回，1返回多余字段返回</t>
  </si>
  <si>
    <t>0所有负债、1有欠款、2有欠券、3有余券的负债</t>
  </si>
  <si>
    <t>查询顺序：0顺序，1逆序</t>
  </si>
  <si>
    <t>负债流水号</t>
  </si>
  <si>
    <t>FID_FSRQ</t>
  </si>
  <si>
    <t>交易类别：61融资负债，64融券负债</t>
  </si>
  <si>
    <t>FID_RZSL</t>
  </si>
  <si>
    <t>融资数量</t>
  </si>
  <si>
    <t>FID_RQSL</t>
  </si>
  <si>
    <t>融券数量</t>
  </si>
  <si>
    <t>FID_RZWTSL</t>
  </si>
  <si>
    <t>当日融资委托数量</t>
  </si>
  <si>
    <t>当日融资委托金额</t>
  </si>
  <si>
    <t>FID_RQWTSL</t>
  </si>
  <si>
    <t>当日融券委托数量</t>
  </si>
  <si>
    <t>当日委托融券金额</t>
  </si>
  <si>
    <t>FID_RZCJSL</t>
  </si>
  <si>
    <t>当日融资成交数量</t>
  </si>
  <si>
    <t>FID_RZCJJE</t>
  </si>
  <si>
    <t>当日融资成交金额</t>
  </si>
  <si>
    <t>FID_RQCJSL</t>
  </si>
  <si>
    <t>当日融券成交数量</t>
  </si>
  <si>
    <t>FID_RQCJJE</t>
  </si>
  <si>
    <t>当日融券成交金额</t>
  </si>
  <si>
    <t>FID_FZJE</t>
  </si>
  <si>
    <t>负债本金</t>
  </si>
  <si>
    <t>FID_FHJE</t>
  </si>
  <si>
    <t>还款金额</t>
  </si>
  <si>
    <t>FID_FZSL</t>
  </si>
  <si>
    <t>负债数量</t>
  </si>
  <si>
    <t>FID_GHSL</t>
  </si>
  <si>
    <t>FID_DRMCCJJE</t>
  </si>
  <si>
    <t>当日卖券还款额</t>
  </si>
  <si>
    <t>FID_HQWTSL</t>
  </si>
  <si>
    <t>当日买券还券委托数量</t>
  </si>
  <si>
    <t>FID_HQCJSL</t>
  </si>
  <si>
    <t>当日买券还券成交数量</t>
  </si>
  <si>
    <t>FID_YQWTSL</t>
  </si>
  <si>
    <t>当日余券划转委托数量</t>
  </si>
  <si>
    <t>预计利息</t>
  </si>
  <si>
    <t>FID_LXFC</t>
  </si>
  <si>
    <t>已归还利息</t>
  </si>
  <si>
    <t>负债状态：0未了结，1已了解未清算，3已了结</t>
  </si>
  <si>
    <t>FID_LL</t>
  </si>
  <si>
    <t>年利率</t>
  </si>
  <si>
    <t>权益类型：0普通负债 1配股权益补偿负债 2送股权益补偿负债</t>
  </si>
  <si>
    <t>FID_BRLX</t>
  </si>
  <si>
    <t>剩余利息</t>
  </si>
  <si>
    <t>融券剩余资金</t>
  </si>
  <si>
    <t>买券冻结金额</t>
  </si>
  <si>
    <t>买券清算金额</t>
  </si>
  <si>
    <t>融券剩余可用</t>
  </si>
  <si>
    <t>负债数量(委托后)，还券委托、直接还券委托判断用</t>
  </si>
  <si>
    <t>FID_YQSL</t>
  </si>
  <si>
    <t>余券数量(成交后)，余券委托判断用</t>
  </si>
  <si>
    <t>直接还款委托判断用(只用现金还)</t>
  </si>
  <si>
    <t>卖券还款委托判断用</t>
  </si>
  <si>
    <t>FID_QQSL</t>
  </si>
  <si>
    <t>融资买入数量,显示用</t>
  </si>
  <si>
    <t>负债数量(委托后)市值</t>
  </si>
  <si>
    <t>FID_JZXSZ</t>
  </si>
  <si>
    <t>负债数量(成交后)市值</t>
  </si>
  <si>
    <t>FID_DZXSZ</t>
  </si>
  <si>
    <t>负债金额市值</t>
  </si>
  <si>
    <t>融融盈亏</t>
  </si>
  <si>
    <t>FID_FHS1</t>
  </si>
  <si>
    <t xml:space="preserve">R </t>
  </si>
  <si>
    <t>罚息已归还利息</t>
  </si>
  <si>
    <t>FID_TZLX</t>
  </si>
  <si>
    <t>罚息预计利息</t>
  </si>
  <si>
    <t>FID_QYCS</t>
  </si>
  <si>
    <t>展期次数</t>
  </si>
  <si>
    <t>FID_CBBD</t>
  </si>
  <si>
    <t>归还成本</t>
  </si>
  <si>
    <t>FID_DZLX</t>
  </si>
  <si>
    <t>分段利息</t>
  </si>
  <si>
    <t>负债数量(委托后)</t>
  </si>
  <si>
    <t>余券数量(成交后)</t>
  </si>
  <si>
    <t>现金差额(直接还款)</t>
  </si>
  <si>
    <t>现金差额(卖券还款)</t>
  </si>
  <si>
    <t>FID_HZJE</t>
  </si>
  <si>
    <t>指令类别：0平仓指令，1追保指令，2补仓通知</t>
  </si>
  <si>
    <t>指令编号</t>
  </si>
  <si>
    <t>指令状态</t>
  </si>
  <si>
    <t>需追保资金</t>
  </si>
  <si>
    <t>申请说明</t>
  </si>
  <si>
    <t>详细标志，为1表示查询详细信息，默认为0</t>
  </si>
  <si>
    <t>查询条件：0为有效的记录，建议送0</t>
  </si>
  <si>
    <t>FID_XMLSH</t>
  </si>
  <si>
    <t>变动顺序号</t>
  </si>
  <si>
    <t>撤销标志：0为有效的记录，其它为无效的记录</t>
  </si>
  <si>
    <t>发生金额</t>
  </si>
  <si>
    <t>FID_FSSL</t>
  </si>
  <si>
    <t>发生数量</t>
  </si>
  <si>
    <t>标志：&lt;=1成交引起,2清算引起，3权益补偿引起</t>
  </si>
  <si>
    <t>变动说明</t>
  </si>
  <si>
    <t>通过融资融券系统查询集中交易系统中的股东号，类似304001功能，但前者服务是部署在融资融券中，而后者是部署在集中交易系统中。
融资融券集中部署时，则该功能服务无效，请与具体的券商联系融资融券部署方式。</t>
  </si>
  <si>
    <t>通过融资融券系统查询集中交易系统中的证券持仓，类似304101功能，但前者服务是部署在融资融券中，而后者是部署在集中交易系统中。
融资融券集中部署时，则该功能服务无效，请与具体的券商联系融资融券部署方式。</t>
  </si>
  <si>
    <t>FID_WTJE和FID_WTSL必须有一个非空</t>
  </si>
  <si>
    <r>
      <rPr>
        <sz val="10.5"/>
        <rFont val="宋体"/>
        <family val="3"/>
        <charset val="134"/>
      </rPr>
      <t xml:space="preserve">   1、单一客户融资规模占净资本比例阀值可设置并前端控制；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2、单一客户融券规模占净资本比例阀值可设置并前端控制；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3、全体客户单一担保证券市值与该证券总市值比例可设置并前端控制；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4、全体客户融资对单一证券的持仓规模与该证券流通股本的比例可设置并前端控制；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5、全体客户融券对单一证券的持仓规模与该证券流通股本的比例可设置并前端控制；</t>
    </r>
  </si>
  <si>
    <t>1:校验通过  &lt;0:校验不通过</t>
  </si>
  <si>
    <t>索引串</t>
  </si>
  <si>
    <t>FID_JSJ</t>
  </si>
  <si>
    <t>结算价</t>
  </si>
  <si>
    <t>标准佣金</t>
  </si>
  <si>
    <t>实收佣金</t>
  </si>
  <si>
    <t>印花税</t>
  </si>
  <si>
    <t>过户费</t>
  </si>
  <si>
    <t>附加费</t>
  </si>
  <si>
    <t>结算费</t>
  </si>
  <si>
    <t>其它费</t>
  </si>
  <si>
    <t>FID_CJBS</t>
  </si>
  <si>
    <t>成交笔数</t>
  </si>
  <si>
    <t>应收金额</t>
  </si>
  <si>
    <t>FID_BCZQSL</t>
  </si>
  <si>
    <t>证券余额</t>
  </si>
  <si>
    <t>交收日期</t>
  </si>
  <si>
    <t>FID_SQBH</t>
  </si>
  <si>
    <t>申请编号</t>
  </si>
  <si>
    <t>FID_QRRQ</t>
  </si>
  <si>
    <t>FID_QRFE</t>
  </si>
  <si>
    <t>确认份额</t>
  </si>
  <si>
    <t>FID_QRJE</t>
  </si>
  <si>
    <t>确认金额</t>
  </si>
  <si>
    <t>FID_FEYE</t>
  </si>
  <si>
    <t>份额余额</t>
  </si>
  <si>
    <t>定位串，首次查询可不送</t>
  </si>
  <si>
    <t>0顺序逆序，1逆序</t>
  </si>
  <si>
    <t>收入金额</t>
  </si>
  <si>
    <t>付出金额</t>
  </si>
  <si>
    <t>记录数</t>
  </si>
  <si>
    <t>0顺序逆序1逆序</t>
  </si>
  <si>
    <t>B股转账用</t>
  </si>
  <si>
    <t>FID_EN_JYLB</t>
  </si>
  <si>
    <t>状态</t>
  </si>
  <si>
    <t>营业部范围（按发生营业部）</t>
  </si>
  <si>
    <t>分页索引值</t>
  </si>
  <si>
    <t>日期</t>
  </si>
  <si>
    <t>FID_JSZH</t>
  </si>
  <si>
    <t>结算账户</t>
  </si>
  <si>
    <t>FID_LXJS</t>
  </si>
  <si>
    <t>利息基数</t>
  </si>
  <si>
    <t>利率</t>
  </si>
  <si>
    <t>归还利息费用</t>
  </si>
  <si>
    <t>FID_TZJS</t>
  </si>
  <si>
    <t>罚息利息基数</t>
  </si>
  <si>
    <t>价格</t>
  </si>
  <si>
    <t>负债状态</t>
  </si>
  <si>
    <t>当日归还利息费用</t>
  </si>
  <si>
    <t>保证金比例</t>
  </si>
  <si>
    <t>占用保证金</t>
  </si>
  <si>
    <t>FID_SGSL</t>
  </si>
  <si>
    <t>送股数量</t>
  </si>
  <si>
    <t>红利金额</t>
  </si>
  <si>
    <t>其他数量</t>
  </si>
  <si>
    <t>其他金额</t>
  </si>
  <si>
    <t>累计盈亏</t>
  </si>
  <si>
    <t>委托有效日期</t>
  </si>
  <si>
    <t>待偿还数量</t>
  </si>
  <si>
    <t>指定委托标志</t>
  </si>
  <si>
    <t>当前分页索引值</t>
  </si>
  <si>
    <t>现金宝资金保留额度设置(提供给第三方调用，如网上交易等，投资者在家就可以操作)</t>
  </si>
  <si>
    <t>理财合同号</t>
  </si>
  <si>
    <t>保留截止日</t>
  </si>
  <si>
    <t>保留额度</t>
  </si>
  <si>
    <t>资金帐户</t>
  </si>
  <si>
    <t>摘要</t>
  </si>
  <si>
    <t>修改客户理财电子合同协议</t>
  </si>
  <si>
    <t>合同号</t>
  </si>
  <si>
    <t>激活状态(详见“数据字典”标签页"OF_LCCPJHZT"项) 解约传2</t>
  </si>
  <si>
    <t>综合业务平台委托功能：包含报价回购、约定购回
报价回购委托要素：委托价格、购回价格、订单有效日期；报价回购提前终止要素：委托价格、购回价格、原成交日期、原成交编号</t>
  </si>
  <si>
    <r>
      <rPr>
        <sz val="10.5"/>
        <rFont val="宋体"/>
        <family val="3"/>
        <charset val="134"/>
      </rPr>
      <t>F</t>
    </r>
    <r>
      <rPr>
        <sz val="11"/>
        <color indexed="8"/>
        <rFont val="宋体"/>
        <family val="3"/>
        <charset val="134"/>
      </rPr>
      <t>ID_KHH</t>
    </r>
  </si>
  <si>
    <r>
      <rPr>
        <sz val="10.5"/>
        <rFont val="宋体"/>
        <family val="3"/>
        <charset val="134"/>
      </rPr>
      <t>F</t>
    </r>
    <r>
      <rPr>
        <sz val="11"/>
        <color indexed="8"/>
        <rFont val="宋体"/>
        <family val="3"/>
        <charset val="134"/>
      </rPr>
      <t>ID_JYS</t>
    </r>
  </si>
  <si>
    <r>
      <rPr>
        <sz val="10.5"/>
        <rFont val="宋体"/>
        <family val="3"/>
        <charset val="134"/>
      </rPr>
      <t>F</t>
    </r>
    <r>
      <rPr>
        <sz val="11"/>
        <color indexed="8"/>
        <rFont val="宋体"/>
        <family val="3"/>
        <charset val="134"/>
      </rPr>
      <t>ID_GDH</t>
    </r>
  </si>
  <si>
    <r>
      <rPr>
        <sz val="10.5"/>
        <rFont val="宋体"/>
        <family val="3"/>
        <charset val="134"/>
      </rPr>
      <t>F</t>
    </r>
    <r>
      <rPr>
        <sz val="11"/>
        <color indexed="8"/>
        <rFont val="宋体"/>
        <family val="3"/>
        <charset val="134"/>
      </rPr>
      <t>ID_ZQDM</t>
    </r>
  </si>
  <si>
    <t>交易类别：5-报价回购，36-提前终止</t>
  </si>
  <si>
    <t>委托价格：交易类别为5时是委托价格，36时是购回价格</t>
  </si>
  <si>
    <t>FID_GHJG</t>
  </si>
  <si>
    <t>购回价格：交易类别为5时是购回价格，36时是委托价格</t>
  </si>
  <si>
    <t>交易类别为36时表示原成交日期</t>
  </si>
  <si>
    <t>交易类别为36时表示原成交编号</t>
  </si>
  <si>
    <t>FID_YWTH</t>
  </si>
  <si>
    <t>资管转让对方委托号</t>
  </si>
  <si>
    <t>资管转让对方股东号</t>
  </si>
  <si>
    <t>资管转让对方席位</t>
  </si>
  <si>
    <t>订单有效日期：一天期报价回购自动续约的有效期</t>
  </si>
  <si>
    <t>综合业务委托撤单</t>
  </si>
  <si>
    <t>可买卖数量</t>
  </si>
  <si>
    <t>客户综合业务当日委托查询</t>
  </si>
  <si>
    <t>查询客户综合业务当日委托</t>
  </si>
  <si>
    <t>委托价格:报价回购为委托价格，提前终止为购回价格</t>
  </si>
  <si>
    <t>购回价格:报价回购为购回价格，提前终止为委托价格</t>
  </si>
  <si>
    <t>委托金额:初始交易为委托金额，购回交易为购回金额</t>
  </si>
  <si>
    <t>购回金额:初始交易为购回金额，购回交易为委托金额</t>
  </si>
  <si>
    <t>原成交日期/购回日期</t>
  </si>
  <si>
    <t>原成交编号</t>
  </si>
  <si>
    <t>申报结果：10未申报，1已申报，2确认成功，8全部撤单，
其它见数据字典FLDM=WTSBJG</t>
  </si>
  <si>
    <t>FID_GHTS</t>
  </si>
  <si>
    <t>回购天数（产品天数）</t>
  </si>
  <si>
    <t>FID_GFXZ</t>
  </si>
  <si>
    <t>股份性质（微贷为0）</t>
  </si>
  <si>
    <t>委托数量（需要计算的数量）</t>
  </si>
  <si>
    <t>FID_GHRQ</t>
  </si>
  <si>
    <t>预计购回日期</t>
  </si>
  <si>
    <t>前端送入的折算价格</t>
  </si>
  <si>
    <t>FID_JGKZBZ</t>
  </si>
  <si>
    <t>价格控制标志(0默认按昨收盘, 1按最新价)</t>
  </si>
  <si>
    <t>FID_ZJFL</t>
  </si>
  <si>
    <t>资金用途（0小微贷，1新股贷，2投资贷）</t>
  </si>
  <si>
    <t>微贷标志（1为微贷）</t>
  </si>
  <si>
    <t>标准利率</t>
  </si>
  <si>
    <t>FID_RZFDLL</t>
  </si>
  <si>
    <t>浮动利率（微贷无意义）</t>
  </si>
  <si>
    <t>FID_TJFL</t>
  </si>
  <si>
    <t>证券分类(对应折算率分类名称)</t>
  </si>
  <si>
    <t>FID_TS</t>
  </si>
  <si>
    <t>购回天数（输入的购回天数）</t>
  </si>
  <si>
    <t>折算率</t>
  </si>
  <si>
    <t>FID_RZJESX</t>
  </si>
  <si>
    <t>预计折算金额</t>
  </si>
  <si>
    <t>FID_LXJE</t>
  </si>
  <si>
    <t>利息金额</t>
  </si>
  <si>
    <t>FID_DYSZ</t>
  </si>
  <si>
    <t>抵押市值</t>
  </si>
  <si>
    <t>质押回购微贷参数查询</t>
  </si>
  <si>
    <t>FID_JYRQ</t>
  </si>
  <si>
    <t>交易天数</t>
  </si>
  <si>
    <t>FID_CPDM</t>
  </si>
  <si>
    <t>产品代码</t>
  </si>
  <si>
    <t>FID_CPMC</t>
  </si>
  <si>
    <t>产品名称</t>
  </si>
  <si>
    <t>FID_JXTS</t>
  </si>
  <si>
    <t>最低交易天数</t>
  </si>
  <si>
    <t>R9.6</t>
  </si>
  <si>
    <t>FID_ZED</t>
  </si>
  <si>
    <t>R16.2</t>
  </si>
  <si>
    <t>总额度</t>
  </si>
  <si>
    <t>FID_ZYED</t>
  </si>
  <si>
    <t>占用额度</t>
  </si>
  <si>
    <t>融出方席位</t>
  </si>
  <si>
    <t>融出方股东</t>
  </si>
  <si>
    <t>FID_DFXZ</t>
  </si>
  <si>
    <t>融出方性质</t>
  </si>
  <si>
    <t>FID_ZQRMC</t>
  </si>
  <si>
    <t>融出方名称</t>
  </si>
  <si>
    <t>FID_SX1</t>
  </si>
  <si>
    <t>属性，参照数据WDKZSX字典，解析如下：（与或运算）
2 不支持初始交易
4 随借随还产品
8 提前购回按随借随还利率计息
16 禁止提前购回</t>
  </si>
  <si>
    <t>FID_ZQXZMS</t>
  </si>
  <si>
    <t>顺延模式：0顺延一次到某个产品，1顺延一次到下个产品，
2按天数顺序逐个顺延，3禁止延期</t>
  </si>
  <si>
    <t>顺延天数，和顺延模式配合使用：
顺延模式0时，表示顺延成新产品的交易天数，如7天期顺延成28天，那么就是28
顺延模式1时，表示在原产品交易天数基础上顺延多少天成新产品的交易天数，如7天顺延成14天，那么就是7
顺延模式2时，表示该类资金用途的产品使用逐个产品顺序顺延</t>
  </si>
  <si>
    <t>预警履约金比例</t>
  </si>
  <si>
    <t>FID_LYJBL</t>
  </si>
  <si>
    <t>最低履约金比例</t>
  </si>
  <si>
    <t>最少交易天数</t>
  </si>
  <si>
    <t>FID_BYDZ1</t>
  </si>
  <si>
    <t>交易权限</t>
  </si>
  <si>
    <t>FID_BYDZ2</t>
  </si>
  <si>
    <t>摘要3</t>
  </si>
  <si>
    <t>查询债券抵押明细</t>
  </si>
  <si>
    <t>客户群组范围，原则上不限长度</t>
  </si>
  <si>
    <t>营业部范围，原则上不限长度</t>
  </si>
  <si>
    <t>债券代码</t>
  </si>
  <si>
    <t>FID_BZQDM</t>
  </si>
  <si>
    <t>标准券代码</t>
  </si>
  <si>
    <t>FID_EN_GSFL</t>
  </si>
  <si>
    <t>公司分类范围，原则上不限长度</t>
  </si>
  <si>
    <t>FID_DYSL</t>
  </si>
  <si>
    <t>抵押数量</t>
  </si>
  <si>
    <t xml:space="preserve">起始历史记录索引值  </t>
  </si>
  <si>
    <t>行号</t>
  </si>
  <si>
    <t>交易所编码</t>
  </si>
  <si>
    <t>返回说明</t>
  </si>
  <si>
    <t>证券数量</t>
  </si>
  <si>
    <t>FID_MRJE</t>
  </si>
  <si>
    <t>买入金额</t>
  </si>
  <si>
    <t>FID_MCJE</t>
  </si>
  <si>
    <t>卖出金额</t>
  </si>
  <si>
    <t>FID_BBYK</t>
  </si>
  <si>
    <t>本笔盈亏</t>
  </si>
  <si>
    <t>FID_JYFY</t>
  </si>
  <si>
    <t>交易费用</t>
  </si>
  <si>
    <t>FID_GSFL</t>
  </si>
  <si>
    <t>公司级客户分类</t>
  </si>
  <si>
    <t>起始历史记录索引值</t>
  </si>
  <si>
    <t xml:space="preserve">基金公司代码 </t>
  </si>
  <si>
    <t>收费方式，可多选：1前端收费，2后端收费，4C类收费， 
比如3表示支持前、后端收费</t>
  </si>
  <si>
    <t>到期（兑付日期）</t>
  </si>
  <si>
    <t>基金帐号</t>
  </si>
  <si>
    <t>基金份额数量</t>
  </si>
  <si>
    <t>冻结数量</t>
  </si>
  <si>
    <t>操作摘要</t>
  </si>
  <si>
    <t>FID_ORDERS</t>
  </si>
  <si>
    <t>订单顺序号</t>
  </si>
  <si>
    <t>每月申购金额</t>
  </si>
  <si>
    <t>基金账号</t>
  </si>
  <si>
    <t>N2</t>
  </si>
  <si>
    <t>收费方式</t>
  </si>
  <si>
    <t>有效结束日期</t>
  </si>
  <si>
    <t>业务流水号</t>
  </si>
  <si>
    <t>FID_CFBL</t>
  </si>
  <si>
    <t>拆分比例</t>
  </si>
  <si>
    <t>FID_WTZT</t>
  </si>
  <si>
    <t>拆分状态</t>
  </si>
  <si>
    <t>转换状态</t>
  </si>
  <si>
    <t>FID_ZDHBSL</t>
  </si>
  <si>
    <t>最低合并数量</t>
  </si>
  <si>
    <t>FID_ZDCFSL</t>
  </si>
  <si>
    <t>最低拆分数量</t>
  </si>
  <si>
    <t>备注</t>
  </si>
  <si>
    <t>FID_FXRDM</t>
  </si>
  <si>
    <t>发行人代码</t>
  </si>
  <si>
    <t>FID_CPXM</t>
  </si>
  <si>
    <t>C200</t>
  </si>
  <si>
    <t>产品项目</t>
  </si>
  <si>
    <t>FID_ZCYE</t>
  </si>
  <si>
    <t>资产余额</t>
  </si>
  <si>
    <t>负债余额</t>
  </si>
  <si>
    <t>FID_ZHDM</t>
  </si>
  <si>
    <t>帐户代码</t>
  </si>
  <si>
    <t>非流通市值</t>
  </si>
  <si>
    <t>汇总金额</t>
  </si>
  <si>
    <t>FID_EN_ZQDM</t>
  </si>
  <si>
    <t>交易单位</t>
  </si>
  <si>
    <t>允许的交易类别</t>
  </si>
  <si>
    <t>FID_PYDM</t>
  </si>
  <si>
    <t>拼音代码</t>
  </si>
  <si>
    <t>FID_MMXZ</t>
  </si>
  <si>
    <t>买卖限制</t>
  </si>
  <si>
    <t>利息报价</t>
  </si>
  <si>
    <t>交易价位</t>
  </si>
  <si>
    <t>FID_DDLXXZ</t>
  </si>
  <si>
    <t>订单类型限制</t>
  </si>
  <si>
    <t>FID_BSDDZXSL</t>
  </si>
  <si>
    <t>冰山订单最小商量</t>
  </si>
  <si>
    <t>FID_BSDDZXPLSL</t>
  </si>
  <si>
    <t>冰山订单最小披露数量</t>
  </si>
  <si>
    <t>FID_ISIN</t>
  </si>
  <si>
    <t>ISIN代码</t>
  </si>
  <si>
    <t>净价交易标志</t>
  </si>
  <si>
    <t>客户号（客户号和营业部范围必须有一个有值）</t>
  </si>
  <si>
    <t>FID_BH</t>
  </si>
  <si>
    <t>合同编号</t>
  </si>
  <si>
    <t>营业部范围（客户号和营业部范围必须有一个有值）</t>
  </si>
  <si>
    <t>合同融资额度</t>
  </si>
  <si>
    <t>合同融券额度</t>
  </si>
  <si>
    <t>授信融资额度</t>
  </si>
  <si>
    <t>授信融券额度</t>
  </si>
  <si>
    <t>利率类型</t>
  </si>
  <si>
    <t>融资利率</t>
  </si>
  <si>
    <t>融券利率</t>
  </si>
  <si>
    <t>FID_RZXYLX</t>
  </si>
  <si>
    <t>融资占用利息</t>
  </si>
  <si>
    <t>FID_RQXYLX</t>
  </si>
  <si>
    <t>融券占用利息</t>
  </si>
  <si>
    <t>融资使用预计利息</t>
  </si>
  <si>
    <t>融券使用预计利息</t>
  </si>
  <si>
    <t>总资产</t>
  </si>
  <si>
    <t>总负债</t>
  </si>
  <si>
    <t>账户余额</t>
  </si>
  <si>
    <t>担保市值</t>
  </si>
  <si>
    <t>合同开始日期</t>
  </si>
  <si>
    <t>合同结束日期</t>
  </si>
  <si>
    <t>可提取额度</t>
  </si>
  <si>
    <t>上海担保市值</t>
  </si>
  <si>
    <t>深圳担保市值</t>
  </si>
  <si>
    <t>未过户权益金额</t>
  </si>
  <si>
    <t>未过户证券市值</t>
  </si>
  <si>
    <t>FID_ZQSZ_ZSRMB</t>
  </si>
  <si>
    <t>担保市值折算</t>
  </si>
  <si>
    <t>可提取资金</t>
  </si>
  <si>
    <t>融券剩余可用资金</t>
  </si>
  <si>
    <t>FID_S12</t>
  </si>
  <si>
    <t>融资利息</t>
  </si>
  <si>
    <t>FID_S13</t>
  </si>
  <si>
    <t>融资负债</t>
  </si>
  <si>
    <t>融资市值</t>
  </si>
  <si>
    <t>融资浮盈</t>
  </si>
  <si>
    <t>FID_S11</t>
  </si>
  <si>
    <t>融券负债</t>
  </si>
  <si>
    <t>FID_S7</t>
  </si>
  <si>
    <t>融券当前市值</t>
  </si>
  <si>
    <t>融券浮盈</t>
  </si>
  <si>
    <t>融券浮盈折算</t>
  </si>
  <si>
    <t>FID_EN_ZQLB</t>
  </si>
  <si>
    <t>证券类别范围</t>
  </si>
  <si>
    <t>证券代码（实为席位代码）</t>
  </si>
  <si>
    <t>证券数量（权益数量）</t>
  </si>
  <si>
    <t>FID_DZRQ</t>
  </si>
  <si>
    <t>到帐日期（清算日期）</t>
  </si>
  <si>
    <t>证券代码，初始交易、补充质押时必填</t>
  </si>
  <si>
    <t>协议编号，除初始交易外必填；
当为补充质押时，送入的值为初始交易的XYBH(协议编号)，其实也是（BH）编号，因为系统中保存的初始交易记录中的XYBH和BH是相等的
当为解除质押或购回交易时，确保填入的值是合约信息中的BH（编号）</t>
  </si>
  <si>
    <t>委托类别（53初始交易，54补充质押，84购回交易，
85部分解除质押，86违约处置，87终止购回）</t>
  </si>
  <si>
    <t>委托数量，初始交易、补充质押时必填，部分解除质押时可填</t>
  </si>
  <si>
    <t>委托方式，参照顶点委托方式数据字典</t>
  </si>
  <si>
    <t>FID_AUTOSAVE</t>
  </si>
  <si>
    <t>初始交易时，若填1表示自动展期</t>
  </si>
  <si>
    <t>当此域送入'YJLXCX'时仅用于查询当前时点购回的预计利息（非委托功能）</t>
  </si>
  <si>
    <t>FID_OPTERATOR</t>
  </si>
  <si>
    <t>购回时，若填1表示手工展期操作，同时CPDM填展期天数对应的产品代码</t>
  </si>
  <si>
    <t>委托金额，借款金额，初始交易必填，部分解除质押时可填</t>
  </si>
  <si>
    <t>借款金额</t>
  </si>
  <si>
    <t>预计还款金额</t>
  </si>
  <si>
    <t>天数</t>
  </si>
  <si>
    <t>FID_JXFS</t>
  </si>
  <si>
    <t>年利率天数</t>
  </si>
  <si>
    <t>YYB(可多个)</t>
  </si>
  <si>
    <t>客户群组（可多个）</t>
  </si>
  <si>
    <t>委托类别（多个）</t>
  </si>
  <si>
    <t>编号</t>
  </si>
  <si>
    <t>FID_ZQRBM</t>
  </si>
  <si>
    <t>质权人类型，0为自营，1为资管</t>
  </si>
  <si>
    <t>日期区间标识串，和FID_KSRQ、FID_JSRQ配合使用：
当为"CJRQ"时，表示查成交日期在开始日期和结束日期区间合约信息；
当为"QSRQ"时，查清算日期在开始日期和结束日期区间合约信息；
当为"GHRQ"时，表示查购回日期在开始日期和结束日期区间合约信息；
当为"YJGHRQ"时，查预计购回日期在开始日期和结束日期区间合约信息；</t>
  </si>
  <si>
    <t>开始日期，成交日期大于开始日期</t>
  </si>
  <si>
    <t>结束日期，成交日期大于结束日期</t>
  </si>
  <si>
    <t>FID_JSBZ</t>
  </si>
  <si>
    <t>交收标志（1为交收 0为待交收）</t>
  </si>
  <si>
    <t>FID_XYSYBZ</t>
  </si>
  <si>
    <t>顺延标志</t>
  </si>
  <si>
    <t>FID_LOGICAL</t>
  </si>
  <si>
    <t>查询逻辑,1最新市值,2当时市值</t>
  </si>
  <si>
    <t>扩展标志，查履约金（暂无意义）</t>
  </si>
  <si>
    <t>股份性质</t>
  </si>
  <si>
    <t>委托方式</t>
  </si>
  <si>
    <t>FID_SBBZ</t>
  </si>
  <si>
    <t>申报标志，0为未申报，1为已申报</t>
  </si>
  <si>
    <t>查询起始项</t>
  </si>
  <si>
    <t>查询行数</t>
  </si>
  <si>
    <t>排序方式</t>
  </si>
  <si>
    <t xml:space="preserve">编号        </t>
  </si>
  <si>
    <t>股份性质：0流通股，1非流通股</t>
  </si>
  <si>
    <t>R9.4</t>
  </si>
  <si>
    <t>FID_JSJE</t>
  </si>
  <si>
    <t>实际购回金额</t>
  </si>
  <si>
    <t>红利已购回金额</t>
  </si>
  <si>
    <t>FID_QSRQ</t>
  </si>
  <si>
    <t>清算日期</t>
  </si>
  <si>
    <t>FID_YJGHRQ</t>
  </si>
  <si>
    <t>实际购回日期</t>
  </si>
  <si>
    <t xml:space="preserve">交收标志 </t>
  </si>
  <si>
    <t>已购回数量</t>
  </si>
  <si>
    <t>委托类别 53,6</t>
  </si>
  <si>
    <t>初始交易购回价格（融资年利率%）</t>
  </si>
  <si>
    <t>FID_ID</t>
  </si>
  <si>
    <t>可解除资金</t>
  </si>
  <si>
    <t>对方席位号</t>
  </si>
  <si>
    <t>FID_HYBH</t>
  </si>
  <si>
    <t>C24</t>
  </si>
  <si>
    <t>初始合同编号</t>
  </si>
  <si>
    <t>待转利息</t>
  </si>
  <si>
    <t>FID_JXRQ</t>
  </si>
  <si>
    <t>结息日期</t>
  </si>
  <si>
    <t>FID_JXJE</t>
  </si>
  <si>
    <t>结息金额</t>
  </si>
  <si>
    <t>FID_FXJ</t>
  </si>
  <si>
    <t>罚息金额</t>
  </si>
  <si>
    <t>FID_BSC</t>
  </si>
  <si>
    <t>C512</t>
  </si>
  <si>
    <t>STEP信息</t>
  </si>
  <si>
    <t>融出方股东号</t>
  </si>
  <si>
    <t>融出方账户性质</t>
  </si>
  <si>
    <t>融出方账户名称</t>
  </si>
  <si>
    <t>FID_NF</t>
  </si>
  <si>
    <t>股票年份</t>
  </si>
  <si>
    <t>购回(WTLB=84)方式：1提前购回，2正常购回，3延期购回</t>
  </si>
  <si>
    <t>是否同意自动延期：1同意，其他值不同意</t>
  </si>
  <si>
    <t>FID_ZYHYBH</t>
  </si>
  <si>
    <t>质押编号</t>
  </si>
  <si>
    <t>分页索引列ZYBH</t>
  </si>
  <si>
    <t>FID_JSJG</t>
  </si>
  <si>
    <t>自带入的折算价格</t>
  </si>
  <si>
    <t>可融资金额</t>
  </si>
  <si>
    <t>最新价（=0时取昨收盘）</t>
  </si>
  <si>
    <t>可抵押数量</t>
  </si>
  <si>
    <t>FID_BL</t>
  </si>
  <si>
    <t>折算比例</t>
  </si>
  <si>
    <t>最终使用的折算价格</t>
  </si>
  <si>
    <t>FID_XSSL</t>
  </si>
  <si>
    <t>期限折算率</t>
  </si>
  <si>
    <t>履约金比例（填1.1表示110%。不填时，取系统中预警履约金比例）</t>
  </si>
  <si>
    <t>本质押协议总市值</t>
  </si>
  <si>
    <t>本质押协议总红利</t>
  </si>
  <si>
    <t>本质押协议总初始金额</t>
  </si>
  <si>
    <t>当前履约金比例</t>
  </si>
  <si>
    <t>FID_BCJKYE</t>
  </si>
  <si>
    <t>要想达到入参中的履约金比例需要补充质押或可解除质押的市值</t>
  </si>
  <si>
    <t>计息天数</t>
  </si>
  <si>
    <t>购回价格</t>
  </si>
  <si>
    <t>证券代码范围</t>
  </si>
  <si>
    <t>填1</t>
  </si>
  <si>
    <t>填0</t>
  </si>
  <si>
    <t>FID_RQSLSX</t>
  </si>
  <si>
    <t>融券数量上限</t>
  </si>
  <si>
    <t>FID_PRIVATEKEY</t>
  </si>
  <si>
    <t>主键（JYS+ZQDM）</t>
  </si>
  <si>
    <t>业务科目范围（信用合同变更的输入：20064-信用合同变更,
20066-信用合同签订,20067信用合同终止)</t>
  </si>
  <si>
    <t>FID_EN_YWKM</t>
  </si>
  <si>
    <t>业务科目范围（和FID_YWKM填一样的值）</t>
  </si>
  <si>
    <t>FID_FSYYB</t>
  </si>
  <si>
    <t>符合柜员</t>
  </si>
  <si>
    <t>业务科目（见业务科目数据字典,柜台菜单10101）</t>
  </si>
  <si>
    <t>FID_YWSQH</t>
  </si>
  <si>
    <t>业务申请号</t>
  </si>
  <si>
    <t>单词查询返回行数</t>
  </si>
  <si>
    <t>BROWINDEX</t>
  </si>
  <si>
    <t>FID_ZHGLJG</t>
  </si>
  <si>
    <t>帐户管理机构</t>
  </si>
  <si>
    <t>发生营业部</t>
  </si>
  <si>
    <t>公司分类</t>
  </si>
  <si>
    <t>FID_ZJDJLSH</t>
  </si>
  <si>
    <t>资金冻结项目流水号</t>
  </si>
  <si>
    <t>序列号</t>
  </si>
  <si>
    <t>FID_DJLB</t>
  </si>
  <si>
    <t>N6</t>
  </si>
  <si>
    <t>冻结类别</t>
  </si>
  <si>
    <t>数据字典ZJDJLB</t>
  </si>
  <si>
    <t>初始交易协议编号</t>
  </si>
  <si>
    <t>购回金额</t>
  </si>
  <si>
    <t>FID_QYBH</t>
  </si>
  <si>
    <t>权益编号</t>
  </si>
  <si>
    <t>营业部，可以多值，以半角逗号分隔</t>
  </si>
  <si>
    <t>客户群组，可以多值，以半角逗号分隔</t>
  </si>
  <si>
    <t>日期区间标识串，和FID_KSRQ、FID_JSRQ配合使用：
当为"CJRQ"时，表示查成交日期在开始日期和结束日期区间合约信息；
当为"GHRQ"时，表示查购回日期在开始日期和结束日期区间合约信息；
当为"YJGHRQ"时，查预计购回日期在开始日期和结束日期区间合约信息；</t>
  </si>
  <si>
    <t>初始交易金额</t>
  </si>
  <si>
    <t>交收金额</t>
  </si>
  <si>
    <t>购回日期</t>
  </si>
  <si>
    <t>交收标志</t>
  </si>
  <si>
    <t>权益登记日期</t>
  </si>
  <si>
    <t>FID_SBXW</t>
  </si>
  <si>
    <t>申报席位</t>
  </si>
  <si>
    <t>合约编号</t>
  </si>
  <si>
    <t>购回价格（年利率）</t>
  </si>
  <si>
    <t>融券卖出剩余资金</t>
  </si>
  <si>
    <t>当日融券卖出成交金额</t>
  </si>
  <si>
    <t>买券还券冻结金额</t>
  </si>
  <si>
    <t>买券还券清算金额</t>
  </si>
  <si>
    <t>币种(不输入，默认为RMB）</t>
  </si>
  <si>
    <t>普通资产</t>
  </si>
  <si>
    <t>FID_XJYE</t>
  </si>
  <si>
    <t>信用净资产</t>
  </si>
  <si>
    <t>客户新股贷可用资金查询</t>
  </si>
  <si>
    <t>资金账号</t>
  </si>
  <si>
    <t>自有资金加新股贷可用资金</t>
  </si>
  <si>
    <t>FID_KYZJ2</t>
  </si>
  <si>
    <t>新股贷可用资金</t>
  </si>
  <si>
    <t>返回代码</t>
  </si>
  <si>
    <t>返回信息</t>
  </si>
  <si>
    <t>账户可用资金查询</t>
  </si>
  <si>
    <t>类型（0线下，1线上）</t>
  </si>
  <si>
    <t>FID_XYED</t>
  </si>
  <si>
    <t>授权额度</t>
  </si>
  <si>
    <t>使用额度</t>
  </si>
  <si>
    <t>FID_MRSL</t>
  </si>
  <si>
    <t>小微贷的买入数量</t>
  </si>
  <si>
    <t>新股贷的买入数量</t>
  </si>
  <si>
    <t>投资贷的买入数量</t>
  </si>
  <si>
    <t>FID_ZDJ</t>
  </si>
  <si>
    <t>R9.3</t>
  </si>
  <si>
    <t>最低价</t>
  </si>
  <si>
    <t>FID_ZGJ</t>
  </si>
  <si>
    <t>最高价</t>
  </si>
  <si>
    <t>R6.3</t>
  </si>
  <si>
    <t>字段名称</t>
  </si>
  <si>
    <t>宏</t>
  </si>
  <si>
    <t>默认</t>
  </si>
  <si>
    <t>FID_BFXJJ</t>
  </si>
  <si>
    <t>FID_BGHF</t>
  </si>
  <si>
    <t>FID_BJE</t>
  </si>
  <si>
    <t>FID_BJSF</t>
  </si>
  <si>
    <t>FID_BPGDH</t>
  </si>
  <si>
    <t>FID_BSL</t>
  </si>
  <si>
    <t>FID_BYHS</t>
  </si>
  <si>
    <t>FID_BZBM</t>
  </si>
  <si>
    <t>FID_BZGF</t>
  </si>
  <si>
    <t>FID_BZMC</t>
  </si>
  <si>
    <t>FID_MENUID_HC</t>
  </si>
  <si>
    <t>FID_CDMC</t>
  </si>
  <si>
    <t>FID_CDTIME</t>
  </si>
  <si>
    <t>FID_CDTS</t>
  </si>
  <si>
    <t>FID_CDWZID</t>
  </si>
  <si>
    <t>FID_CJGY</t>
  </si>
  <si>
    <t>FID_CKLL</t>
  </si>
  <si>
    <t>FID_YKBD</t>
  </si>
  <si>
    <t>FID_DH_SQCZR</t>
  </si>
  <si>
    <t>FID_DZ_SQCZR</t>
  </si>
  <si>
    <t>FID_MM_SQCZR</t>
  </si>
  <si>
    <t>FID_QX_SQCZR</t>
  </si>
  <si>
    <t>FID_XWID</t>
  </si>
  <si>
    <t>FID_XM_SQCZR</t>
  </si>
  <si>
    <t>FID_DRMCJDZJ</t>
  </si>
  <si>
    <t>FID_DRMRCJJE</t>
  </si>
  <si>
    <t>FID_DRMRDJZJ</t>
  </si>
  <si>
    <t>FID_DRMRWTSL</t>
  </si>
  <si>
    <t>FID_DRQS</t>
  </si>
  <si>
    <t>FID_DTB</t>
  </si>
  <si>
    <t>FID_EN_BZ</t>
  </si>
  <si>
    <t>FID_EN_JYS</t>
  </si>
  <si>
    <t>FID_EN_KHH</t>
  </si>
  <si>
    <t>FID_EX_KHH</t>
  </si>
  <si>
    <t>FID_EX_KHQZ</t>
  </si>
  <si>
    <t>FID_EX_YYB</t>
  </si>
  <si>
    <t>FID_EX_ZQLB</t>
  </si>
  <si>
    <t>FID_FATHERID</t>
  </si>
  <si>
    <t>FID_FKEY</t>
  </si>
  <si>
    <t>FID_FLMC</t>
  </si>
  <si>
    <t>FID_GDLB</t>
  </si>
  <si>
    <t>FID_ZJBH_GDH</t>
  </si>
  <si>
    <t>FID_GDZDSX</t>
  </si>
  <si>
    <t>FID_GJDM</t>
  </si>
  <si>
    <t>FID_GMRQ</t>
  </si>
  <si>
    <t>FID_DATE</t>
  </si>
  <si>
    <t>FID_HKEY</t>
  </si>
  <si>
    <t>FID_HKEYMASK</t>
  </si>
  <si>
    <t>FID_SHZD</t>
  </si>
  <si>
    <t>FID_IBM</t>
  </si>
  <si>
    <t>FID_JJR</t>
  </si>
  <si>
    <t>FID_JJRLB</t>
  </si>
  <si>
    <t>FID_JJRMM</t>
  </si>
  <si>
    <t>FID_JJRQX</t>
  </si>
  <si>
    <t>FID_JSDM</t>
  </si>
  <si>
    <t>FID_JSMC</t>
  </si>
  <si>
    <t>FID_JYFL</t>
  </si>
  <si>
    <t>FID_JYFW</t>
  </si>
  <si>
    <t>FID_JYLBMC</t>
  </si>
  <si>
    <t>FID_JYLBXZ</t>
  </si>
  <si>
    <t>FID_JYSXH</t>
  </si>
  <si>
    <t>FID_JYSJC</t>
  </si>
  <si>
    <t>FID_JYSQC</t>
  </si>
  <si>
    <t>FID_KEYMASK</t>
  </si>
  <si>
    <t>FID_KHJB</t>
  </si>
  <si>
    <t>FID_KHJL</t>
  </si>
  <si>
    <t>FID_KHLB</t>
  </si>
  <si>
    <t>FID_KHQC</t>
  </si>
  <si>
    <t>FID_KHSX</t>
  </si>
  <si>
    <t>FID_LSH_ZR</t>
  </si>
  <si>
    <t>FID_KMRSL</t>
  </si>
  <si>
    <t>FID_LXS</t>
  </si>
  <si>
    <t>FID_LXSL</t>
  </si>
  <si>
    <t>FID_MCJJ</t>
  </si>
  <si>
    <t>FID_MCJS</t>
  </si>
  <si>
    <t>FID_MCSL</t>
  </si>
  <si>
    <t>FID_MENUID</t>
  </si>
  <si>
    <t>FID_MKBH</t>
  </si>
  <si>
    <t>FID_YKTZMS</t>
  </si>
  <si>
    <t>FID_JYMQZ</t>
  </si>
  <si>
    <t>FID_MRJS</t>
  </si>
  <si>
    <t>FID_NBMC</t>
  </si>
  <si>
    <t>FID_PZBZ</t>
  </si>
  <si>
    <t>FID_QYBM</t>
  </si>
  <si>
    <t>FID_QZFW</t>
  </si>
  <si>
    <t>FID_QZMC</t>
  </si>
  <si>
    <t>FID_SFXJJ</t>
  </si>
  <si>
    <t>FID_SGHF</t>
  </si>
  <si>
    <t>FID_SJCD</t>
  </si>
  <si>
    <t>FID_SJE</t>
  </si>
  <si>
    <t>FID_SJJJR</t>
  </si>
  <si>
    <t>FID_SJSF</t>
  </si>
  <si>
    <t>FID_SJYYB</t>
  </si>
  <si>
    <t>FID_SLXZ</t>
  </si>
  <si>
    <t>FID_CZCS</t>
  </si>
  <si>
    <t>FID_SRZJYE</t>
  </si>
  <si>
    <t>FID_SSL</t>
  </si>
  <si>
    <t>FID_SYHS</t>
  </si>
  <si>
    <t>FID_SZGF</t>
  </si>
  <si>
    <t>FID_T0JS</t>
  </si>
  <si>
    <t>FID_T1JS</t>
  </si>
  <si>
    <t>FID_T2JS</t>
  </si>
  <si>
    <t>FID_TBTS</t>
  </si>
  <si>
    <t>FID_TZLL</t>
  </si>
  <si>
    <t>FID_CBTZMS</t>
  </si>
  <si>
    <t>FID_VALUE</t>
  </si>
  <si>
    <t>FID_JSDM_HC</t>
  </si>
  <si>
    <t>FID_WTSX</t>
  </si>
  <si>
    <t>FID_WTXX</t>
  </si>
  <si>
    <t>FID_XLDM</t>
  </si>
  <si>
    <t>FID_XM</t>
  </si>
  <si>
    <t>FID_GDZT</t>
  </si>
  <si>
    <t>FID_YWMC</t>
  </si>
  <si>
    <t>FID_KHH_ZR</t>
  </si>
  <si>
    <t>FID_CLSJ</t>
  </si>
  <si>
    <t>FID_KHXM_ZR</t>
  </si>
  <si>
    <t>FID_GYDM_ZP</t>
  </si>
  <si>
    <t>FID_KHFLFS</t>
  </si>
  <si>
    <t>FID_YJDJCL</t>
  </si>
  <si>
    <t>FID_ZJLB</t>
  </si>
  <si>
    <t>FID_ZJYE</t>
  </si>
  <si>
    <t>FID_GDH_OLD</t>
  </si>
  <si>
    <t>FID_LJS1</t>
  </si>
  <si>
    <t>FID_ZQLBMC</t>
  </si>
  <si>
    <t>FID_ZQQC</t>
  </si>
  <si>
    <t>FID_ZSBH</t>
  </si>
  <si>
    <t>FID_ZTB</t>
  </si>
  <si>
    <t>FID_ZYDM</t>
  </si>
  <si>
    <t>FID_ZZFS</t>
  </si>
  <si>
    <t>FID_ZZKZ</t>
  </si>
  <si>
    <t>FID_MMLB</t>
  </si>
  <si>
    <t>FID_HTHQZ</t>
  </si>
  <si>
    <t>FID_NEWQZ</t>
  </si>
  <si>
    <t>FID_EN_ZJZH</t>
  </si>
  <si>
    <t>FID_KHFW</t>
  </si>
  <si>
    <t>FID_SQFS</t>
  </si>
  <si>
    <t>FID_CKCS</t>
  </si>
  <si>
    <t>FID_CKDBSX</t>
  </si>
  <si>
    <t>FID_QKCS</t>
  </si>
  <si>
    <t>FID_QKDBSX</t>
  </si>
  <si>
    <t>FID_MMLBSM</t>
  </si>
  <si>
    <t>FID_SBJGSM</t>
  </si>
  <si>
    <t>FID_CDCZDX</t>
  </si>
  <si>
    <t>FID_DGDHBZ</t>
  </si>
  <si>
    <t>FID_DJZJ</t>
  </si>
  <si>
    <t>FID_LOGINPWD</t>
  </si>
  <si>
    <t>FID_LXSR</t>
  </si>
  <si>
    <t>FID_BRZQSL</t>
  </si>
  <si>
    <t>FID_BRZJYE</t>
  </si>
  <si>
    <t>FID_GDJG</t>
  </si>
  <si>
    <t>FID_CSID</t>
  </si>
  <si>
    <t>FID_SQLB</t>
  </si>
  <si>
    <t>FID_DLXH</t>
  </si>
  <si>
    <t>FID_ZPJE</t>
  </si>
  <si>
    <t>FID_GPSZ</t>
  </si>
  <si>
    <t>FID_MMYZFS</t>
  </si>
  <si>
    <t>FID_FZYZFS</t>
  </si>
  <si>
    <t>FID_GDHH</t>
  </si>
  <si>
    <t>FID_GDHL</t>
  </si>
  <si>
    <t>FID_ZQDML</t>
  </si>
  <si>
    <t>FID_ENDWTH</t>
  </si>
  <si>
    <t>FID_ZHXM</t>
  </si>
  <si>
    <t>FID_HOST</t>
  </si>
  <si>
    <t>FID_SRFS</t>
  </si>
  <si>
    <t>FID_SRYE</t>
  </si>
  <si>
    <t>FID_ZHSX</t>
  </si>
  <si>
    <t>FID_YZZZBZ</t>
  </si>
  <si>
    <t>FID_NEWKHJL</t>
  </si>
  <si>
    <t>FID_SCZJYE</t>
  </si>
  <si>
    <t>FID_SQPCH</t>
  </si>
  <si>
    <t>FID_ITEM</t>
  </si>
  <si>
    <t>FID_CSJB</t>
  </si>
  <si>
    <t>FID_PZH2</t>
  </si>
  <si>
    <t>FID_LPID</t>
  </si>
  <si>
    <t>FID_LPBM</t>
  </si>
  <si>
    <t>FID_LPMC</t>
  </si>
  <si>
    <t>FID_LPJZ</t>
  </si>
  <si>
    <t>FID_ZSFS</t>
  </si>
  <si>
    <t>FID_ZCKZED</t>
  </si>
  <si>
    <t>FID_YCDJJE</t>
  </si>
  <si>
    <t>FID_QSDM</t>
  </si>
  <si>
    <t>FID_QSMC</t>
  </si>
  <si>
    <t>FID_CLRQ</t>
  </si>
  <si>
    <t>FID_JGBM</t>
  </si>
  <si>
    <t>FID_CITY</t>
  </si>
  <si>
    <t>FID_PROVINCE</t>
  </si>
  <si>
    <t>FID_SJJG</t>
  </si>
  <si>
    <t>FID_SJJGLB</t>
  </si>
  <si>
    <t>FID_EN_SJJGLB</t>
  </si>
  <si>
    <t>FID_JJRXM</t>
  </si>
  <si>
    <t>FID_JSLX</t>
  </si>
  <si>
    <t>FID_HBXH</t>
  </si>
  <si>
    <t>FID_WTGY</t>
  </si>
  <si>
    <t>FID_WTZKXS</t>
  </si>
  <si>
    <t>FID_CXZKXS</t>
  </si>
  <si>
    <t>FID_QTZKXS</t>
  </si>
  <si>
    <t>FID_KYZJXE</t>
  </si>
  <si>
    <t>FID_ZCZH</t>
  </si>
  <si>
    <t>FID_SFBZ</t>
  </si>
  <si>
    <t>FID_JFFS</t>
  </si>
  <si>
    <t>FID_JFQD</t>
  </si>
  <si>
    <t>FID_JFDW</t>
  </si>
  <si>
    <t>FID_CZSJ</t>
  </si>
  <si>
    <t>FID_GYFL</t>
  </si>
  <si>
    <t>FID_WBGYDM</t>
  </si>
  <si>
    <t>FID_XQXZ</t>
  </si>
  <si>
    <t>FID_ZCXZ</t>
  </si>
  <si>
    <t>FID_SLSX</t>
  </si>
  <si>
    <t>FID_FJFZKBL</t>
  </si>
  <si>
    <t>FID_SHXYM</t>
  </si>
  <si>
    <t>FID_CDJSP</t>
  </si>
  <si>
    <t>FID_EN_NODE</t>
  </si>
  <si>
    <t>FID_EN_MYYYB</t>
  </si>
  <si>
    <t>FID_ZJGMRQ</t>
  </si>
  <si>
    <t>FID_JGSX</t>
  </si>
  <si>
    <t>FID_CDSX</t>
  </si>
  <si>
    <t>FID_CDDLL</t>
  </si>
  <si>
    <t>FID_YHSX</t>
  </si>
  <si>
    <t>FID_YHYW</t>
  </si>
  <si>
    <t>FID_ZQYW</t>
  </si>
  <si>
    <t>FID_ZJMMXY</t>
  </si>
  <si>
    <t>FID_JYMMXY</t>
  </si>
  <si>
    <t>FID_YHMMXY</t>
  </si>
  <si>
    <t>FID_YHMC</t>
  </si>
  <si>
    <t>FID_HBLB</t>
  </si>
  <si>
    <t>FID_DYBS</t>
  </si>
  <si>
    <t>FID_WBLSH</t>
  </si>
  <si>
    <t>FID_BDDJJE</t>
  </si>
  <si>
    <t>FID_SHLB</t>
  </si>
  <si>
    <t>FID_SHJG</t>
  </si>
  <si>
    <t>FID_YEGXSJ</t>
  </si>
  <si>
    <t>FID_QSMM</t>
  </si>
  <si>
    <t>FID_MMMY</t>
  </si>
  <si>
    <t>FID_CSMY</t>
  </si>
  <si>
    <t>FID_WBCLJG</t>
  </si>
  <si>
    <t>FID_XYBZ</t>
  </si>
  <si>
    <t>FID_JYBS</t>
  </si>
  <si>
    <t>FID_CLLB</t>
  </si>
  <si>
    <t>FID_FQF</t>
  </si>
  <si>
    <t>FID_HZBS</t>
  </si>
  <si>
    <t>FID_LY</t>
  </si>
  <si>
    <t>FID_QD1</t>
  </si>
  <si>
    <t>FID_QD2</t>
  </si>
  <si>
    <t>FID_QD3</t>
  </si>
  <si>
    <t>FID_QD4</t>
  </si>
  <si>
    <t>FID_QD5</t>
  </si>
  <si>
    <t>FID_BL1</t>
  </si>
  <si>
    <t>FID_BL2</t>
  </si>
  <si>
    <t>FID_BL3</t>
  </si>
  <si>
    <t>FID_BL4</t>
  </si>
  <si>
    <t>FID_BL5</t>
  </si>
  <si>
    <t>FID_KHJCGX</t>
  </si>
  <si>
    <t>FID_SYZH1</t>
  </si>
  <si>
    <t>FID_SYZH2</t>
  </si>
  <si>
    <t>FID_JSTS</t>
  </si>
  <si>
    <t>FID_TJJYR</t>
  </si>
  <si>
    <t>FID_TJTS</t>
  </si>
  <si>
    <t>FID_FPBL</t>
  </si>
  <si>
    <t>FID_ZKFS</t>
  </si>
  <si>
    <t>FID_ZJED</t>
  </si>
  <si>
    <t>FID_ZCED</t>
  </si>
  <si>
    <t>FID_GLF</t>
  </si>
  <si>
    <t>FID_YJDX</t>
  </si>
  <si>
    <t>FID_EX_JYLB</t>
  </si>
  <si>
    <t>FID_BDSL</t>
  </si>
  <si>
    <t>FID_HZFS</t>
  </si>
  <si>
    <t>FID_LPSL</t>
  </si>
  <si>
    <t>FID_KLX</t>
  </si>
  <si>
    <t>FID_KMC</t>
  </si>
  <si>
    <t>FID_BSCKSWZ</t>
  </si>
  <si>
    <t>FID_FJC</t>
  </si>
  <si>
    <t>FID_FJCKSWZ</t>
  </si>
  <si>
    <t>FID_KHKSWZ</t>
  </si>
  <si>
    <t>FID_KHCD</t>
  </si>
  <si>
    <t>FID_ZRSZ</t>
  </si>
  <si>
    <t>FID_NEXTDATA</t>
  </si>
  <si>
    <t>FID_SYL</t>
  </si>
  <si>
    <t>FID_GJBM1</t>
  </si>
  <si>
    <t>FID_GJBM2</t>
  </si>
  <si>
    <t>FID_GJBM3</t>
  </si>
  <si>
    <t>FID_GJMC</t>
  </si>
  <si>
    <t>FID_EGJMC</t>
  </si>
  <si>
    <t>FID_CCCB</t>
  </si>
  <si>
    <t>FID_MMXYLX</t>
  </si>
  <si>
    <t>FID_XZSJ</t>
  </si>
  <si>
    <t>FID_KHDXLX</t>
  </si>
  <si>
    <t>FID_JYSXGX</t>
  </si>
  <si>
    <t>FID_BZXGX</t>
  </si>
  <si>
    <t>FID_QZXGX</t>
  </si>
  <si>
    <t>FID_GYFJQX</t>
  </si>
  <si>
    <t>FID_ZHTZE</t>
  </si>
  <si>
    <t>FID_QSJE_B</t>
  </si>
  <si>
    <t>FID_QSJE_S</t>
  </si>
  <si>
    <t>FID_FDYK_TB</t>
  </si>
  <si>
    <t>FID_LLCSLB</t>
  </si>
  <si>
    <t>FID_EX_JJR</t>
  </si>
  <si>
    <t>FID_BZ_FH</t>
  </si>
  <si>
    <t>FID_HBDHBL</t>
  </si>
  <si>
    <t>FID_SYZH3</t>
  </si>
  <si>
    <t>FID_SYBL1</t>
  </si>
  <si>
    <t>FID_SYBL2</t>
  </si>
  <si>
    <t>FID_SYBL3</t>
  </si>
  <si>
    <t>FID_GDKZSX</t>
  </si>
  <si>
    <t>FID_RCKHH</t>
  </si>
  <si>
    <t>FID_RQ2</t>
  </si>
  <si>
    <t>FID_EN_YXZZDM</t>
  </si>
  <si>
    <t>FID_CITYID</t>
  </si>
  <si>
    <t>FID_SECTIONID</t>
  </si>
  <si>
    <t>FID_SECTION</t>
  </si>
  <si>
    <t>FID_SFZQ</t>
  </si>
  <si>
    <t>FID_KXDLSF</t>
  </si>
  <si>
    <t>FID_EN_YWLB</t>
  </si>
  <si>
    <t>FID_BZDM</t>
  </si>
  <si>
    <t>FID_WBDM</t>
  </si>
  <si>
    <t>FID_CSMC</t>
  </si>
  <si>
    <t>FID_QZSM</t>
  </si>
  <si>
    <t>FID_EN_FJBZ</t>
  </si>
  <si>
    <t>FID_HYMC</t>
  </si>
  <si>
    <t>FID_CWLX</t>
  </si>
  <si>
    <t>FID_CWDM</t>
  </si>
  <si>
    <t>FID_CWSM</t>
  </si>
  <si>
    <t>FID_TZEBZ</t>
  </si>
  <si>
    <t>FID_KBBZ</t>
  </si>
  <si>
    <t>FID_KHTZFL</t>
  </si>
  <si>
    <t>FID_ZJZR</t>
  </si>
  <si>
    <t>FID_ZJZC</t>
  </si>
  <si>
    <t>FID_MKKZ</t>
  </si>
  <si>
    <t>FID_MFCS</t>
  </si>
  <si>
    <t>FID_XZCS</t>
  </si>
  <si>
    <t>FID_SJSX_A</t>
  </si>
  <si>
    <t>FID_SJSX_S</t>
  </si>
  <si>
    <t>FID_MMCSCS</t>
  </si>
  <si>
    <t>FID_ZDJDTS</t>
  </si>
  <si>
    <t>FID_MFHQCS</t>
  </si>
  <si>
    <t>FID_HQSFSX</t>
  </si>
  <si>
    <t>FID_HKSFSX</t>
  </si>
  <si>
    <t>FID_SJSFSX</t>
  </si>
  <si>
    <t>FID_ZSFSX</t>
  </si>
  <si>
    <t>FID_DBYJXX</t>
  </si>
  <si>
    <t>FID_DBYJSX</t>
  </si>
  <si>
    <t>FID_ZCJJE</t>
  </si>
  <si>
    <t>FID_YJDJFS</t>
  </si>
  <si>
    <t>FID_TJZQLB</t>
  </si>
  <si>
    <t>FID_FDBH</t>
  </si>
  <si>
    <t>FID_CFCDBZ</t>
  </si>
  <si>
    <t>FID_TZXX</t>
  </si>
  <si>
    <t>FID_SYZKXS</t>
  </si>
  <si>
    <t>FID_SYTZFS</t>
  </si>
  <si>
    <t>FID_TZJESX</t>
  </si>
  <si>
    <t>FID_ZJLCDS</t>
  </si>
  <si>
    <t>FID_TZBDJE</t>
  </si>
  <si>
    <t>FID_ZHKHH</t>
  </si>
  <si>
    <t>FID_ZHZJZH</t>
  </si>
  <si>
    <t>FID_LCJZJE</t>
  </si>
  <si>
    <t>FID_LCFHJE</t>
  </si>
  <si>
    <t>FID_SYZTZBZ</t>
  </si>
  <si>
    <t>FID_SYZTZZQ</t>
  </si>
  <si>
    <t>FID_LCZSY</t>
  </si>
  <si>
    <t>FID_LCTZJE</t>
  </si>
  <si>
    <t>FID_FPSY</t>
  </si>
  <si>
    <t>FID_GBZQL</t>
  </si>
  <si>
    <t>FID_SGJG</t>
  </si>
  <si>
    <t>FID_SSRQ</t>
  </si>
  <si>
    <t>FID_HKRQ</t>
  </si>
  <si>
    <t>FID_SSDM</t>
  </si>
  <si>
    <t>FID_PHDM</t>
  </si>
  <si>
    <t>FID_HKDM</t>
  </si>
  <si>
    <t>FID_SGRQ</t>
  </si>
  <si>
    <t>FID_JEBL</t>
  </si>
  <si>
    <t>FID_LCJZQTJE</t>
  </si>
  <si>
    <t>FID_HZGDH</t>
  </si>
  <si>
    <t>FID_SYDX</t>
  </si>
  <si>
    <t>FID_JYLJSFS</t>
  </si>
  <si>
    <t>FID_JYLLJZQ</t>
  </si>
  <si>
    <t>FID_DJFS</t>
  </si>
  <si>
    <t>FID_HZLB</t>
  </si>
  <si>
    <t>FID_FSJE_LCBJ</t>
  </si>
  <si>
    <t>FID_BCYE_LCBJ</t>
  </si>
  <si>
    <t>FID_FSJE_SY</t>
  </si>
  <si>
    <t>FID_BCYE_SY</t>
  </si>
  <si>
    <t>FID_FSJE_BZJ</t>
  </si>
  <si>
    <t>FID_BCYE_BZJ</t>
  </si>
  <si>
    <t>FID_HZLBMC</t>
  </si>
  <si>
    <t>FID_KSFW</t>
  </si>
  <si>
    <t>FID_JSFW</t>
  </si>
  <si>
    <t>FID_KHS</t>
  </si>
  <si>
    <t>FID_XHS</t>
  </si>
  <si>
    <t>FID_ZHS</t>
  </si>
  <si>
    <t>FID_ZDGDHS</t>
  </si>
  <si>
    <t>FID_CXZDHS</t>
  </si>
  <si>
    <t>FID_CCGDHS</t>
  </si>
  <si>
    <t>FID_TJZJYE</t>
  </si>
  <si>
    <t>FID_TJZJCK</t>
  </si>
  <si>
    <t>FID_TJZJQK</t>
  </si>
  <si>
    <t>FID_TJZJGP</t>
  </si>
  <si>
    <t>FID_TJJSGP</t>
  </si>
  <si>
    <t>FID_TJGPSZ</t>
  </si>
  <si>
    <t>FID_TJZZC</t>
  </si>
  <si>
    <t>FID_FDB1</t>
  </si>
  <si>
    <t>FID_FDE1</t>
  </si>
  <si>
    <t>FID_FDB2</t>
  </si>
  <si>
    <t>FID_FDE2</t>
  </si>
  <si>
    <t>FID_FDB3</t>
  </si>
  <si>
    <t>FID_FDE3</t>
  </si>
  <si>
    <t>FID_FDB4</t>
  </si>
  <si>
    <t>FID_FDE4</t>
  </si>
  <si>
    <t>FID_FDB5</t>
  </si>
  <si>
    <t>FID_FDE5</t>
  </si>
  <si>
    <t>FID_FDB6</t>
  </si>
  <si>
    <t>FID_FDE6</t>
  </si>
  <si>
    <t>FID_TJJGGS</t>
  </si>
  <si>
    <t>FID_TJJGSJ</t>
  </si>
  <si>
    <t>FID_TZJE</t>
  </si>
  <si>
    <t>FID_WJSZJ</t>
  </si>
  <si>
    <t>FID_YDZD</t>
  </si>
  <si>
    <t>FID_YDZDSM</t>
  </si>
  <si>
    <t>FID_YDSJ</t>
  </si>
  <si>
    <t>FID_JCJJE</t>
  </si>
  <si>
    <t>FID_YXHS</t>
  </si>
  <si>
    <t>FID_CJSLBL</t>
  </si>
  <si>
    <t>FID_CJJEBL</t>
  </si>
  <si>
    <t>FID_S1BL</t>
  </si>
  <si>
    <t>FID_ZZCBL1</t>
  </si>
  <si>
    <t>FID_ZZCBL2</t>
  </si>
  <si>
    <t>FID_ZSLBL1</t>
  </si>
  <si>
    <t>FID_ZSLBL2</t>
  </si>
  <si>
    <t>FID_ZHSBL1</t>
  </si>
  <si>
    <t>FID_ZHSBL2</t>
  </si>
  <si>
    <t>FID_JEXX</t>
  </si>
  <si>
    <t>FID_ZQDJLSH</t>
  </si>
  <si>
    <t>FID_WTSB</t>
  </si>
  <si>
    <t>FID_QDBZ</t>
  </si>
  <si>
    <t>FID_WBCKKY</t>
  </si>
  <si>
    <t>FID_WBCKKQ</t>
  </si>
  <si>
    <t>FID_WBDJJE</t>
  </si>
  <si>
    <t>FID_JYXZ</t>
  </si>
  <si>
    <t>FID_ZJXYFS</t>
  </si>
  <si>
    <t>FID_HBBZ</t>
  </si>
  <si>
    <t>FID_ZJHZFS</t>
  </si>
  <si>
    <t>FID_DRQKJE</t>
  </si>
  <si>
    <t>FID_ZZJSSJ</t>
  </si>
  <si>
    <t>FID_CZDRZXBZ</t>
  </si>
  <si>
    <t>FID_LSH_LXS</t>
  </si>
  <si>
    <t>FID_ZJMXLSH</t>
  </si>
  <si>
    <t>FID_YSSL</t>
  </si>
  <si>
    <t>FID_JYSFY</t>
  </si>
  <si>
    <t>FID_ZSZBL1</t>
  </si>
  <si>
    <t>FID_ZSZBL2</t>
  </si>
  <si>
    <t>FID_QCKHS</t>
  </si>
  <si>
    <t>FID_QMKHS</t>
  </si>
  <si>
    <t>FID_DRCKJE</t>
  </si>
  <si>
    <t>FID_TZCKJE</t>
  </si>
  <si>
    <t>FID_JGMC_E</t>
  </si>
  <si>
    <t>FID_FRDB</t>
  </si>
  <si>
    <t>FID_WTQR</t>
  </si>
  <si>
    <t>FID_HYLB</t>
  </si>
  <si>
    <t>FID_YWFW</t>
  </si>
  <si>
    <t>FID_ZCDZ</t>
  </si>
  <si>
    <t>FID_ZCZB</t>
  </si>
  <si>
    <t>FID_YSZC</t>
  </si>
  <si>
    <t>FID_CXWTH</t>
  </si>
  <si>
    <t>FID_YWXZ</t>
  </si>
  <si>
    <t>FID_SJXM</t>
  </si>
  <si>
    <t>FID_SJMC</t>
  </si>
  <si>
    <t>FID_JS</t>
  </si>
  <si>
    <t>FID_PGSL</t>
  </si>
  <si>
    <t>FID_CSLB</t>
  </si>
  <si>
    <t>FID_FJBZ</t>
  </si>
  <si>
    <t>FID_QZQKBZ</t>
  </si>
  <si>
    <t>FID_SBRQ</t>
  </si>
  <si>
    <t>FID_ZCXX</t>
  </si>
  <si>
    <t>FID_ZCSX</t>
  </si>
  <si>
    <t>FID_TIME</t>
  </si>
  <si>
    <t>FID_PGJE</t>
  </si>
  <si>
    <t>FID_TGZH</t>
  </si>
  <si>
    <t>FID_GZQX</t>
  </si>
  <si>
    <t>FID_GZJYSX</t>
  </si>
  <si>
    <t>FID_ISLOGIN</t>
  </si>
  <si>
    <t>FID_GZNBDM</t>
  </si>
  <si>
    <t>FID_GZFJSX</t>
  </si>
  <si>
    <t>FID_GZMZSX</t>
  </si>
  <si>
    <t>FID_GZJXTS</t>
  </si>
  <si>
    <t>FID_FXJG</t>
  </si>
  <si>
    <t>FID_TGBH</t>
  </si>
  <si>
    <t>FID_TGRQ</t>
  </si>
  <si>
    <t>FID_CQDJ</t>
  </si>
  <si>
    <t>FID_DQBX</t>
  </si>
  <si>
    <t>FID_GZLL</t>
  </si>
  <si>
    <t>FID_LTRQ</t>
  </si>
  <si>
    <t>FID_FXZQDJR</t>
  </si>
  <si>
    <t>FID_ZQFXRQ</t>
  </si>
  <si>
    <t>FID_DFZQDJR</t>
  </si>
  <si>
    <t>FID_HGJG</t>
  </si>
  <si>
    <t>FID_KTBZ</t>
  </si>
  <si>
    <t>FID_HGSL</t>
  </si>
  <si>
    <t>FID_ZRTGZH</t>
  </si>
  <si>
    <t>FID_WQSZJ</t>
  </si>
  <si>
    <t>FID_DFSXFL</t>
  </si>
  <si>
    <t>FID_DFLXSL</t>
  </si>
  <si>
    <t>FID_CSSM</t>
  </si>
  <si>
    <t>FID_XGGY</t>
  </si>
  <si>
    <t>FID_LOGINNAME</t>
  </si>
  <si>
    <t>FID_MRDLSF</t>
  </si>
  <si>
    <t>FID_MGZC</t>
  </si>
  <si>
    <t>FID_SNMGSY</t>
  </si>
  <si>
    <t>FID_XZJB</t>
  </si>
  <si>
    <t>FID_EN_MCQZ</t>
  </si>
  <si>
    <t>FID_BDZQDM</t>
  </si>
  <si>
    <t>FID_RQWGHZJ</t>
  </si>
  <si>
    <t>FID_RZWGHZJ</t>
  </si>
  <si>
    <t>FID_BWJSZJ</t>
  </si>
  <si>
    <t>FID_SWJSZJ</t>
  </si>
  <si>
    <t>FID_YSYXYED</t>
  </si>
  <si>
    <t>FID_DJWTK</t>
  </si>
  <si>
    <t>FID_DJHBK</t>
  </si>
  <si>
    <t>FID_CDSB</t>
  </si>
  <si>
    <t>FID_CDQR</t>
  </si>
  <si>
    <t>FID_WTQRNO</t>
  </si>
  <si>
    <t>FID_CDQRNO</t>
  </si>
  <si>
    <t>FID_TYPE_BF</t>
  </si>
  <si>
    <t>FID_MODULE_BF</t>
  </si>
  <si>
    <t>FID_HOST_BF</t>
  </si>
  <si>
    <t>FID_WTSB_BF</t>
  </si>
  <si>
    <t>FID_WTQR_BF</t>
  </si>
  <si>
    <t>FID_CDSB_BF</t>
  </si>
  <si>
    <t>FID_CDQR_BF</t>
  </si>
  <si>
    <t>FID_WTQRNO_BF</t>
  </si>
  <si>
    <t>FID_CDQRNO_BF</t>
  </si>
  <si>
    <t>FID_TDBH</t>
  </si>
  <si>
    <t>FID_EN_TDBH</t>
  </si>
  <si>
    <t>FID_LTXW</t>
  </si>
  <si>
    <t>FID_YYBXZMS</t>
  </si>
  <si>
    <t>FID_ZQLBXZMS</t>
  </si>
  <si>
    <t>FID_SBBS_S</t>
  </si>
  <si>
    <t>FID_JGSJ</t>
  </si>
  <si>
    <t>FID_YXHSBL1</t>
  </si>
  <si>
    <t>FID_YXHSBL2</t>
  </si>
  <si>
    <t>FID_ENDKHH</t>
  </si>
  <si>
    <t>FID_FILESIZE</t>
  </si>
  <si>
    <t>FID_FILETRANSIZE</t>
  </si>
  <si>
    <t>FID_YHSL</t>
  </si>
  <si>
    <t>FID_GHFL</t>
  </si>
  <si>
    <t>FID_GHFXX</t>
  </si>
  <si>
    <t>FID_GHFSX</t>
  </si>
  <si>
    <t>FID_FJF</t>
  </si>
  <si>
    <t>FID_JSFL</t>
  </si>
  <si>
    <t>FID_JSFXX</t>
  </si>
  <si>
    <t>FID_JSFSX</t>
  </si>
  <si>
    <t>FID_JYGFL</t>
  </si>
  <si>
    <t>FID_JYGFXX</t>
  </si>
  <si>
    <t>FID_JYGFSX</t>
  </si>
  <si>
    <t>FID_QTFL</t>
  </si>
  <si>
    <t>FID_FID</t>
  </si>
  <si>
    <t>FID_EN_XWH</t>
  </si>
  <si>
    <t>FID_FWDM</t>
  </si>
  <si>
    <t>FID_FWMC</t>
  </si>
  <si>
    <t>FID_FWLX</t>
  </si>
  <si>
    <t>FID_SLZ</t>
  </si>
  <si>
    <t>FID_CLFS</t>
  </si>
  <si>
    <t>FID_FILE</t>
  </si>
  <si>
    <t>FID_FILE2</t>
  </si>
  <si>
    <t>FID_PROCNAME</t>
  </si>
  <si>
    <t>FID_CSXH</t>
  </si>
  <si>
    <t>FID_QSZ</t>
  </si>
  <si>
    <t>FID_CJHB</t>
  </si>
  <si>
    <t>FID_CS1</t>
  </si>
  <si>
    <t>FID_CS2</t>
  </si>
  <si>
    <t>FID_CS3</t>
  </si>
  <si>
    <t>FID_CS4</t>
  </si>
  <si>
    <t>FID_CS5</t>
  </si>
  <si>
    <t>FID_CS6</t>
  </si>
  <si>
    <t>FID_CS7</t>
  </si>
  <si>
    <t>FID_CS8</t>
  </si>
  <si>
    <t>FID_CS9</t>
  </si>
  <si>
    <t>FID_CS10</t>
  </si>
  <si>
    <t>FID_CS11</t>
  </si>
  <si>
    <t>FID_CS12</t>
  </si>
  <si>
    <t>FID_CS13</t>
  </si>
  <si>
    <t>FID_CS14</t>
  </si>
  <si>
    <t>FID_CS15</t>
  </si>
  <si>
    <t>FID_OPTION</t>
  </si>
  <si>
    <t>FID_PACKINDEX</t>
  </si>
  <si>
    <t>FID_GYDM</t>
  </si>
  <si>
    <t>FID_QTSX</t>
  </si>
  <si>
    <t>FID_TDJY</t>
  </si>
  <si>
    <t>FID_ZQSZ_USD</t>
  </si>
  <si>
    <t>FID_ZQSZ_HKD</t>
  </si>
  <si>
    <t>FID_ZJYE_RMB</t>
  </si>
  <si>
    <t>FID_ZJYE_USD</t>
  </si>
  <si>
    <t>FID_ZJYE_HKD</t>
  </si>
  <si>
    <t>FID_ZJYE_ZSRMB</t>
  </si>
  <si>
    <t>FID_QTZC_RMB</t>
  </si>
  <si>
    <t>FID_QTZC_USD</t>
  </si>
  <si>
    <t>FID_QTZC_HKD</t>
  </si>
  <si>
    <t>FID_QTZC_ZSRMB</t>
  </si>
  <si>
    <t>FID_LASTRECNO</t>
  </si>
  <si>
    <t>FID_HTHQZFW</t>
  </si>
  <si>
    <t>FID_TZZHDM</t>
  </si>
  <si>
    <t>FID_TZZHMC</t>
  </si>
  <si>
    <t>FID_TZZHQZ</t>
  </si>
  <si>
    <t>FID_TZZHLB</t>
  </si>
  <si>
    <t>FID_HTHQJ</t>
  </si>
  <si>
    <t>FID_FWLB</t>
  </si>
  <si>
    <t>FID_XMZX</t>
  </si>
  <si>
    <t>FID_DZLB</t>
  </si>
  <si>
    <t>FID_QSDZLB</t>
  </si>
  <si>
    <t>FID_SJFY</t>
  </si>
  <si>
    <t>FID_YJFY</t>
  </si>
  <si>
    <t>FID_DF</t>
  </si>
  <si>
    <t>FID_FSCS</t>
  </si>
  <si>
    <t>FID_HQNR</t>
  </si>
  <si>
    <t>FID_ZDSJ</t>
  </si>
  <si>
    <t>FID_SJQJ</t>
  </si>
  <si>
    <t>FID_XWZBH</t>
  </si>
  <si>
    <t>FID_XJDM</t>
  </si>
  <si>
    <t>FID_RGQRDM</t>
  </si>
  <si>
    <t>FID_XWZMC</t>
  </si>
  <si>
    <t>FID_RIGH</t>
  </si>
  <si>
    <t>FID_MGSY</t>
  </si>
  <si>
    <t>FID_SHDM</t>
  </si>
  <si>
    <t>FID_SZDM</t>
  </si>
  <si>
    <t>FID_GSHY</t>
  </si>
  <si>
    <t>FID_GSMC</t>
  </si>
  <si>
    <t>FID_FXZL</t>
  </si>
  <si>
    <t>FID_FILEWRITETIME</t>
  </si>
  <si>
    <t>FID_DHXL</t>
  </si>
  <si>
    <t>FID_BLFM</t>
  </si>
  <si>
    <t>FID_BLFZ</t>
  </si>
  <si>
    <t>FID_ZQL</t>
  </si>
  <si>
    <t>FID_SSGJ</t>
  </si>
  <si>
    <t>FID_FXRQ</t>
  </si>
  <si>
    <t>FID_ZQYHRQ</t>
  </si>
  <si>
    <t>FID_CQRQ</t>
  </si>
  <si>
    <t>FID_JKQSRQ</t>
  </si>
  <si>
    <t>FID_JKJSRQ</t>
  </si>
  <si>
    <t>FID_TSXX</t>
  </si>
  <si>
    <t>FID_ZGB</t>
  </si>
  <si>
    <t>FID_MGGJJ</t>
  </si>
  <si>
    <t>FID_MGWFPLR</t>
  </si>
  <si>
    <t>FID_CLMC</t>
  </si>
  <si>
    <t>FID_EN_FLLB</t>
  </si>
  <si>
    <t>FID_GHFZKL</t>
  </si>
  <si>
    <t>FID_LJJS</t>
  </si>
  <si>
    <t>FID_LJZQ</t>
  </si>
  <si>
    <t>FID_ZCJSFS</t>
  </si>
  <si>
    <t>FID_ZSYJL</t>
  </si>
  <si>
    <t>FID_JYLFDBH</t>
  </si>
  <si>
    <t>FID_ZCFDBH</t>
  </si>
  <si>
    <t>FID_JYLXX</t>
  </si>
  <si>
    <t>FID_JYLSX</t>
  </si>
  <si>
    <t>FID_FZYWDM</t>
  </si>
  <si>
    <t>FID_LOGIN_ENABLE</t>
  </si>
  <si>
    <t>FID_ZQJY_ENABLE</t>
  </si>
  <si>
    <t>FID_ZJYW_ENABLE</t>
  </si>
  <si>
    <t>FID_LSCXYW_ENABLE</t>
  </si>
  <si>
    <t>FID_OFS_ENABLE</t>
  </si>
  <si>
    <t>FID_KHYW_ENABLE</t>
  </si>
  <si>
    <t>FID_SFYG</t>
  </si>
  <si>
    <t>FID_XZYS</t>
  </si>
  <si>
    <t>FID_FUNCID</t>
  </si>
  <si>
    <t>FID_CXJE</t>
  </si>
  <si>
    <t>FID_ZJLY</t>
  </si>
  <si>
    <t>FID_WTSF</t>
  </si>
  <si>
    <t>FID_CDSF</t>
  </si>
  <si>
    <t>FID_LSCLMS</t>
  </si>
  <si>
    <t>FID_JLLSBZ</t>
  </si>
  <si>
    <t>FID_TZMS</t>
  </si>
  <si>
    <t>FID_DOMAIN1</t>
  </si>
  <si>
    <t>FID_REGLOG</t>
  </si>
  <si>
    <t>FID_SLTSFS</t>
  </si>
  <si>
    <t>FID_OWNER_KH</t>
  </si>
  <si>
    <t>FID_OWNER_JJR</t>
  </si>
  <si>
    <t>FID_KZFS_KHQX</t>
  </si>
  <si>
    <t>FID_KZFS_YHQX</t>
  </si>
  <si>
    <t>FID_KZFS_CSQX</t>
  </si>
  <si>
    <t>FID_KZFS_KHFL</t>
  </si>
  <si>
    <t>FID_WJLX</t>
  </si>
  <si>
    <t>FID_WJLJ</t>
  </si>
  <si>
    <t>FID_SYFW</t>
  </si>
  <si>
    <t>FID_ZJDZ</t>
  </si>
  <si>
    <t>FID_ZJDZ_FRDB</t>
  </si>
  <si>
    <t>FID_XM_JBR</t>
  </si>
  <si>
    <t>FID_ZJLB_JBR</t>
  </si>
  <si>
    <t>FID_ZJBH_JBR</t>
  </si>
  <si>
    <t>FID_ZCFZ</t>
  </si>
  <si>
    <t>FID_EN_ZCFZ</t>
  </si>
  <si>
    <t>FID_RZRQ</t>
  </si>
  <si>
    <t>FID_TXXS</t>
  </si>
  <si>
    <t>FID_CDWZID_NEW</t>
  </si>
  <si>
    <t>FID_KZYWDM</t>
  </si>
  <si>
    <t>FID_KZYWMC</t>
  </si>
  <si>
    <t>FID_KZYWSM</t>
  </si>
  <si>
    <t>FID_KZYWZT</t>
  </si>
  <si>
    <t>FID_NZZCJE</t>
  </si>
  <si>
    <t>FID_NZZRJE</t>
  </si>
  <si>
    <t>FID_QTCKJE</t>
  </si>
  <si>
    <t>FID_QTQKJE</t>
  </si>
  <si>
    <t>FID_ZPCKJE</t>
  </si>
  <si>
    <t>FID_ZPQKJE</t>
  </si>
  <si>
    <t>FID_ZZZCJE</t>
  </si>
  <si>
    <t>FID_ZZZRJE</t>
  </si>
  <si>
    <t>FID_HCJE</t>
  </si>
  <si>
    <t>FID_LBJE</t>
  </si>
  <si>
    <t>FID_TJZQ</t>
  </si>
  <si>
    <t>FID_TJDW</t>
  </si>
  <si>
    <t>FID_TGZRHS</t>
  </si>
  <si>
    <t>FID_TGZCHS</t>
  </si>
  <si>
    <t>FID_TGZRSZ</t>
  </si>
  <si>
    <t>FID_TGZCSZ</t>
  </si>
  <si>
    <t>FID_ZDZRSZ</t>
  </si>
  <si>
    <t>FID_CZZCSZ</t>
  </si>
  <si>
    <t>FID_JGLBMC</t>
  </si>
  <si>
    <t>FID_FXLB</t>
  </si>
  <si>
    <t>FID_QZLX</t>
  </si>
  <si>
    <t>FID_FILEDATA</t>
  </si>
  <si>
    <t>FID_FILEZIP</t>
  </si>
  <si>
    <t>FID_FILECOMPANYNAME</t>
  </si>
  <si>
    <t>FID_FILEPRODUCTNAME</t>
  </si>
  <si>
    <t>FID_FILEDIR</t>
  </si>
  <si>
    <t>FID_FILENEW</t>
  </si>
  <si>
    <t>FID_FILERELATION</t>
  </si>
  <si>
    <t>FID_FILEPOSITION</t>
  </si>
  <si>
    <t>FID_FILETYPE</t>
  </si>
  <si>
    <t>FID_XQFS</t>
  </si>
  <si>
    <t>FID_ZCLB</t>
  </si>
  <si>
    <t>FID_DBXS</t>
  </si>
  <si>
    <t>FID_SJZD</t>
  </si>
  <si>
    <t>FID_SRKJLX</t>
  </si>
  <si>
    <t>FID_DZFS</t>
  </si>
  <si>
    <t>FID_CXSL</t>
  </si>
  <si>
    <t>FID_BLSFUNC</t>
  </si>
  <si>
    <t>FID_QSFY</t>
  </si>
  <si>
    <t>FID_RGRQ</t>
  </si>
  <si>
    <t>FID_JGRQ</t>
  </si>
  <si>
    <t>FID_JYSCPFL</t>
  </si>
  <si>
    <t>FID_JYSCPZL</t>
  </si>
  <si>
    <t>FID_SBJB</t>
  </si>
  <si>
    <t>FID_ZSXJ</t>
  </si>
  <si>
    <t>FID_JYSDDBH</t>
  </si>
  <si>
    <t>FID_BRCJSL</t>
  </si>
  <si>
    <t>FID_BRCJJE</t>
  </si>
  <si>
    <t>FID_EN_SBJB</t>
  </si>
  <si>
    <t>FID_DZXXBZ</t>
  </si>
  <si>
    <t>FID_DXLX</t>
  </si>
  <si>
    <t>FID_EN_LOGINID</t>
  </si>
  <si>
    <t>FID_EN_JSDM</t>
  </si>
  <si>
    <t>FID_JYBWFL</t>
  </si>
  <si>
    <t>FID_QRSMJG</t>
  </si>
  <si>
    <t>FID_NONTRADINGORDTYPE</t>
  </si>
  <si>
    <t>FID_ORDTYPE</t>
  </si>
  <si>
    <t>FID_SIDE</t>
  </si>
  <si>
    <t>FID_TIMEINFORCE</t>
  </si>
  <si>
    <t>FID_TRADINGSESSIO</t>
  </si>
  <si>
    <t>FID_ZJJRBZ</t>
  </si>
  <si>
    <t>FID_PJZC</t>
  </si>
  <si>
    <t>FID_KHMMSQ</t>
  </si>
  <si>
    <t>FID_TJRQ</t>
  </si>
  <si>
    <t>FID_BCDJSL</t>
  </si>
  <si>
    <t>FID_TQSL</t>
  </si>
  <si>
    <t>FID_EN_SQLB</t>
  </si>
  <si>
    <t>FID_RGJG</t>
  </si>
  <si>
    <t>FID_CGLB</t>
  </si>
  <si>
    <t>FID_CGZH</t>
  </si>
  <si>
    <t>FID_CGYHDM</t>
  </si>
  <si>
    <t>FID_CGYHZH</t>
  </si>
  <si>
    <t>FID_CGCLJG</t>
  </si>
  <si>
    <t>FID_CGJGSM</t>
  </si>
  <si>
    <t>FID_CGCLRQ</t>
  </si>
  <si>
    <t>FID_CGCLSJ</t>
  </si>
  <si>
    <t>FID_CGWBCLJG</t>
  </si>
  <si>
    <t>FID_CXWBLSH</t>
  </si>
  <si>
    <t>FID_YHYE</t>
  </si>
  <si>
    <t>FID_ZBYH</t>
  </si>
  <si>
    <t>FID_CGJGDM</t>
  </si>
  <si>
    <t>FID_MRSL6</t>
  </si>
  <si>
    <t>FID_MRSL7</t>
  </si>
  <si>
    <t>FID_MRSL8</t>
  </si>
  <si>
    <t>FID_MRSL9</t>
  </si>
  <si>
    <t>FID_MRSL10</t>
  </si>
  <si>
    <t>FID_MCSL6</t>
  </si>
  <si>
    <t>FID_MCSL7</t>
  </si>
  <si>
    <t>FID_MCSL8</t>
  </si>
  <si>
    <t>FID_MCSL9</t>
  </si>
  <si>
    <t>FID_MCSL10</t>
  </si>
  <si>
    <t>FID_MRJG6</t>
  </si>
  <si>
    <t>FID_MRJG7</t>
  </si>
  <si>
    <t>FID_MRJG8</t>
  </si>
  <si>
    <t>FID_MRJG9</t>
  </si>
  <si>
    <t>FID_MRJG10</t>
  </si>
  <si>
    <t>FID_MCJG6</t>
  </si>
  <si>
    <t>FID_MCJG7</t>
  </si>
  <si>
    <t>FID_MCJG8</t>
  </si>
  <si>
    <t>FID_MCJG9</t>
  </si>
  <si>
    <t>FID_MCJG10</t>
  </si>
  <si>
    <t>FID_PCDWBL</t>
  </si>
  <si>
    <t>FID_MRJG</t>
  </si>
  <si>
    <t>FID_TOKEN</t>
  </si>
  <si>
    <t>FID_CCSLXZ</t>
  </si>
  <si>
    <t>FID_PCBL</t>
  </si>
  <si>
    <t>FID_LTSL</t>
  </si>
  <si>
    <t>FID_TABLENAME</t>
  </si>
  <si>
    <t>FID_FIELDNAME</t>
  </si>
  <si>
    <t>FID_JDBZ</t>
  </si>
  <si>
    <t>FID_HYB</t>
  </si>
  <si>
    <t>FID_JKHH</t>
  </si>
  <si>
    <t>FID_DKHH</t>
  </si>
  <si>
    <t>FID_JYYB</t>
  </si>
  <si>
    <t>FID_DYYB</t>
  </si>
  <si>
    <t>FID_ZCKZDX</t>
  </si>
  <si>
    <t>FID_HYJE</t>
  </si>
  <si>
    <t>FID_ZJZHBH</t>
  </si>
  <si>
    <t>FID_JQRQ</t>
  </si>
  <si>
    <t>FID_ZHYH</t>
  </si>
  <si>
    <t>FID_JZJZH</t>
  </si>
  <si>
    <t>FID_DZJZH</t>
  </si>
  <si>
    <t>FID_JZJYYB</t>
  </si>
  <si>
    <t>FID_DZJYYB</t>
  </si>
  <si>
    <t>FID_EN_JYYB</t>
  </si>
  <si>
    <t>FID_EN_DYYB</t>
  </si>
  <si>
    <t>FID_EN_JZJYYB</t>
  </si>
  <si>
    <t>FID_EN_DZJYYB</t>
  </si>
  <si>
    <t>FID_DJGY</t>
  </si>
  <si>
    <t>FID_SHGY</t>
  </si>
  <si>
    <t>FID_JKHXM</t>
  </si>
  <si>
    <t>FID_DKHXM</t>
  </si>
  <si>
    <t>FID_EN_BH</t>
  </si>
  <si>
    <t>FID_EN_ZBH</t>
  </si>
  <si>
    <t>FID_ZHDYCS</t>
  </si>
  <si>
    <t>FID_ZBH</t>
  </si>
  <si>
    <t>FID_ZHMC</t>
  </si>
  <si>
    <t>FID_JZHYE</t>
  </si>
  <si>
    <t>FID_DZHYE</t>
  </si>
  <si>
    <t>FID_JZCZZ</t>
  </si>
  <si>
    <t>FID_DZCZZ</t>
  </si>
  <si>
    <t>FID_SHTG</t>
  </si>
  <si>
    <t>FID_JQHYJE</t>
  </si>
  <si>
    <t>FID_EN_KHYYB</t>
  </si>
  <si>
    <t>FID_EN_ZJYYB</t>
  </si>
  <si>
    <t>FID_SRYE2</t>
  </si>
  <si>
    <t>FID_ZHYE2</t>
  </si>
  <si>
    <t>FID_ZPJE2</t>
  </si>
  <si>
    <t>FID_DJJE2</t>
  </si>
  <si>
    <t>FID_YCDJJE2</t>
  </si>
  <si>
    <t>FID_ZJCQDJ2</t>
  </si>
  <si>
    <t>FID_WJSJE2</t>
  </si>
  <si>
    <t>FID_KQZJ2</t>
  </si>
  <si>
    <t>FID_XJZC2</t>
  </si>
  <si>
    <t>FID_GPSZ2</t>
  </si>
  <si>
    <t>FID_LX2</t>
  </si>
  <si>
    <t>FID_LXS2</t>
  </si>
  <si>
    <t>FID_TZLX2</t>
  </si>
  <si>
    <t>FID_RZJE2</t>
  </si>
  <si>
    <t>FID_QSJE_B2</t>
  </si>
  <si>
    <t>FID_QSJE_S2</t>
  </si>
  <si>
    <t>FID_DRCKJE2</t>
  </si>
  <si>
    <t>FID_TZCKJE2</t>
  </si>
  <si>
    <t>FID_HAVE_ZCXX</t>
  </si>
  <si>
    <t>FID_HAVE_JKCS</t>
  </si>
  <si>
    <t>FID_XZDJ</t>
  </si>
  <si>
    <t>FID_CCBLXZ</t>
  </si>
  <si>
    <t>FID_ZHYJE</t>
  </si>
  <si>
    <t>FID_RZBLSX</t>
  </si>
  <si>
    <t>FID_SHQD</t>
  </si>
  <si>
    <t>FID_SHFS</t>
  </si>
  <si>
    <t>FID_SHJS</t>
  </si>
  <si>
    <t>FID_LCMC</t>
  </si>
  <si>
    <t>FID_SHJB</t>
  </si>
  <si>
    <t>FID_LGFH</t>
  </si>
  <si>
    <t>FID_LGFHJSDM</t>
  </si>
  <si>
    <t>FID_JKYWDM</t>
  </si>
  <si>
    <t>FID_SFJYLX</t>
  </si>
  <si>
    <t>FID_MBMC</t>
  </si>
  <si>
    <t>FID_XSBQ</t>
  </si>
  <si>
    <t>FID_FLLB</t>
  </si>
  <si>
    <t>FID_GFBDFX</t>
  </si>
  <si>
    <t>FID_GFJSTS</t>
  </si>
  <si>
    <t>FID_JHJJKS</t>
  </si>
  <si>
    <t>FID_JHJJJS</t>
  </si>
  <si>
    <t>FID_JSFBZ</t>
  </si>
  <si>
    <t>FID_JYKZ</t>
  </si>
  <si>
    <t>FID_QSDZ</t>
  </si>
  <si>
    <t>FID_SHSBBZ</t>
  </si>
  <si>
    <t>FID_SZSBBZ</t>
  </si>
  <si>
    <t>FID_SZCDBZ</t>
  </si>
  <si>
    <t>FID_SWKSSJ</t>
  </si>
  <si>
    <t>FID_SWBSSJ</t>
  </si>
  <si>
    <t>FID_XWKSSJ</t>
  </si>
  <si>
    <t>FID_XWBSSJ</t>
  </si>
  <si>
    <t>FID_SJXZ</t>
  </si>
  <si>
    <t>FID_XJFS</t>
  </si>
  <si>
    <t>FID_ZJBDFX</t>
  </si>
  <si>
    <t>FID_ZJJSTS</t>
  </si>
  <si>
    <t>FID_XGDM</t>
  </si>
  <si>
    <t>FID_JSFS</t>
  </si>
  <si>
    <t>FID_XWLX</t>
  </si>
  <si>
    <t>FID_JGDW</t>
  </si>
  <si>
    <t>FID_MCJG</t>
  </si>
  <si>
    <t>FID_KCDW</t>
  </si>
  <si>
    <t>FID_JYBM</t>
  </si>
  <si>
    <t>FID_TZLB</t>
  </si>
  <si>
    <t>FID_KPBZ</t>
  </si>
  <si>
    <t>FID_JYSBZJ</t>
  </si>
  <si>
    <t>FID_JGSL</t>
  </si>
  <si>
    <t>FID_LJZK</t>
  </si>
  <si>
    <t>FID_FXL</t>
  </si>
  <si>
    <t>FID_ZFXL</t>
  </si>
  <si>
    <t>FID_PCSL</t>
  </si>
  <si>
    <t>FID_PCYK</t>
  </si>
  <si>
    <t>FID_PCRQ</t>
  </si>
  <si>
    <t>FID_CCWTH</t>
  </si>
  <si>
    <t>FID_GSDM</t>
  </si>
  <si>
    <t>FID_SBJLH</t>
  </si>
  <si>
    <t>FID_ZKFY</t>
  </si>
  <si>
    <t>FID_CJJJ</t>
  </si>
  <si>
    <t>FID_DJBZJ</t>
  </si>
  <si>
    <t>FID_SBGY</t>
  </si>
  <si>
    <t>FID_BDJE</t>
  </si>
  <si>
    <t>FID_BCDJ</t>
  </si>
  <si>
    <t>FID_BDSJ</t>
  </si>
  <si>
    <t>FID_CCSL</t>
  </si>
  <si>
    <t>FID_DWBZJ</t>
  </si>
  <si>
    <t>FID_JYSBZJBL</t>
  </si>
  <si>
    <t>FID_JYSDWBZJ</t>
  </si>
  <si>
    <t>FID_LJFH</t>
  </si>
  <si>
    <t>FID_BRSXF</t>
  </si>
  <si>
    <t>FID_BRPCYK</t>
  </si>
  <si>
    <t>FID_JYSBRSXF</t>
  </si>
  <si>
    <t>FID_JYSCCXE</t>
  </si>
  <si>
    <t>FID_KHCCXE</t>
  </si>
  <si>
    <t>FID_SQCZBZ</t>
  </si>
  <si>
    <t>FID_JSLB</t>
  </si>
  <si>
    <t>FID_QXLB</t>
  </si>
  <si>
    <t>FID_SHBZ</t>
  </si>
  <si>
    <t>FID_AZRQ</t>
  </si>
  <si>
    <t>FID_DFRQ</t>
  </si>
  <si>
    <t>FID_XLH</t>
  </si>
  <si>
    <t>FID_YXXG</t>
  </si>
  <si>
    <t>FID_ZJSQRQ</t>
  </si>
  <si>
    <t>FID_CWJB</t>
  </si>
  <si>
    <t>FID_JKLB</t>
  </si>
  <si>
    <t>FID_JKCWDM</t>
  </si>
  <si>
    <t>FID_CWLY</t>
  </si>
  <si>
    <t>FID_KSKHH</t>
  </si>
  <si>
    <t>FID_JSKHH</t>
  </si>
  <si>
    <t>FID_KYKHH</t>
  </si>
  <si>
    <t>FID_SJKZFS</t>
  </si>
  <si>
    <t>FID_SJXZ_SQCZR</t>
  </si>
  <si>
    <t>FID_TBTS_SQCZR</t>
  </si>
  <si>
    <t>FID_ZJBH_SQCZR</t>
  </si>
  <si>
    <t>FID_ZJLB_SQCZR</t>
  </si>
  <si>
    <t>FID_JFQSRQ</t>
  </si>
  <si>
    <t>FID_JGBZ</t>
  </si>
  <si>
    <t>FID_YXZZDM</t>
  </si>
  <si>
    <t>FID_ZJDLRQ</t>
  </si>
  <si>
    <t>FID_LQRQ</t>
  </si>
  <si>
    <t>FID_JGXZ</t>
  </si>
  <si>
    <t>FID_ZJLB_FRDB</t>
  </si>
  <si>
    <t>FID_ZJBH_FRDB</t>
  </si>
  <si>
    <t>FID_ZCSJ</t>
  </si>
  <si>
    <t>FID_KHJLXM</t>
  </si>
  <si>
    <t>FID_MBBH</t>
  </si>
  <si>
    <t>FID_TABLE</t>
  </si>
  <si>
    <t>FID_ACT</t>
  </si>
  <si>
    <t>FID_XZLB</t>
  </si>
  <si>
    <t>FID_KHQZFW1</t>
  </si>
  <si>
    <t>FID_SJYWKM</t>
  </si>
  <si>
    <t>FID_RQFDLL</t>
  </si>
  <si>
    <t>FID_RZXYLL</t>
  </si>
  <si>
    <t>FID_RQXYLL</t>
  </si>
  <si>
    <t>FID_WYLB</t>
  </si>
  <si>
    <t>FID_SQL</t>
  </si>
  <si>
    <t>FID_FILENAME</t>
  </si>
  <si>
    <t>FID_FILEVERSION</t>
  </si>
  <si>
    <t>FID_ZJLB_GDH</t>
  </si>
  <si>
    <t>FID_MEMHEAD</t>
  </si>
  <si>
    <t>FID_MEMDATA</t>
  </si>
  <si>
    <t>FID_MEMCOUNT</t>
  </si>
  <si>
    <t>FID_MEMSIZE</t>
  </si>
  <si>
    <t>FID_GQZH_ZR</t>
  </si>
  <si>
    <t>FID_PCCL</t>
  </si>
  <si>
    <t>FID_YQCJSL</t>
  </si>
  <si>
    <t>FID_RZLLXX</t>
  </si>
  <si>
    <t>FID_RQLLXX</t>
  </si>
  <si>
    <t>FID_RZXYJS</t>
  </si>
  <si>
    <t>FID_RQXYJS</t>
  </si>
  <si>
    <t>FID_MARGIN_ENABLE</t>
  </si>
  <si>
    <t>FID_KSSJ1</t>
  </si>
  <si>
    <t>FID_JSSJ1</t>
  </si>
  <si>
    <t>FID_KSSJ2</t>
  </si>
  <si>
    <t>FID_JSSJ2</t>
  </si>
  <si>
    <t>FID_WXWTFBZ</t>
  </si>
  <si>
    <t>FID_MFCXCS</t>
  </si>
  <si>
    <t>FID_BDKYZJ</t>
  </si>
  <si>
    <t>FID_SHLX</t>
  </si>
  <si>
    <t>FID_JCFL</t>
  </si>
  <si>
    <t>FID_YSJYBZ</t>
  </si>
  <si>
    <t>FID_YSKSSJ</t>
  </si>
  <si>
    <t>FID_YSBSSJ</t>
  </si>
  <si>
    <t>FID_JYSSXF</t>
  </si>
  <si>
    <t>FID_YJL</t>
  </si>
  <si>
    <t>FID_YJLXX</t>
  </si>
  <si>
    <t>FID_SLXX</t>
  </si>
  <si>
    <t>FID_XMDM</t>
  </si>
  <si>
    <t>FID_DAID</t>
  </si>
  <si>
    <t>FID_INSINDEX</t>
  </si>
  <si>
    <t>FID_MODINDEX</t>
  </si>
  <si>
    <t>FID_LSHMC</t>
  </si>
  <si>
    <t>FID_TRANPORT</t>
  </si>
  <si>
    <t>FID_DATABASE</t>
  </si>
  <si>
    <t>FID_DUMPPATH</t>
  </si>
  <si>
    <t>FID_DUMPTYPE</t>
  </si>
  <si>
    <t>FID_DUMPNOTE</t>
  </si>
  <si>
    <t>FID_UPDATEITEM</t>
  </si>
  <si>
    <t>FID_IDENTITY</t>
  </si>
  <si>
    <t>FID_LOWPAR</t>
  </si>
  <si>
    <t>FID_HIGHPAR</t>
  </si>
  <si>
    <t>FID_CZYBH</t>
  </si>
  <si>
    <t>FID_KHDDH</t>
  </si>
  <si>
    <t>FID_TZRXM</t>
  </si>
  <si>
    <t>FID_TZRLB</t>
  </si>
  <si>
    <t>FID_JZJ</t>
  </si>
  <si>
    <t>FID_GDXM_OLD</t>
  </si>
  <si>
    <t>FID_QQLB</t>
  </si>
  <si>
    <t>FID_GDJC</t>
  </si>
  <si>
    <t>FID_PGDM</t>
  </si>
  <si>
    <t>FID_XJFSMC</t>
  </si>
  <si>
    <t>FID_XJLB</t>
  </si>
  <si>
    <t>FID_DYBZ</t>
  </si>
  <si>
    <t>FID_BZXX</t>
  </si>
  <si>
    <t>FID_TZRMC</t>
  </si>
  <si>
    <t>FID_ZJBH_OLD</t>
  </si>
  <si>
    <t>FID_TZRMC_OLD</t>
  </si>
  <si>
    <t>FID_CLSM</t>
  </si>
  <si>
    <t>FID_CXLB</t>
  </si>
  <si>
    <t>FID_KHHY</t>
  </si>
  <si>
    <t>FID_TZRJC</t>
  </si>
  <si>
    <t>FID_XB</t>
  </si>
  <si>
    <t>FID_DMQZ</t>
  </si>
  <si>
    <t>FID_CSRQ</t>
  </si>
  <si>
    <t>FID_MCQZ</t>
  </si>
  <si>
    <t>FID_FRLB</t>
  </si>
  <si>
    <t>FID_HYDM</t>
  </si>
  <si>
    <t>FID_JSHY</t>
  </si>
  <si>
    <t>FID_SDSL_GR</t>
  </si>
  <si>
    <t>FID_SDSL_JG</t>
  </si>
  <si>
    <t>FID_SRGDH</t>
  </si>
  <si>
    <t>FID_SRXWH</t>
  </si>
  <si>
    <t>FID_HBRQ</t>
  </si>
  <si>
    <t>FID_YWLX</t>
  </si>
  <si>
    <t>FID_WWMC</t>
  </si>
  <si>
    <t>FID_TJSL</t>
  </si>
  <si>
    <t>FID_SFJE</t>
  </si>
  <si>
    <t>FID_DJGSSF</t>
  </si>
  <si>
    <t>FID_DLJGSF</t>
  </si>
  <si>
    <t>FID_SRZJBH</t>
  </si>
  <si>
    <t>FID_SRGDXM</t>
  </si>
  <si>
    <t>FID_SRDZ</t>
  </si>
  <si>
    <t>FID_SRDH</t>
  </si>
  <si>
    <t>FID_SRYZBM</t>
  </si>
  <si>
    <t>FID_SRGFXZ</t>
  </si>
  <si>
    <t>FID_QRBZ</t>
  </si>
  <si>
    <t>FID_ZBQS</t>
  </si>
  <si>
    <t>FID_DBQS</t>
  </si>
  <si>
    <t>FID_GFXZSM</t>
  </si>
  <si>
    <t>FID_QSLB</t>
  </si>
  <si>
    <t>FID_QQSF_GR</t>
  </si>
  <si>
    <t>FID_QQSF_JG</t>
  </si>
  <si>
    <t>FID_QYZL</t>
  </si>
  <si>
    <t>FID_ZBQSMC</t>
  </si>
  <si>
    <t>FID_DYZQDM</t>
  </si>
  <si>
    <t>FID_CLEARFEE</t>
  </si>
  <si>
    <t>FID_FXJJFL</t>
  </si>
  <si>
    <t>FID_ZGFL</t>
  </si>
  <si>
    <t>FID_QTFLXX</t>
  </si>
  <si>
    <t>FID_QTFLSX</t>
  </si>
  <si>
    <t>FID_CJJEQD</t>
  </si>
  <si>
    <t>FID_SFQD</t>
  </si>
  <si>
    <t>FID_FJYRBS</t>
  </si>
  <si>
    <t>FID_YEAR</t>
  </si>
  <si>
    <t>FID_MBLB</t>
  </si>
  <si>
    <t>FID_ZJDS</t>
  </si>
  <si>
    <t>FID_ZCDS</t>
  </si>
  <si>
    <t>FID_DJYHZHS</t>
  </si>
  <si>
    <t>FID_FJXYXX</t>
  </si>
  <si>
    <t>FID_FJYRZZBZ</t>
  </si>
  <si>
    <t>FID_PGJG</t>
  </si>
  <si>
    <t>FID_GSKYE</t>
  </si>
  <si>
    <t>FID_JCGSKYE</t>
  </si>
  <si>
    <t>FID_LXCZCS</t>
  </si>
  <si>
    <t>FID_QDSJ</t>
  </si>
  <si>
    <t>FID_QYZZBS</t>
  </si>
  <si>
    <t>FID_ZJQDRQ</t>
  </si>
  <si>
    <t>FID_KSWTH</t>
  </si>
  <si>
    <t>FID_JSWTH</t>
  </si>
  <si>
    <t>FID_KYWTH</t>
  </si>
  <si>
    <t>FID_SQXQ</t>
  </si>
  <si>
    <t>FID_SHZT</t>
  </si>
  <si>
    <t>FID_SQGY</t>
  </si>
  <si>
    <t>FID_HKQX</t>
  </si>
  <si>
    <t>FID_MXTS</t>
  </si>
  <si>
    <t>FID_SHRQ</t>
  </si>
  <si>
    <t>FID_SHSJ</t>
  </si>
  <si>
    <t>FID_YMBBH</t>
  </si>
  <si>
    <t>FID_XSXH</t>
  </si>
  <si>
    <t>FID_MMTB</t>
  </si>
  <si>
    <t>FID_EN_GYDM</t>
  </si>
  <si>
    <t>FID_NEWJJR</t>
  </si>
  <si>
    <t>FID_ZPKZBZ</t>
  </si>
  <si>
    <t>FID_DRCKKZ</t>
  </si>
  <si>
    <t>FID_XML</t>
  </si>
  <si>
    <t>FID_QYDM</t>
  </si>
  <si>
    <t>FID_QYSL</t>
  </si>
  <si>
    <t>FID_QYJE</t>
  </si>
  <si>
    <t>FID_TIME_INIT</t>
  </si>
  <si>
    <t>FID_TIME_CLOSE</t>
  </si>
  <si>
    <t>FID_GQDJLSH</t>
  </si>
  <si>
    <t>FID_LDSMJG</t>
  </si>
  <si>
    <t>FID_XCXZBS</t>
  </si>
  <si>
    <t>FID_EN_WTLB</t>
  </si>
  <si>
    <t>FID_GQDM</t>
  </si>
  <si>
    <t>FID_GQLB</t>
  </si>
  <si>
    <t>FID_GQLBMC</t>
  </si>
  <si>
    <t>FID_GQMC</t>
  </si>
  <si>
    <t>FID_GQSL</t>
  </si>
  <si>
    <t>FID_GQZH</t>
  </si>
  <si>
    <t>FID_JMC_ZDCGSL</t>
  </si>
  <si>
    <t>FID_KSGQZH</t>
  </si>
  <si>
    <t>FID_KYGQZH</t>
  </si>
  <si>
    <t>FID_KZSX</t>
  </si>
  <si>
    <t>FID_SDLX</t>
  </si>
  <si>
    <t>FID_ROWNUM</t>
  </si>
  <si>
    <t>FID_ZDCGSL</t>
  </si>
  <si>
    <t>FID_ZSBJFD</t>
  </si>
  <si>
    <t>FID_ZSQBJFD</t>
  </si>
  <si>
    <t>FID_EN_GQDM</t>
  </si>
  <si>
    <t>FID_EN_GQLB</t>
  </si>
  <si>
    <t>FID_GZMZ</t>
  </si>
  <si>
    <t>FID_FXDS</t>
  </si>
  <si>
    <t>FID_MRED</t>
  </si>
  <si>
    <t>FID_MCED</t>
  </si>
  <si>
    <t>FID_PXCS</t>
  </si>
  <si>
    <t>FID_URL</t>
  </si>
  <si>
    <t>FID_ZSR</t>
  </si>
  <si>
    <t>FID_ZLR</t>
  </si>
  <si>
    <t>FID_JLR</t>
  </si>
  <si>
    <t>FID_MGFH</t>
  </si>
  <si>
    <t>FID_FHHJZC</t>
  </si>
  <si>
    <t>FID_MGJZC</t>
  </si>
  <si>
    <t>FID_PAY</t>
  </si>
  <si>
    <t>FID_DZ_OFFICE</t>
  </si>
  <si>
    <t>FID_ZZJGDM</t>
  </si>
  <si>
    <t>FID_SFJE_GR</t>
  </si>
  <si>
    <t>FID_SFJE_JG</t>
  </si>
  <si>
    <t>FID_KHH_YJ</t>
  </si>
  <si>
    <t>FID_GQZH_YJ</t>
  </si>
  <si>
    <t>FID_SXF_ZR</t>
  </si>
  <si>
    <t>FID_RZSYLLFD</t>
  </si>
  <si>
    <t>FID_RQSYLLFD</t>
  </si>
  <si>
    <t>FID_RZEDLLFD</t>
  </si>
  <si>
    <t>FID_RQEDLLFD</t>
  </si>
  <si>
    <t>FID_ZDCXRQ</t>
  </si>
  <si>
    <t>FID_WEEK</t>
  </si>
  <si>
    <t>FID_MILLISECOND</t>
  </si>
  <si>
    <t>FID_GDSL</t>
  </si>
  <si>
    <t>FID_CCSLXZ_JG</t>
  </si>
  <si>
    <t>FID_CCSLXZ_ZG</t>
  </si>
  <si>
    <t>FID_JYJS_GR_ZGG</t>
  </si>
  <si>
    <t>FID_JYJS_GR_TZG</t>
  </si>
  <si>
    <t>FID_JYJS_JG_ZGG</t>
  </si>
  <si>
    <t>FID_JYJS_JG_TZG</t>
  </si>
  <si>
    <t>FID_ZGBZ</t>
  </si>
  <si>
    <t>FID_KHH_ZQR</t>
  </si>
  <si>
    <t>FID_GQZH_ZQR</t>
  </si>
  <si>
    <t>FID_SXF_ZQR</t>
  </si>
  <si>
    <t>FID_GFXZ_YJ</t>
  </si>
  <si>
    <t>FID_RZXYED_OLD</t>
  </si>
  <si>
    <t>FID_RQXYED_OLD</t>
  </si>
  <si>
    <t>FID_EN_JGDM</t>
  </si>
  <si>
    <t>FID_EX_JGDM</t>
  </si>
  <si>
    <t>FID_NODEID</t>
  </si>
  <si>
    <t>FID_NODENAME</t>
  </si>
  <si>
    <t>FID_SEAT_SH</t>
  </si>
  <si>
    <t>FID_SEAT_SZ</t>
  </si>
  <si>
    <t>FID_ADDR_IP</t>
  </si>
  <si>
    <t>FID_ADDR_MAC</t>
  </si>
  <si>
    <t>FID_OID</t>
  </si>
  <si>
    <t>FID_LOG_POS</t>
  </si>
  <si>
    <t>FID_INDEX</t>
  </si>
  <si>
    <t>FID_KSSBWTH</t>
  </si>
  <si>
    <t>FID_DZJGSX</t>
  </si>
  <si>
    <t>FID_DZJGXX</t>
  </si>
  <si>
    <t>FID_ZCJSL</t>
  </si>
  <si>
    <t>FID_QTZGCCSX</t>
  </si>
  <si>
    <t>FID_QTJGCCXX</t>
  </si>
  <si>
    <t>FID_WJBM</t>
  </si>
  <si>
    <t>FID_WJMC</t>
  </si>
  <si>
    <t>FID_WJHM</t>
  </si>
  <si>
    <t>FID_TMHM</t>
  </si>
  <si>
    <t>FID_TMLX</t>
  </si>
  <si>
    <t>FID_TMMS</t>
  </si>
  <si>
    <t>FID_TMDA</t>
  </si>
  <si>
    <t>FID_SCORE</t>
  </si>
  <si>
    <t>FID_ZJYXQ</t>
  </si>
  <si>
    <t>FID_ZJDZYB</t>
  </si>
  <si>
    <t>FID_ZJFZJG</t>
  </si>
  <si>
    <t>FID_EDZ</t>
  </si>
  <si>
    <t>FID_YYZZNJRQ</t>
  </si>
  <si>
    <t>FID_JTDZ</t>
  </si>
  <si>
    <t>FID_JTYB</t>
  </si>
  <si>
    <t>FID_QTDH</t>
  </si>
  <si>
    <t>FID_QQ</t>
  </si>
  <si>
    <t>FID_FXQHYLB</t>
  </si>
  <si>
    <t>FID_XQFXDJ</t>
  </si>
  <si>
    <t>FID_FXQSZRQ</t>
  </si>
  <si>
    <t>FID_HYZK</t>
  </si>
  <si>
    <t>FID_JG</t>
  </si>
  <si>
    <t>FID_MZDM</t>
  </si>
  <si>
    <t>FID_GZDW</t>
  </si>
  <si>
    <t>FID_GZDWDZ</t>
  </si>
  <si>
    <t>FID_GZDWYB</t>
  </si>
  <si>
    <t>FID_GZDWZW</t>
  </si>
  <si>
    <t>FID_GZDWDH</t>
  </si>
  <si>
    <t>FID_FXCSNL</t>
  </si>
  <si>
    <t>FID_FXPGRQ</t>
  </si>
  <si>
    <t>FID_JJFXCSNL</t>
  </si>
  <si>
    <t>FID_JJFXPGRQ</t>
  </si>
  <si>
    <t>FID_GPFXCSNL</t>
  </si>
  <si>
    <t>FID_GPFXPGRQ</t>
  </si>
  <si>
    <t>FID_XYFXCSNL</t>
  </si>
  <si>
    <t>FID_XYFXPGRQ</t>
  </si>
  <si>
    <t>FID_KHKZT</t>
  </si>
  <si>
    <t>FID_TBSM</t>
  </si>
  <si>
    <t>FID_ZZSHZT</t>
  </si>
  <si>
    <t>FID_GSDH</t>
  </si>
  <si>
    <t>FID_ZCRQ</t>
  </si>
  <si>
    <t>FID_LTGB</t>
  </si>
  <si>
    <t>FID_ZZJGDMYXQ</t>
  </si>
  <si>
    <t>FID_ZZJGDMFZJG</t>
  </si>
  <si>
    <t>FID_ZZJGDMNJRQ</t>
  </si>
  <si>
    <t>FID_SWDJZ</t>
  </si>
  <si>
    <t>FID_SWDJZYXQ</t>
  </si>
  <si>
    <t>FID_SWDJZFZJG</t>
  </si>
  <si>
    <t>FID_SWDJZNJRQ</t>
  </si>
  <si>
    <t>FID_ZJYXQ_FRDB</t>
  </si>
  <si>
    <t>FID_ZJYXQ_JBR</t>
  </si>
  <si>
    <t>FID_DH_JBR</t>
  </si>
  <si>
    <t>FID_MOBILE_JBR</t>
  </si>
  <si>
    <t>FID_XB_JBR</t>
  </si>
  <si>
    <t>FID_FWMM</t>
  </si>
  <si>
    <t>FID_HXKH</t>
  </si>
  <si>
    <t>FID_TQGHSX</t>
  </si>
  <si>
    <t>FID_GXRQ</t>
  </si>
  <si>
    <t>FID_SX2</t>
  </si>
  <si>
    <t>FID_HGED</t>
  </si>
  <si>
    <t>FID_XYTS</t>
  </si>
  <si>
    <t>FID_TQXZBL</t>
  </si>
  <si>
    <t>FID_YYTQTS</t>
  </si>
  <si>
    <t>FID_XZBL</t>
  </si>
  <si>
    <t>FID_TQYYSX</t>
  </si>
  <si>
    <t>FID_JZSJ</t>
  </si>
  <si>
    <t>FID_SYBDBL</t>
  </si>
  <si>
    <t>FID_TQYYDBQS</t>
  </si>
  <si>
    <t>FID_TQDBSX</t>
  </si>
  <si>
    <t>FID_CZRBM</t>
  </si>
  <si>
    <t>FID_CZRMC</t>
  </si>
  <si>
    <t>FID_DKHYBH</t>
  </si>
  <si>
    <t>FID_DKDQRQ</t>
  </si>
  <si>
    <t>FID_HTDJRQ</t>
  </si>
  <si>
    <t>FID_ZYZH</t>
  </si>
  <si>
    <t>FID_DJBH</t>
  </si>
  <si>
    <t>FID_SBLSH</t>
  </si>
  <si>
    <t>FID_ZQMZ</t>
  </si>
  <si>
    <t>FID_FU_HYQY</t>
  </si>
  <si>
    <t>FID_CZMM</t>
  </si>
  <si>
    <t>FID_TXMM</t>
  </si>
  <si>
    <t>FID_GTKHLB</t>
  </si>
  <si>
    <t>FID_ROUTER</t>
  </si>
  <si>
    <t>FID_ENTRY</t>
  </si>
  <si>
    <t>FID_KHHQZ</t>
  </si>
  <si>
    <t>FID_CHECKBOX</t>
  </si>
  <si>
    <t>FID_CZLB</t>
  </si>
  <si>
    <t>FID_PUSH</t>
  </si>
  <si>
    <t>FID_HQZD</t>
  </si>
  <si>
    <t>FID_ZDF</t>
  </si>
  <si>
    <t>FID_HQZF</t>
  </si>
  <si>
    <t>FID_HSL</t>
  </si>
  <si>
    <t>FID_ICON</t>
  </si>
  <si>
    <t>FID_FZMC</t>
  </si>
  <si>
    <t>FID_HFBH</t>
  </si>
  <si>
    <t>FID_FSKHH</t>
  </si>
  <si>
    <t>FID_FSFJBZ</t>
  </si>
  <si>
    <t>FID_DFKHH</t>
  </si>
  <si>
    <t>FID_STATE</t>
  </si>
  <si>
    <t>FID_DLSJ</t>
  </si>
  <si>
    <t>FID_QTSJ</t>
  </si>
  <si>
    <t>FID_MLLB</t>
  </si>
  <si>
    <t>FID_MLBM</t>
  </si>
  <si>
    <t>FID_MLMC</t>
  </si>
  <si>
    <t>FID_MLSM</t>
  </si>
  <si>
    <t>FID_FORMAT</t>
  </si>
  <si>
    <t>FID_DEFAULT</t>
  </si>
  <si>
    <t>FID_DATA</t>
  </si>
  <si>
    <t>FID_JLBZ</t>
  </si>
  <si>
    <t>FID_MBSMS</t>
  </si>
  <si>
    <t>FID_MBMAIL</t>
  </si>
  <si>
    <t>FID_LBMC</t>
  </si>
  <si>
    <t>FID_CSLX</t>
  </si>
  <si>
    <t>FID_XMMC</t>
  </si>
  <si>
    <t>FID_FWXZ</t>
  </si>
  <si>
    <t>FID_RECNO</t>
  </si>
  <si>
    <t>FID_YJB</t>
  </si>
  <si>
    <t>FID_CCMAIL</t>
  </si>
  <si>
    <t>FID_YJXM</t>
  </si>
  <si>
    <t>FID_PRODUCT</t>
  </si>
  <si>
    <t>FID_VERSION</t>
  </si>
  <si>
    <t>FID_COMPANY</t>
  </si>
  <si>
    <t>FID_LWTIME</t>
  </si>
  <si>
    <t>FID_PKLEN</t>
  </si>
  <si>
    <t>FID_PACKAGE</t>
  </si>
  <si>
    <t>FID_SUBDIR</t>
  </si>
  <si>
    <t>FID_ZHBZ</t>
  </si>
  <si>
    <t>FID_BYDZ3</t>
  </si>
  <si>
    <t>FID_XH</t>
  </si>
  <si>
    <t>FID_DXFDED</t>
  </si>
  <si>
    <t>FID_YJFDED</t>
  </si>
  <si>
    <t>FID_DXFYBL</t>
  </si>
  <si>
    <t>FID_YJFYBL</t>
  </si>
  <si>
    <t>FID_YXSJ</t>
  </si>
  <si>
    <t>FID_LYLX</t>
  </si>
  <si>
    <t>FID_KTZT</t>
  </si>
  <si>
    <t>FID_YWSM</t>
  </si>
  <si>
    <t>FID_WTFSDM</t>
  </si>
  <si>
    <t>FID_DEVICENAME</t>
  </si>
  <si>
    <t>FID_DATANAME</t>
  </si>
  <si>
    <t>FID_DATASIZE</t>
  </si>
  <si>
    <t>FID_DEVICESIZE</t>
  </si>
  <si>
    <t>FID_YJBCDM</t>
  </si>
  <si>
    <t>FID_MINIMAGESIZE</t>
  </si>
  <si>
    <t>FID_MAXIMAGESIZE</t>
  </si>
  <si>
    <t>FID_ALERTIMAGESIZE</t>
  </si>
  <si>
    <t>FID_QZYZFS</t>
  </si>
  <si>
    <t>FID_KXYZFS</t>
  </si>
  <si>
    <t>FID_YZFS_SQCZR</t>
  </si>
  <si>
    <t>FID_APPID</t>
  </si>
  <si>
    <t>FID_BCJJSL</t>
  </si>
  <si>
    <t>FID_BGFHFS</t>
  </si>
  <si>
    <t>FID_BKKBZ</t>
  </si>
  <si>
    <t>FID_BRBZS1</t>
  </si>
  <si>
    <t>FID_BRCKJE</t>
  </si>
  <si>
    <t>FID_BRCXZD</t>
  </si>
  <si>
    <t>FID_BRZDJY</t>
  </si>
  <si>
    <t>FID_CBJ</t>
  </si>
  <si>
    <t>FID_CDYWLB</t>
  </si>
  <si>
    <t>FID_CFBZ</t>
  </si>
  <si>
    <t>FID_CFGDM</t>
  </si>
  <si>
    <t>FID_CFGSL</t>
  </si>
  <si>
    <t>FID_CJHBNO</t>
  </si>
  <si>
    <t>FID_DFBZ</t>
  </si>
  <si>
    <t>FID_DFDJSL</t>
  </si>
  <si>
    <t>FID_DFJGDM</t>
  </si>
  <si>
    <t>FID_DFJSDM</t>
  </si>
  <si>
    <t>FID_DFJSJG</t>
  </si>
  <si>
    <t>FID_DFJSLX</t>
  </si>
  <si>
    <t>FID_DFJSZH</t>
  </si>
  <si>
    <t>FID_DFKHQZ</t>
  </si>
  <si>
    <t>FID_DFLOGINID</t>
  </si>
  <si>
    <t>FID_DFWJSSL</t>
  </si>
  <si>
    <t>FID_DFWZDM</t>
  </si>
  <si>
    <t>FID_DFYHDM</t>
  </si>
  <si>
    <t>FID_DFYHZH</t>
  </si>
  <si>
    <t>FID_DFYWKM</t>
  </si>
  <si>
    <t>FID_DFYZBM</t>
  </si>
  <si>
    <t>FID_DFZJBH</t>
  </si>
  <si>
    <t>FID_DFZJLB</t>
  </si>
  <si>
    <t>FID_DFZJZH</t>
  </si>
  <si>
    <t>FID_DFZQDM</t>
  </si>
  <si>
    <t>FID_DFZQSL</t>
  </si>
  <si>
    <t>FID_DFZY</t>
  </si>
  <si>
    <t>FID_DJYE</t>
  </si>
  <si>
    <t>FID_DJYXRQ</t>
  </si>
  <si>
    <t>FID_DLCS</t>
  </si>
  <si>
    <t>FID_DLKZFS</t>
  </si>
  <si>
    <t>FID_DLSFBZ</t>
  </si>
  <si>
    <t>FID_DLSFFW</t>
  </si>
  <si>
    <t>FID_DLSFJE</t>
  </si>
  <si>
    <t>FID_DLSFSX</t>
  </si>
  <si>
    <t>FID_DZLXS</t>
  </si>
  <si>
    <t>FID_EN_CJHBNO</t>
  </si>
  <si>
    <t>FID_EN_FXDJ</t>
  </si>
  <si>
    <t>FID_EN_GFXZ</t>
  </si>
  <si>
    <t>FID_EN_JDBM</t>
  </si>
  <si>
    <t>FID_EN_JJDM</t>
  </si>
  <si>
    <t>FID_EN_JYQX</t>
  </si>
  <si>
    <t>FID_EN_SFFS</t>
  </si>
  <si>
    <t>FID_EN_WTFL</t>
  </si>
  <si>
    <t>FID_EN_WTHQZ</t>
  </si>
  <si>
    <t>FID_EN_YHDM</t>
  </si>
  <si>
    <t>FID_EN_YWDM</t>
  </si>
  <si>
    <t>FID_FHDM</t>
  </si>
  <si>
    <t>FID_FHDWJE</t>
  </si>
  <si>
    <t>FID_FILEID</t>
  </si>
  <si>
    <t>FID_FJYRJYBZ</t>
  </si>
  <si>
    <t>FID_FLSX</t>
  </si>
  <si>
    <t>FID_FWFL</t>
  </si>
  <si>
    <t>FID_FWFSX</t>
  </si>
  <si>
    <t>FID_FWFXX</t>
  </si>
  <si>
    <t>FID_FXBL</t>
  </si>
  <si>
    <t>FID_FXPP</t>
  </si>
  <si>
    <t>FID_GRZDSCRGSG</t>
  </si>
  <si>
    <t>FID_GRZDZJRGSG</t>
  </si>
  <si>
    <t>FID_GRZGDTSH</t>
  </si>
  <si>
    <t>FID_HBJG</t>
  </si>
  <si>
    <t>FID_HGBZ</t>
  </si>
  <si>
    <t>FID_HISTORY</t>
  </si>
  <si>
    <t>FID_HLSYTS</t>
  </si>
  <si>
    <t>FID_HQCXCS</t>
  </si>
  <si>
    <t>FID_HQMFCS</t>
  </si>
  <si>
    <t>FID_HQSFBZ</t>
  </si>
  <si>
    <t>FID_HQSFJE</t>
  </si>
  <si>
    <t>FID_HS</t>
  </si>
  <si>
    <t>FID_HZSJ</t>
  </si>
  <si>
    <t>FID_INI</t>
  </si>
  <si>
    <t>FID_JBQXLB</t>
  </si>
  <si>
    <t>FID_JFSJ</t>
  </si>
  <si>
    <t>FID_JGZDSCRGSG</t>
  </si>
  <si>
    <t>FID_JGZDZJRGSG</t>
  </si>
  <si>
    <t>FID_JGZGDTSH</t>
  </si>
  <si>
    <t>FID_JJCFZT</t>
  </si>
  <si>
    <t>FID_JJHBZT</t>
  </si>
  <si>
    <t>FID_JJKHZT</t>
  </si>
  <si>
    <t>FID_JJRGZT</t>
  </si>
  <si>
    <t>FID_JJSGZT</t>
  </si>
  <si>
    <t>FID_JJSHZT</t>
  </si>
  <si>
    <t>FID_JJZHSQFS</t>
  </si>
  <si>
    <t>FID_JJZHSX</t>
  </si>
  <si>
    <t>FID_JJZHZT</t>
  </si>
  <si>
    <t>FID_JSKZFS</t>
  </si>
  <si>
    <t>FID_JSSFBZ</t>
  </si>
  <si>
    <t>FID_JSSFDW</t>
  </si>
  <si>
    <t>FID_JSSFJE</t>
  </si>
  <si>
    <t>FID_JSSFQD</t>
  </si>
  <si>
    <t>FID_JSSFSX</t>
  </si>
  <si>
    <t>FID_JSSJSX</t>
  </si>
  <si>
    <t>FID_JYJ</t>
  </si>
  <si>
    <t>FID_JYLBSX</t>
  </si>
  <si>
    <t>FID_JYLTJFS</t>
  </si>
  <si>
    <t>FID_JYSQH</t>
  </si>
  <si>
    <t>FID_KHFL</t>
  </si>
  <si>
    <t>FID_KHXMXY</t>
  </si>
  <si>
    <t>FID_KWTSL</t>
  </si>
  <si>
    <t>FID_TJZC</t>
  </si>
  <si>
    <t>FID_LLMBBH</t>
  </si>
  <si>
    <t>FID_MCCJJE</t>
  </si>
  <si>
    <t>FID_MCCJSL</t>
  </si>
  <si>
    <t>FID_MCQSJE</t>
  </si>
  <si>
    <t>FID_MCWTJE</t>
  </si>
  <si>
    <t>FID_MCWTSL</t>
  </si>
  <si>
    <t>FID_MMBDRQ</t>
  </si>
  <si>
    <t>FID_MMXZFS</t>
  </si>
  <si>
    <t>FID_MRCJJE</t>
  </si>
  <si>
    <t>FID_MRCJSL</t>
  </si>
  <si>
    <t>FID_MRFHFS</t>
  </si>
  <si>
    <t>FID_MRQSJE</t>
  </si>
  <si>
    <t>FID_MRWTJE</t>
  </si>
  <si>
    <t>FID_MRWTSL</t>
  </si>
  <si>
    <t>FID_MXBZ</t>
  </si>
  <si>
    <t>FID_ORDWTH</t>
  </si>
  <si>
    <t>FID_OTHER</t>
  </si>
  <si>
    <t>FID_PHRQ</t>
  </si>
  <si>
    <t>FID_POSITION</t>
  </si>
  <si>
    <t>FID_QRLSH</t>
  </si>
  <si>
    <t>FID_QTDJ</t>
  </si>
  <si>
    <t>FID_QTFY</t>
  </si>
  <si>
    <t>FID_QTMM</t>
  </si>
  <si>
    <t>FID_QXSX</t>
  </si>
  <si>
    <t>FID_QYRQ</t>
  </si>
  <si>
    <t>FID_RGSGJS</t>
  </si>
  <si>
    <t>FID_RQJS</t>
  </si>
  <si>
    <t>FID_RZBZ</t>
  </si>
  <si>
    <t>FID_RZJS</t>
  </si>
  <si>
    <t>FID_SBFS</t>
  </si>
  <si>
    <t>FID_SFSX</t>
  </si>
  <si>
    <t>FID_SGSHDM</t>
  </si>
  <si>
    <t>FID_SMBS</t>
  </si>
  <si>
    <t>FID_SPBZ</t>
  </si>
  <si>
    <t>FID_SRRQ</t>
  </si>
  <si>
    <t>FID_STAMP</t>
  </si>
  <si>
    <t>FID_SXFSX</t>
  </si>
  <si>
    <t>FID_SXFXX</t>
  </si>
  <si>
    <t>FID_SXYK</t>
  </si>
  <si>
    <t>FID_T3JS</t>
  </si>
  <si>
    <t>FID_TABM</t>
  </si>
  <si>
    <t>FID_TAKZSX</t>
  </si>
  <si>
    <t>FID_TEST</t>
  </si>
  <si>
    <t>FID_THREAD</t>
  </si>
  <si>
    <t>FID_TSYWJSSJ</t>
  </si>
  <si>
    <t>FID_TXDZ</t>
  </si>
  <si>
    <t>FID_TXTS</t>
  </si>
  <si>
    <t>FID_WJSSL_B</t>
  </si>
  <si>
    <t>FID_WJSSL_S</t>
  </si>
  <si>
    <t>FID_WTBZ</t>
  </si>
  <si>
    <t>FID_WTDJJE</t>
  </si>
  <si>
    <t>FID_WTHQZ</t>
  </si>
  <si>
    <t>FID_WTMARK</t>
  </si>
  <si>
    <t>FID_WZDM</t>
  </si>
  <si>
    <t>FID_XYZT</t>
  </si>
  <si>
    <t>FID_XZFS</t>
  </si>
  <si>
    <t>FID_YGXJCE</t>
  </si>
  <si>
    <t>FID_YHKZSX</t>
  </si>
  <si>
    <t>FID_YWBS</t>
  </si>
  <si>
    <t>FID_YWRQ</t>
  </si>
  <si>
    <t>FID_YYBBH</t>
  </si>
  <si>
    <t>FID_ZCSMJG</t>
  </si>
  <si>
    <t>FID_ZCTJFS</t>
  </si>
  <si>
    <t>FID_ZCZQSZ</t>
  </si>
  <si>
    <t>FID_ZDHS</t>
  </si>
  <si>
    <t>FID_ZJBHXY</t>
  </si>
  <si>
    <t>FID_ZJDM</t>
  </si>
  <si>
    <t>FID_ZJSBSJ</t>
  </si>
  <si>
    <t>FID_ZQFXDJ</t>
  </si>
  <si>
    <t>FID_ZQJCLB</t>
  </si>
  <si>
    <t>FID_ZQJYSX</t>
  </si>
  <si>
    <t>FID_ZQLBXZFS</t>
  </si>
  <si>
    <t>FID_ZQSXFW</t>
  </si>
  <si>
    <t>FID_ZQYWDM</t>
  </si>
  <si>
    <t>FID_ZRZQSZ</t>
  </si>
  <si>
    <t>FID_ZYQDM</t>
  </si>
  <si>
    <t>FID_ZZKSSJ</t>
  </si>
  <si>
    <t>FID_ZZLB</t>
  </si>
  <si>
    <t>FID_ZZQDM</t>
  </si>
  <si>
    <t>FID_LTLX</t>
  </si>
  <si>
    <t>FID_BBFUNCID</t>
  </si>
  <si>
    <t>FID_BBBSC</t>
  </si>
  <si>
    <t>FID_BBSORTTYPE</t>
  </si>
  <si>
    <t>FID_BBCXLB</t>
  </si>
  <si>
    <t>FID_BBFIELDNAME</t>
  </si>
  <si>
    <t>FID_BBTYPE</t>
  </si>
  <si>
    <t>FID_BBVALUE</t>
  </si>
  <si>
    <t>FID_BBROWNUM</t>
  </si>
  <si>
    <t>FID_BBSJJDM</t>
  </si>
  <si>
    <t>FID_TDLX_BF</t>
  </si>
  <si>
    <t>FID_SGWTSL</t>
  </si>
  <si>
    <t>FID_DFJDBM</t>
  </si>
  <si>
    <t>FID_MODULE</t>
  </si>
  <si>
    <t>FID_NAME</t>
  </si>
  <si>
    <t>FID_CLASE</t>
  </si>
  <si>
    <t>FID_LEVEL</t>
  </si>
  <si>
    <t>FID_OLDVER</t>
  </si>
  <si>
    <t>FID_LASTVER</t>
  </si>
  <si>
    <t>FID_WHYS</t>
  </si>
  <si>
    <t>FID_FILEPATH</t>
  </si>
  <si>
    <t>FID_MENDER</t>
  </si>
  <si>
    <t>FID_CONNER</t>
  </si>
  <si>
    <t>FID_MODIRQ</t>
  </si>
  <si>
    <t>FID_TESTRQ</t>
  </si>
  <si>
    <t>FID_CONCLUSION</t>
  </si>
  <si>
    <t>FID_UPNOTE</t>
  </si>
  <si>
    <t>FID_STATUS</t>
  </si>
  <si>
    <t>FID_RESOLVEN</t>
  </si>
  <si>
    <t>FID_DIFF</t>
  </si>
  <si>
    <t>FID_YZJB</t>
  </si>
  <si>
    <t>FID_RWBH</t>
  </si>
  <si>
    <t>FID_DIR</t>
  </si>
  <si>
    <t>FID_CPID</t>
  </si>
  <si>
    <t>FID_XQLX</t>
  </si>
  <si>
    <t>FID_XQLY</t>
  </si>
  <si>
    <t>FID_XQMS</t>
  </si>
  <si>
    <t>FID_XQLXF</t>
  </si>
  <si>
    <t>FID_XGFA</t>
  </si>
  <si>
    <t>FID_FASP</t>
  </si>
  <si>
    <t>FID_FASPRQ</t>
  </si>
  <si>
    <t>FID_JRX</t>
  </si>
  <si>
    <t>FID_FFJH</t>
  </si>
  <si>
    <t>FID_XGR</t>
  </si>
  <si>
    <t>FID_XGJD</t>
  </si>
  <si>
    <t>FID_CSR</t>
  </si>
  <si>
    <t>FID_CSJD</t>
  </si>
  <si>
    <t>FID_YMTS</t>
  </si>
  <si>
    <t>FID_XGFK</t>
  </si>
  <si>
    <t>FID_XGWCRQ</t>
  </si>
  <si>
    <t>FID_CSFK</t>
  </si>
  <si>
    <t>FID_CSWCRQ</t>
  </si>
  <si>
    <t>FID_HFYJ</t>
  </si>
  <si>
    <t>FID_HFRQ</t>
  </si>
  <si>
    <t>FID_HFR</t>
  </si>
  <si>
    <t>FID_RWB</t>
  </si>
  <si>
    <t>FID_MTYPE</t>
  </si>
  <si>
    <t>FID_GYXM</t>
  </si>
  <si>
    <t>FID_JLZ</t>
  </si>
  <si>
    <t>FID_GH</t>
  </si>
  <si>
    <t>FID_KHMC</t>
  </si>
  <si>
    <t>FID_WHR</t>
  </si>
  <si>
    <t>FID_XZR</t>
  </si>
  <si>
    <t>FID_KHID</t>
  </si>
  <si>
    <t>FID_WTMS</t>
  </si>
  <si>
    <t>FID_FXDW</t>
  </si>
  <si>
    <t>FID_JJFS</t>
  </si>
  <si>
    <t>FID_JJGC</t>
  </si>
  <si>
    <t>FID_CLYS</t>
  </si>
  <si>
    <t>FID_WTFL</t>
  </si>
  <si>
    <t>FID_GROUP</t>
  </si>
  <si>
    <t>FID_SECURITY</t>
  </si>
  <si>
    <t>FID_GXQ</t>
  </si>
  <si>
    <t>FID_CPXX</t>
  </si>
  <si>
    <t>FID_KHZB</t>
  </si>
  <si>
    <t>FID_QYZB</t>
  </si>
  <si>
    <t>FID_ZJL</t>
  </si>
  <si>
    <t>FID_ZJLDH</t>
  </si>
  <si>
    <t>FID_ZJLMAIL</t>
  </si>
  <si>
    <t>FID_JL</t>
  </si>
  <si>
    <t>FID_JLDH</t>
  </si>
  <si>
    <t>FID_JLMAIL</t>
  </si>
  <si>
    <t>FID_CRDATE</t>
  </si>
  <si>
    <t>FID_ENGINEERS</t>
  </si>
  <si>
    <t>FID_HFRQ2</t>
  </si>
  <si>
    <t>FID_DJR</t>
  </si>
  <si>
    <t>FID_ZW</t>
  </si>
  <si>
    <t>FID_WHBT</t>
  </si>
  <si>
    <t>FID_FLAG1</t>
  </si>
  <si>
    <t>FID_FLAG2</t>
  </si>
  <si>
    <t>FID_XQLB</t>
  </si>
  <si>
    <t>FID_MSN</t>
  </si>
  <si>
    <t>FID_SPFA</t>
  </si>
  <si>
    <t>FID_SJNR</t>
  </si>
  <si>
    <t>FID_LCRZ</t>
  </si>
  <si>
    <t>FID_SPR</t>
  </si>
  <si>
    <t>FID_SPRQ</t>
  </si>
  <si>
    <t>FID_GZR</t>
  </si>
  <si>
    <t>FID_XQBT</t>
  </si>
  <si>
    <t>FID_ZPR</t>
  </si>
  <si>
    <t>FID_RWMS</t>
  </si>
  <si>
    <t>FID_ZPRQ</t>
  </si>
  <si>
    <t>FID_GMZQ</t>
  </si>
  <si>
    <t>FID_GYZT</t>
  </si>
  <si>
    <t>FID_KSSJ</t>
  </si>
  <si>
    <t>FID_JSSJ</t>
  </si>
  <si>
    <t>FID_XZQYDM</t>
  </si>
  <si>
    <t>FID_XZQYMC</t>
  </si>
  <si>
    <t>FID_XZQYLB</t>
  </si>
  <si>
    <t>FID_SJXZQYDM</t>
  </si>
  <si>
    <t>FID_DHQH</t>
  </si>
  <si>
    <t>FID_KHBS</t>
  </si>
  <si>
    <t>FID_LPDM</t>
  </si>
  <si>
    <t>FID_YWSHBZ</t>
  </si>
  <si>
    <t>FID_YWSHQD</t>
  </si>
  <si>
    <t>FID_LPZCDS</t>
  </si>
  <si>
    <t>FID_CZBZ</t>
  </si>
  <si>
    <t>FID_YSJE_YJ</t>
  </si>
  <si>
    <t>FID_JGZLLB</t>
  </si>
  <si>
    <t>FID_S15</t>
  </si>
  <si>
    <t>FID_S16</t>
  </si>
  <si>
    <t>FID_CWLB</t>
  </si>
  <si>
    <t>FID_YHMM</t>
  </si>
  <si>
    <t>FID_ZDXW</t>
  </si>
  <si>
    <t>FID_DWJZ</t>
  </si>
  <si>
    <t>FID_CZGY</t>
  </si>
  <si>
    <t>FID_FYBL</t>
  </si>
  <si>
    <t>FID_JYL</t>
  </si>
  <si>
    <t>FID_XGPZ</t>
  </si>
  <si>
    <t>FID_XGZH</t>
  </si>
  <si>
    <t>FID_JESX</t>
  </si>
  <si>
    <t>FID_LXJG</t>
  </si>
  <si>
    <t>FID_XWDM</t>
  </si>
  <si>
    <t>FID_EN_JGZLLB</t>
  </si>
  <si>
    <t>FID_WBJGDM</t>
  </si>
  <si>
    <t>FID_WBFJJYLB</t>
  </si>
  <si>
    <t>FID_CZWBSQBH</t>
  </si>
  <si>
    <t>FID_WBSQBH</t>
  </si>
  <si>
    <t>FID_RWSM</t>
  </si>
  <si>
    <t>FID_FHRQ</t>
  </si>
  <si>
    <t>FID_FLLBFW</t>
  </si>
  <si>
    <t>FID_JYSFW</t>
  </si>
  <si>
    <t>FID_SDSL</t>
  </si>
  <si>
    <t>FID_WTFSFW</t>
  </si>
  <si>
    <t>FID_ZDJSBZ</t>
  </si>
  <si>
    <t>FID_TJZQS</t>
  </si>
  <si>
    <t>FID_JJZHCD</t>
  </si>
  <si>
    <t>FID_JYMCD</t>
  </si>
  <si>
    <t>FID_SQBHCD</t>
  </si>
  <si>
    <t>FID_JJZHSCFS</t>
  </si>
  <si>
    <t>FID_JYZHQZ</t>
  </si>
  <si>
    <t>FID_KYJJZH_GR</t>
  </si>
  <si>
    <t>FID_KYJJZH_JG</t>
  </si>
  <si>
    <t>FID_FEDZZT</t>
  </si>
  <si>
    <t>FID_HBDZBZ</t>
  </si>
  <si>
    <t>FID_FEDZXM</t>
  </si>
  <si>
    <t>FID_FEDZFS</t>
  </si>
  <si>
    <t>FID_FJYGHLB</t>
  </si>
  <si>
    <t>FID_JGSCRGZDZJ</t>
  </si>
  <si>
    <t>FID_GRSCRGZDZJ</t>
  </si>
  <si>
    <t>FID_GRZJRGZDZJ</t>
  </si>
  <si>
    <t>FID_JGZJRGZDZJ</t>
  </si>
  <si>
    <t>FID_GRZDRGZJ</t>
  </si>
  <si>
    <t>FID_JGZDRGZJ</t>
  </si>
  <si>
    <t>FID_GRSCSGZDZJ</t>
  </si>
  <si>
    <t>FID_JGSCSGZDZJ</t>
  </si>
  <si>
    <t>FID_GRZJSGZDZJ</t>
  </si>
  <si>
    <t>FID_JGZJSGZDZJ</t>
  </si>
  <si>
    <t>FID_GRSHZDFE</t>
  </si>
  <si>
    <t>FID_JGSHZDFE</t>
  </si>
  <si>
    <t>FID_GRCCZDFE</t>
  </si>
  <si>
    <t>FID_JGCCZDFE</t>
  </si>
  <si>
    <t>FID_SHSYTS</t>
  </si>
  <si>
    <t>FID_HLHKTS</t>
  </si>
  <si>
    <t>FID_GRZDZHFE</t>
  </si>
  <si>
    <t>FID_JGZDZHFE</t>
  </si>
  <si>
    <t>FID_SGJSBZ</t>
  </si>
  <si>
    <t>FID_FQRDM</t>
  </si>
  <si>
    <t>FID_FXZFE</t>
  </si>
  <si>
    <t>FID_GLRDM</t>
  </si>
  <si>
    <t>FID_RGFS</t>
  </si>
  <si>
    <t>FID_RGJS</t>
  </si>
  <si>
    <t>FID_SGJS</t>
  </si>
  <si>
    <t>FID_TGRDM</t>
  </si>
  <si>
    <t>FID_TDLX</t>
  </si>
  <si>
    <t>FID_MODULE_ID</t>
  </si>
  <si>
    <t>FID_ZKLX</t>
  </si>
  <si>
    <t>FID_ZKL</t>
  </si>
  <si>
    <t>FID_DXLB</t>
  </si>
  <si>
    <t>FID_BDKHBZ</t>
  </si>
  <si>
    <t>FID_DJYY</t>
  </si>
  <si>
    <t>FID_DZDLB</t>
  </si>
  <si>
    <t>FID_YSQBH</t>
  </si>
  <si>
    <t>FID_ZJJSLX</t>
  </si>
  <si>
    <t>FID_JJZHXM</t>
  </si>
  <si>
    <t>FID_XSDM</t>
  </si>
  <si>
    <t>FID_TJDM</t>
  </si>
  <si>
    <t>FID_JJFL</t>
  </si>
  <si>
    <t>FID_MRFS</t>
  </si>
  <si>
    <t>FID_YYBZ</t>
  </si>
  <si>
    <t>FID_DFJJZH</t>
  </si>
  <si>
    <t>FID_DFJYZH</t>
  </si>
  <si>
    <t>FID_DFWDH</t>
  </si>
  <si>
    <t>FID_DFXSSDM</t>
  </si>
  <si>
    <t>FID_GHYY</t>
  </si>
  <si>
    <t>FID_LJWYCS</t>
  </si>
  <si>
    <t>FID_LXWYCS</t>
  </si>
  <si>
    <t>FID_QQCS</t>
  </si>
  <si>
    <t>FID_SCKKRQ</t>
  </si>
  <si>
    <t>FID_SCSGZDJE</t>
  </si>
  <si>
    <t>FID_SGZDJE</t>
  </si>
  <si>
    <t>FID_CONTENT</t>
  </si>
  <si>
    <t>FID_TITLE</t>
  </si>
  <si>
    <t>FID_GGLB</t>
  </si>
  <si>
    <t>FID_JYZH</t>
  </si>
  <si>
    <t>FID_TALSH</t>
  </si>
  <si>
    <t>FID_DLF</t>
  </si>
  <si>
    <t>FID_SHF</t>
  </si>
  <si>
    <t>FID_YHS</t>
  </si>
  <si>
    <t>FID_ZFE</t>
  </si>
  <si>
    <t>FID_DJFE</t>
  </si>
  <si>
    <t>FID_KYFE</t>
  </si>
  <si>
    <t>FID_SFHLJE</t>
  </si>
  <si>
    <t>FID_HLZJE</t>
  </si>
  <si>
    <t>FID_FHDWFE</t>
  </si>
  <si>
    <t>FID_FHJJFE</t>
  </si>
  <si>
    <t>FID_ZTZFE</t>
  </si>
  <si>
    <t>FID_DJZTZFE</t>
  </si>
  <si>
    <t>FID_YJKBFS</t>
  </si>
  <si>
    <t>FID_ZFHJE</t>
  </si>
  <si>
    <t>FID_HGRQFCJE</t>
  </si>
  <si>
    <t>FID_RQGHSRJE</t>
  </si>
  <si>
    <t>FID_RZGHFCJE</t>
  </si>
  <si>
    <t>FID_HLPFJE</t>
  </si>
  <si>
    <t>FID_PGJKJE</t>
  </si>
  <si>
    <t>FID_SGZQFC</t>
  </si>
  <si>
    <t>FID_ZQDFJE</t>
  </si>
  <si>
    <t>FID_ZZLGJE</t>
  </si>
  <si>
    <t>FID_BYSJE</t>
  </si>
  <si>
    <t>FID_SGKFC</t>
  </si>
  <si>
    <t>FID_SGKSR</t>
  </si>
  <si>
    <t>FID_SYSJE</t>
  </si>
  <si>
    <t>FID_WGHZJ</t>
  </si>
  <si>
    <t>FID_WHSGK</t>
  </si>
  <si>
    <t>FID_BRKHSL</t>
  </si>
  <si>
    <t>FID_BRXHSL</t>
  </si>
  <si>
    <t>FID_MCDXSL</t>
  </si>
  <si>
    <t>FID_MRDXSL</t>
  </si>
  <si>
    <t>FID_SGCJSL</t>
  </si>
  <si>
    <t>FID_SHCJSL</t>
  </si>
  <si>
    <t>FID_FEMXLSH</t>
  </si>
  <si>
    <t>FID_FEDZRQ</t>
  </si>
  <si>
    <t>FID_ZJDZRQ</t>
  </si>
  <si>
    <t>FID_FHDJFE</t>
  </si>
  <si>
    <t>FID_SHFE</t>
  </si>
  <si>
    <t>FID_XYJKFSJE</t>
  </si>
  <si>
    <t>FID_XYJKYE</t>
  </si>
  <si>
    <t>FID_FILEZAP</t>
  </si>
  <si>
    <t>FID_MZZL</t>
  </si>
  <si>
    <t>FID_QX</t>
  </si>
  <si>
    <t>FID_DQBH</t>
  </si>
  <si>
    <t>FID_DFJG</t>
  </si>
  <si>
    <t>FID_FXSL</t>
  </si>
  <si>
    <t>FID_SXFL</t>
  </si>
  <si>
    <t>FID_YQLL</t>
  </si>
  <si>
    <t>FID_TGFL</t>
  </si>
  <si>
    <t>FID_TGJE</t>
  </si>
  <si>
    <t>FID_DBGBH</t>
  </si>
  <si>
    <t>FID_DBGRQ</t>
  </si>
  <si>
    <t>FID_DFJE</t>
  </si>
  <si>
    <t>FID_DFGY</t>
  </si>
  <si>
    <t>FID_DFYYB</t>
  </si>
  <si>
    <t>FID_GSRQ</t>
  </si>
  <si>
    <t>FID_NBDM</t>
  </si>
  <si>
    <t>FID_DBGGY</t>
  </si>
  <si>
    <t>FID_DBGYYB</t>
  </si>
  <si>
    <t>FID_XQJE</t>
  </si>
  <si>
    <t>FID_DBBC</t>
  </si>
  <si>
    <t>FID_XQBC</t>
  </si>
  <si>
    <t>FID_DBGBD</t>
  </si>
  <si>
    <t>FID_XQBD</t>
  </si>
  <si>
    <t>FID_DBGSJ</t>
  </si>
  <si>
    <t>FID_GSSJ</t>
  </si>
  <si>
    <t>FID_DFSJ</t>
  </si>
  <si>
    <t>FID_PLRQ</t>
  </si>
  <si>
    <t>FID_PLSJ</t>
  </si>
  <si>
    <t>FID_DBGJE</t>
  </si>
  <si>
    <t>FID_TGBD</t>
  </si>
  <si>
    <t>FID_SCDBG</t>
  </si>
  <si>
    <t>FID_SCXQ</t>
  </si>
  <si>
    <t>FID_SCTG</t>
  </si>
  <si>
    <t>FID_PZSM</t>
  </si>
  <si>
    <t>FID_QYBZ</t>
  </si>
  <si>
    <t>FID_QYJJDM</t>
  </si>
  <si>
    <t>FID_DXDM</t>
  </si>
  <si>
    <t>FID_DXMC</t>
  </si>
  <si>
    <t>FID_GRRGSGDBZGJE</t>
  </si>
  <si>
    <t>FID_GRRGSGDTZGJE</t>
  </si>
  <si>
    <t>FID_MCDJSL</t>
  </si>
  <si>
    <t>FID_JGRGSGDBZGJE</t>
  </si>
  <si>
    <t>FID_JGRGSGDTZGJE</t>
  </si>
  <si>
    <t>FID_CDYY</t>
  </si>
  <si>
    <t>FID_ZXTBZ</t>
  </si>
  <si>
    <t>买入</t>
  </si>
  <si>
    <t>卖出</t>
  </si>
  <si>
    <t>配股</t>
  </si>
  <si>
    <t>回购融资，约定回购融资</t>
  </si>
  <si>
    <t>回购融券，报价回购</t>
  </si>
  <si>
    <t>红利</t>
  </si>
  <si>
    <t>转托管转出</t>
  </si>
  <si>
    <t>配号</t>
  </si>
  <si>
    <t>指定</t>
  </si>
  <si>
    <t>撤指</t>
  </si>
  <si>
    <t>转债转股</t>
  </si>
  <si>
    <t>转债回售</t>
  </si>
  <si>
    <t>转债赎回</t>
  </si>
  <si>
    <t>转托管转入</t>
  </si>
  <si>
    <t>送股</t>
  </si>
  <si>
    <t>兑付</t>
  </si>
  <si>
    <t>托管转入</t>
  </si>
  <si>
    <t>托管转出</t>
  </si>
  <si>
    <t>调账转入</t>
  </si>
  <si>
    <t>调账转出</t>
  </si>
  <si>
    <t>派息</t>
  </si>
  <si>
    <t>投票</t>
  </si>
  <si>
    <t>质押冻结</t>
  </si>
  <si>
    <t>解押解冻</t>
  </si>
  <si>
    <t>无冻质押</t>
  </si>
  <si>
    <t>无解解押</t>
  </si>
  <si>
    <t>ETF申购</t>
  </si>
  <si>
    <t>ETF赎回</t>
  </si>
  <si>
    <t>协议转让</t>
  </si>
  <si>
    <t>ETF现金认购</t>
  </si>
  <si>
    <t>ETF股票认购</t>
  </si>
  <si>
    <t>融资购回</t>
  </si>
  <si>
    <t>融券购回</t>
  </si>
  <si>
    <t>报价回购提前终止</t>
  </si>
  <si>
    <t>质押入库</t>
  </si>
  <si>
    <t>质押出库</t>
  </si>
  <si>
    <t>约定购回初始交易</t>
  </si>
  <si>
    <t>约定购回购回交易</t>
  </si>
  <si>
    <t>基金认购</t>
  </si>
  <si>
    <t>基金申购</t>
  </si>
  <si>
    <t>基金赎回</t>
  </si>
  <si>
    <t>分红设置</t>
  </si>
  <si>
    <t>基金分红</t>
  </si>
  <si>
    <t>基金转换</t>
  </si>
  <si>
    <t>基金分拆</t>
  </si>
  <si>
    <t>基金合并</t>
  </si>
  <si>
    <t>权证行权</t>
  </si>
  <si>
    <t>权证创设</t>
  </si>
  <si>
    <t>权证注销</t>
  </si>
  <si>
    <t>意向买入</t>
  </si>
  <si>
    <t>意向卖出</t>
  </si>
  <si>
    <t>定价买入</t>
  </si>
  <si>
    <t>定价卖出</t>
  </si>
  <si>
    <t>买入确认</t>
  </si>
  <si>
    <t>卖出确认</t>
  </si>
  <si>
    <t>融资买入</t>
  </si>
  <si>
    <t>卖券还款</t>
  </si>
  <si>
    <t>买券还券</t>
  </si>
  <si>
    <t>融券卖出</t>
  </si>
  <si>
    <t>担保划入</t>
  </si>
  <si>
    <t>担保划出</t>
  </si>
  <si>
    <t>券源划入</t>
  </si>
  <si>
    <t>券源划出</t>
  </si>
  <si>
    <t>融资强平</t>
  </si>
  <si>
    <t>融券强平</t>
  </si>
  <si>
    <t>预受要约</t>
  </si>
  <si>
    <t>解除要约</t>
  </si>
  <si>
    <t>申购缴款</t>
  </si>
  <si>
    <t>申购还款</t>
  </si>
  <si>
    <t>中签扣款</t>
  </si>
  <si>
    <t>限售纳税</t>
  </si>
  <si>
    <t>冻结解冻</t>
  </si>
  <si>
    <t>成本调整</t>
  </si>
  <si>
    <t>行为查询</t>
  </si>
  <si>
    <t>数据字典</t>
  </si>
  <si>
    <t>字典说明</t>
  </si>
  <si>
    <t>DDLX</t>
  </si>
  <si>
    <t>订单类型</t>
  </si>
  <si>
    <t>0</t>
  </si>
  <si>
    <t>限价</t>
  </si>
  <si>
    <t>1</t>
  </si>
  <si>
    <t>最优五档立即成交剩余撤单(上海)</t>
  </si>
  <si>
    <t>2</t>
  </si>
  <si>
    <t>最优五档立即成交剩余转限价(上海)</t>
  </si>
  <si>
    <t>101</t>
  </si>
  <si>
    <t>市价转限价订单(深圳)</t>
  </si>
  <si>
    <t>102</t>
  </si>
  <si>
    <t>最优价格订单(深圳)</t>
  </si>
  <si>
    <t>103</t>
  </si>
  <si>
    <t>立即成交否则撤销(深圳)</t>
  </si>
  <si>
    <t>104</t>
  </si>
  <si>
    <t>最优五档立即成交否则撤销(深圳)</t>
  </si>
  <si>
    <t>105</t>
  </si>
  <si>
    <t>全部成交否则撤单(深圳)</t>
  </si>
  <si>
    <t>DDJYXZ</t>
  </si>
  <si>
    <t>订单交易指令限制</t>
  </si>
  <si>
    <t>竞价限价盘（开票限价盘)</t>
  </si>
  <si>
    <t>增强限价盘</t>
  </si>
  <si>
    <t>3</t>
  </si>
  <si>
    <t>零股买卖</t>
  </si>
  <si>
    <t>DDSXXZ</t>
  </si>
  <si>
    <t>订单时效限制</t>
  </si>
  <si>
    <t>当日有效</t>
  </si>
  <si>
    <t>4</t>
  </si>
  <si>
    <t>全数执行否则撤销</t>
  </si>
  <si>
    <t>FXCSNL</t>
  </si>
  <si>
    <r>
      <rPr>
        <sz val="10.5"/>
        <rFont val="宋体"/>
        <family val="3"/>
        <charset val="134"/>
      </rPr>
      <t xml:space="preserve">客户风险承受能力
</t>
    </r>
    <r>
      <rPr>
        <sz val="10.5"/>
        <color indexed="10"/>
        <rFont val="宋体"/>
        <family val="3"/>
        <charset val="134"/>
      </rPr>
      <t>(具体要看券商的定义)</t>
    </r>
  </si>
  <si>
    <t>未设定</t>
  </si>
  <si>
    <t>一般承受能力</t>
  </si>
  <si>
    <t>高承受能力</t>
  </si>
  <si>
    <t>KHZT</t>
  </si>
  <si>
    <t>客户状态</t>
  </si>
  <si>
    <t>正常</t>
  </si>
  <si>
    <t>冻结</t>
  </si>
  <si>
    <t>销户</t>
  </si>
  <si>
    <t>6</t>
  </si>
  <si>
    <t>休眠</t>
  </si>
  <si>
    <t>7</t>
  </si>
  <si>
    <t>不合格</t>
  </si>
  <si>
    <t>SGSHZT</t>
  </si>
  <si>
    <t>ETF申赎状态</t>
  </si>
  <si>
    <t>-1</t>
  </si>
  <si>
    <t>无资格</t>
  </si>
  <si>
    <t>禁止申赎</t>
  </si>
  <si>
    <t>允许申赎</t>
  </si>
  <si>
    <t>允许申购</t>
  </si>
  <si>
    <t>允许赎回</t>
  </si>
  <si>
    <t>WTFS</t>
  </si>
  <si>
    <r>
      <rPr>
        <sz val="10.5"/>
        <rFont val="宋体"/>
        <family val="3"/>
        <charset val="134"/>
      </rPr>
      <t xml:space="preserve">委托方式
</t>
    </r>
    <r>
      <rPr>
        <sz val="10.5"/>
        <color indexed="10"/>
        <rFont val="宋体"/>
        <family val="3"/>
        <charset val="134"/>
      </rPr>
      <t>(具体要看券商的定义)</t>
    </r>
  </si>
  <si>
    <t>磁卡</t>
  </si>
  <si>
    <t>热键</t>
  </si>
  <si>
    <t>柜台</t>
  </si>
  <si>
    <t>网上交易</t>
  </si>
  <si>
    <t>WTSBJG</t>
  </si>
  <si>
    <t>委托申报结果</t>
  </si>
  <si>
    <t>未申报</t>
  </si>
  <si>
    <t>申报中</t>
  </si>
  <si>
    <t>已申报</t>
  </si>
  <si>
    <t>非法委托</t>
  </si>
  <si>
    <t>撤单失败</t>
  </si>
  <si>
    <t>5</t>
  </si>
  <si>
    <t>部分成交</t>
  </si>
  <si>
    <t>全部成交</t>
  </si>
  <si>
    <t>部成部撤</t>
  </si>
  <si>
    <t>8</t>
  </si>
  <si>
    <t>全部撤单</t>
  </si>
  <si>
    <t>OF_DQDEXYZT</t>
  </si>
  <si>
    <t>基金定投协议状态</t>
  </si>
  <si>
    <t>终止申请中</t>
  </si>
  <si>
    <t>已终止</t>
  </si>
  <si>
    <t>10</t>
  </si>
  <si>
    <t>已扣款</t>
  </si>
  <si>
    <t>OF_FHFS</t>
  </si>
  <si>
    <t>基金分红方式</t>
  </si>
  <si>
    <t>再投资</t>
  </si>
  <si>
    <t>现金分红</t>
  </si>
  <si>
    <t>OF_JJFXDJ</t>
  </si>
  <si>
    <r>
      <rPr>
        <sz val="10.5"/>
        <rFont val="宋体"/>
        <family val="3"/>
        <charset val="134"/>
      </rPr>
      <t xml:space="preserve">基金风险等级
</t>
    </r>
    <r>
      <rPr>
        <sz val="10.5"/>
        <color indexed="10"/>
        <rFont val="宋体"/>
        <family val="3"/>
        <charset val="134"/>
      </rPr>
      <t>(具体要看券商的定义)</t>
    </r>
  </si>
  <si>
    <t>一般风险</t>
  </si>
  <si>
    <t>高风险</t>
  </si>
  <si>
    <t>OF_SFFS</t>
  </si>
  <si>
    <t>基金收费方式</t>
  </si>
  <si>
    <t>前端收费</t>
  </si>
  <si>
    <t>后端收费</t>
  </si>
  <si>
    <t>C类收费</t>
  </si>
  <si>
    <t>JYS</t>
  </si>
  <si>
    <t>SH</t>
  </si>
  <si>
    <t>上海</t>
  </si>
  <si>
    <t>SZ</t>
  </si>
  <si>
    <t>深圳</t>
  </si>
  <si>
    <t>HB</t>
  </si>
  <si>
    <t>沪B</t>
  </si>
  <si>
    <t>SB</t>
  </si>
  <si>
    <t>深B</t>
  </si>
  <si>
    <t>TA</t>
  </si>
  <si>
    <t>三板A股</t>
  </si>
  <si>
    <t>TU</t>
  </si>
  <si>
    <t>三板B股</t>
  </si>
  <si>
    <t>YZYWDM</t>
  </si>
  <si>
    <t>银证业务代码</t>
  </si>
  <si>
    <t>1,8192</t>
  </si>
  <si>
    <t>2,16384</t>
  </si>
  <si>
    <t>128</t>
  </si>
  <si>
    <t>交易核实</t>
  </si>
  <si>
    <t>查询余额</t>
  </si>
  <si>
    <t>8,32768</t>
  </si>
  <si>
    <t>16,65536</t>
  </si>
  <si>
    <t>撤指定</t>
  </si>
  <si>
    <t>32</t>
  </si>
  <si>
    <t>银行转证券冲正</t>
  </si>
  <si>
    <t>64</t>
  </si>
  <si>
    <t>证券转银行冲正</t>
  </si>
  <si>
    <t>1024</t>
  </si>
  <si>
    <t>预指定确认</t>
  </si>
  <si>
    <t>512</t>
  </si>
  <si>
    <t>变更存管银行帐号</t>
  </si>
  <si>
    <t>2048</t>
  </si>
  <si>
    <t>客户资料同步</t>
  </si>
  <si>
    <t>4096</t>
  </si>
  <si>
    <t>结息入账</t>
  </si>
  <si>
    <t>131072</t>
  </si>
  <si>
    <t>预约开户</t>
  </si>
  <si>
    <t>256</t>
  </si>
  <si>
    <t>修改银行密码</t>
  </si>
  <si>
    <t>签到</t>
  </si>
  <si>
    <t>签退</t>
  </si>
  <si>
    <t>汇总对账</t>
  </si>
  <si>
    <t>明细对账</t>
  </si>
  <si>
    <t>OF_LCCPJHZT</t>
  </si>
  <si>
    <t>基金理财产品计划状态</t>
  </si>
  <si>
    <t>暂停</t>
  </si>
  <si>
    <t>解约</t>
  </si>
  <si>
    <t>OF_LCCPBZ</t>
  </si>
  <si>
    <t>基金理财产品分类</t>
  </si>
  <si>
    <t>普通基金</t>
  </si>
  <si>
    <t>中登电子理财基金</t>
  </si>
  <si>
    <t>证券理财基金(未启用)</t>
  </si>
  <si>
    <t>现金宝基金</t>
  </si>
  <si>
    <t>YWDM</t>
  </si>
  <si>
    <t>港股通公司行为业务代码</t>
  </si>
  <si>
    <r>
      <rPr>
        <sz val="11"/>
        <color indexed="8"/>
        <rFont val="宋体"/>
        <family val="3"/>
        <charset val="134"/>
      </rPr>
      <t>H</t>
    </r>
    <r>
      <rPr>
        <sz val="11"/>
        <color indexed="8"/>
        <rFont val="宋体"/>
        <family val="3"/>
        <charset val="134"/>
      </rPr>
      <t>63</t>
    </r>
  </si>
  <si>
    <t>H66</t>
  </si>
  <si>
    <t>港股通红利选择权业务</t>
  </si>
  <si>
    <t>市场代码</t>
  </si>
  <si>
    <t>交易所简称</t>
  </si>
  <si>
    <t>交易所全称</t>
  </si>
  <si>
    <t>沪A</t>
  </si>
  <si>
    <t>上海证券交易所A股</t>
  </si>
  <si>
    <t>上海证券交易所B股</t>
  </si>
  <si>
    <t>深A</t>
  </si>
  <si>
    <t>深圳证券交易所A股</t>
  </si>
  <si>
    <t>深圳证券交易所B股</t>
  </si>
  <si>
    <t>转A</t>
  </si>
  <si>
    <t>特别转让A股</t>
  </si>
  <si>
    <t>转U</t>
  </si>
  <si>
    <t>特别转让B股</t>
  </si>
  <si>
    <t>HK</t>
  </si>
  <si>
    <t>香港</t>
  </si>
  <si>
    <t>香港联交所</t>
  </si>
  <si>
    <t>FID_JGSL</t>
    <phoneticPr fontId="19" type="noConversion"/>
  </si>
  <si>
    <t>N</t>
    <phoneticPr fontId="19" type="noConversion"/>
  </si>
  <si>
    <t>已交收数量</t>
    <phoneticPr fontId="19" type="noConversion"/>
  </si>
  <si>
    <t>2.1.57</t>
    <phoneticPr fontId="19" type="noConversion"/>
  </si>
  <si>
    <t>2.1.58</t>
    <phoneticPr fontId="19" type="noConversion"/>
  </si>
  <si>
    <t>2.1.59</t>
    <phoneticPr fontId="19" type="noConversion"/>
  </si>
  <si>
    <t>修改 304101 功能码:输出参数增加:FID_JGSL（已交收数量）</t>
    <phoneticPr fontId="19" type="noConversion"/>
  </si>
  <si>
    <t>2.1.59</t>
    <phoneticPr fontId="19" type="noConversion"/>
  </si>
  <si>
    <t>FID_TZLB</t>
    <phoneticPr fontId="19" type="noConversion"/>
  </si>
  <si>
    <t>C3</t>
    <phoneticPr fontId="19" type="noConversion"/>
  </si>
  <si>
    <t>辅助代码 FZDM1</t>
    <phoneticPr fontId="19" type="noConversion"/>
  </si>
  <si>
    <t>通知类别 TZLB</t>
    <phoneticPr fontId="19" type="noConversion"/>
  </si>
  <si>
    <t xml:space="preserve">交易类别 </t>
    <phoneticPr fontId="19" type="noConversion"/>
  </si>
  <si>
    <t>证券代码 ZQDM</t>
    <phoneticPr fontId="19" type="noConversion"/>
  </si>
  <si>
    <t>权益登记日 RQ1</t>
    <phoneticPr fontId="19" type="noConversion"/>
  </si>
  <si>
    <t>开始日期 RQ2</t>
    <phoneticPr fontId="19" type="noConversion"/>
  </si>
  <si>
    <t>截止日期 RQ3</t>
    <phoneticPr fontId="19" type="noConversion"/>
  </si>
  <si>
    <t>FID_RQ</t>
    <phoneticPr fontId="19" type="noConversion"/>
  </si>
  <si>
    <t>I</t>
    <phoneticPr fontId="19" type="noConversion"/>
  </si>
  <si>
    <t>通知日期 TZRQ</t>
    <phoneticPr fontId="19" type="noConversion"/>
  </si>
  <si>
    <t>FID_BH</t>
    <phoneticPr fontId="19" type="noConversion"/>
  </si>
  <si>
    <t>C8</t>
    <phoneticPr fontId="19" type="noConversion"/>
  </si>
  <si>
    <t xml:space="preserve"> </t>
    <phoneticPr fontId="19" type="noConversion"/>
  </si>
  <si>
    <t>清算编号 QSBH</t>
    <phoneticPr fontId="19" type="noConversion"/>
  </si>
  <si>
    <t>FID_LTLX</t>
    <phoneticPr fontId="19" type="noConversion"/>
  </si>
  <si>
    <t>C1</t>
    <phoneticPr fontId="19" type="noConversion"/>
  </si>
  <si>
    <t>流通类型 LTLX</t>
    <phoneticPr fontId="19" type="noConversion"/>
  </si>
  <si>
    <t>FID_QYLB</t>
    <phoneticPr fontId="19" type="noConversion"/>
  </si>
  <si>
    <t>C2</t>
    <phoneticPr fontId="19" type="noConversion"/>
  </si>
  <si>
    <t>权益类别 QYLB</t>
    <phoneticPr fontId="19" type="noConversion"/>
  </si>
  <si>
    <t>FID_GPNF</t>
    <phoneticPr fontId="19" type="noConversion"/>
  </si>
  <si>
    <t>挂牌年费 GPNF</t>
    <phoneticPr fontId="19" type="noConversion"/>
  </si>
  <si>
    <t>FID_QYCS</t>
    <phoneticPr fontId="19" type="noConversion"/>
  </si>
  <si>
    <t>权益次数 QYCS</t>
    <phoneticPr fontId="19" type="noConversion"/>
  </si>
  <si>
    <t>FID_ZJZH</t>
    <phoneticPr fontId="19" type="noConversion"/>
  </si>
  <si>
    <t>C25</t>
    <phoneticPr fontId="19" type="noConversion"/>
  </si>
  <si>
    <t>账户1 ZH1</t>
    <phoneticPr fontId="19" type="noConversion"/>
  </si>
  <si>
    <t>FID_JJZH</t>
    <phoneticPr fontId="19" type="noConversion"/>
  </si>
  <si>
    <t>账户2 ZH2</t>
    <phoneticPr fontId="19" type="noConversion"/>
  </si>
  <si>
    <t>FID_JESX</t>
    <phoneticPr fontId="19" type="noConversion"/>
  </si>
  <si>
    <t>FID_JESX2</t>
    <phoneticPr fontId="19" type="noConversion"/>
  </si>
  <si>
    <t>FID_JEXX</t>
    <phoneticPr fontId="19" type="noConversion"/>
  </si>
  <si>
    <t>R</t>
    <phoneticPr fontId="19" type="noConversion"/>
  </si>
  <si>
    <t>金额1 JE1</t>
    <phoneticPr fontId="19" type="noConversion"/>
  </si>
  <si>
    <t>金额2 JE2</t>
    <phoneticPr fontId="19" type="noConversion"/>
  </si>
  <si>
    <t>金额3 JE3</t>
    <phoneticPr fontId="19" type="noConversion"/>
  </si>
  <si>
    <t>FID_CJJG</t>
    <phoneticPr fontId="19" type="noConversion"/>
  </si>
  <si>
    <t>FID_JG</t>
    <phoneticPr fontId="19" type="noConversion"/>
  </si>
  <si>
    <t>R9.6</t>
    <phoneticPr fontId="19" type="noConversion"/>
  </si>
  <si>
    <t>价格1 JG1</t>
    <phoneticPr fontId="19" type="noConversion"/>
  </si>
  <si>
    <t>价格2 JG2</t>
    <phoneticPr fontId="19" type="noConversion"/>
  </si>
  <si>
    <t>FID_BZ</t>
    <phoneticPr fontId="19" type="noConversion"/>
  </si>
  <si>
    <t>币种 BZ</t>
    <phoneticPr fontId="19" type="noConversion"/>
  </si>
  <si>
    <t>FID_HLJE</t>
    <phoneticPr fontId="19" type="noConversion"/>
  </si>
  <si>
    <t>汇率 WBHL</t>
    <phoneticPr fontId="19" type="noConversion"/>
  </si>
  <si>
    <t>FID_BL</t>
    <phoneticPr fontId="19" type="noConversion"/>
  </si>
  <si>
    <t>FID_BL2</t>
    <phoneticPr fontId="19" type="noConversion"/>
  </si>
  <si>
    <t>比例1 BL1</t>
    <phoneticPr fontId="19" type="noConversion"/>
  </si>
  <si>
    <t>比例2 BL2</t>
    <phoneticPr fontId="19" type="noConversion"/>
  </si>
  <si>
    <t>数量 1 SL1</t>
    <phoneticPr fontId="19" type="noConversion"/>
  </si>
  <si>
    <t>数量 2 SL2</t>
    <phoneticPr fontId="19" type="noConversion"/>
  </si>
  <si>
    <t>FID_CJSL</t>
    <phoneticPr fontId="19" type="noConversion"/>
  </si>
  <si>
    <t>FID_WTSL</t>
    <phoneticPr fontId="19" type="noConversion"/>
  </si>
  <si>
    <t>R16.3</t>
    <phoneticPr fontId="19" type="noConversion"/>
  </si>
  <si>
    <t>FID_LX</t>
    <phoneticPr fontId="19" type="noConversion"/>
  </si>
  <si>
    <t>FID_LX2</t>
    <phoneticPr fontId="19" type="noConversion"/>
  </si>
  <si>
    <t>类型1 LX1</t>
    <phoneticPr fontId="19" type="noConversion"/>
  </si>
  <si>
    <t>类型2 LX2</t>
    <phoneticPr fontId="19" type="noConversion"/>
  </si>
  <si>
    <t>FID_DMQZ</t>
    <phoneticPr fontId="19" type="noConversion"/>
  </si>
  <si>
    <t>C20</t>
    <phoneticPr fontId="19" type="noConversion"/>
  </si>
  <si>
    <t>辅助代码2 FZDM2</t>
    <phoneticPr fontId="19" type="noConversion"/>
  </si>
  <si>
    <t>FID_BYDZ1</t>
    <phoneticPr fontId="19" type="noConversion"/>
  </si>
  <si>
    <t>FID_BYDZ2</t>
    <phoneticPr fontId="19" type="noConversion"/>
  </si>
  <si>
    <t>C80</t>
    <phoneticPr fontId="19" type="noConversion"/>
  </si>
  <si>
    <t>附加说明1 FJSM1</t>
    <phoneticPr fontId="19" type="noConversion"/>
  </si>
  <si>
    <t>附加说明1 FJSM2</t>
    <phoneticPr fontId="19" type="noConversion"/>
  </si>
  <si>
    <t>FID_BYZD1</t>
  </si>
  <si>
    <t>FID_BYZD1</t>
    <phoneticPr fontId="19" type="noConversion"/>
  </si>
  <si>
    <t>C40</t>
    <phoneticPr fontId="19" type="noConversion"/>
  </si>
  <si>
    <t>备用 BZ</t>
    <phoneticPr fontId="19" type="noConversion"/>
  </si>
  <si>
    <t>C</t>
    <phoneticPr fontId="19" type="noConversion"/>
  </si>
  <si>
    <t xml:space="preserve">修改 299026 增加入参及部分出参 </t>
    <phoneticPr fontId="19" type="noConversion"/>
  </si>
  <si>
    <t>FID_DMQZ</t>
    <phoneticPr fontId="19" type="noConversion"/>
  </si>
  <si>
    <t>C20</t>
    <phoneticPr fontId="19" type="noConversion"/>
  </si>
  <si>
    <t>辅助代码2 FZDM2</t>
    <phoneticPr fontId="19" type="noConversion"/>
  </si>
  <si>
    <t>辅助代码1 FZDM1</t>
    <phoneticPr fontId="19" type="noConversion"/>
  </si>
  <si>
    <t>权益类别 QYLB</t>
    <phoneticPr fontId="19" type="noConversion"/>
  </si>
  <si>
    <t>通知类别 TZLB</t>
    <phoneticPr fontId="19" type="noConversion"/>
  </si>
  <si>
    <t xml:space="preserve">交易类别 </t>
    <phoneticPr fontId="19" type="noConversion"/>
  </si>
  <si>
    <t>证券代码 ZQDM</t>
    <phoneticPr fontId="19" type="noConversion"/>
  </si>
  <si>
    <t>交易所 HK</t>
    <phoneticPr fontId="19" type="noConversion"/>
  </si>
  <si>
    <t>交易所 "HK"</t>
    <phoneticPr fontId="19" type="noConversion"/>
  </si>
  <si>
    <t>廖忠芹</t>
    <phoneticPr fontId="19" type="noConversion"/>
  </si>
  <si>
    <t>该功能码因复用对应字段多，具体信息意义需查阅《港股通结算数据接口规范》</t>
    <phoneticPr fontId="19" type="noConversion"/>
  </si>
  <si>
    <t>FID_KYZJ2</t>
    <phoneticPr fontId="19" type="noConversion"/>
  </si>
  <si>
    <t>R</t>
    <phoneticPr fontId="19" type="noConversion"/>
  </si>
  <si>
    <t>FID_EXFLG=1时有效，可用资金</t>
    <phoneticPr fontId="19" type="noConversion"/>
  </si>
  <si>
    <t>FID_EXFLG=1时有效，港股可用资金</t>
    <phoneticPr fontId="19" type="noConversion"/>
  </si>
  <si>
    <t>2.1.60</t>
    <phoneticPr fontId="19" type="noConversion"/>
  </si>
  <si>
    <t>郭丽萍</t>
    <phoneticPr fontId="19" type="noConversion"/>
  </si>
  <si>
    <t>FID_RQ</t>
    <phoneticPr fontId="19" type="noConversion"/>
  </si>
  <si>
    <t>C8</t>
    <phoneticPr fontId="19" type="noConversion"/>
  </si>
  <si>
    <t>日期</t>
    <phoneticPr fontId="19" type="noConversion"/>
  </si>
  <si>
    <t>修改303001、303002增加FID_KYZJ2港股可用资金输出，104061、104062增加FID_RQ的入参</t>
    <phoneticPr fontId="19" type="noConversion"/>
  </si>
  <si>
    <t>2.1.61</t>
    <phoneticPr fontId="19" type="noConversion"/>
  </si>
  <si>
    <t>增加104011（查询交易日参数）功能码</t>
    <phoneticPr fontId="19" type="noConversion"/>
  </si>
  <si>
    <t>郭丽萍</t>
    <phoneticPr fontId="19" type="noConversion"/>
  </si>
  <si>
    <t>查询交易日参数</t>
    <phoneticPr fontId="19" type="noConversion"/>
  </si>
  <si>
    <t>Y</t>
    <phoneticPr fontId="19" type="noConversion"/>
  </si>
  <si>
    <t>用于根据交易、日期范围查询对应交易日参数信息</t>
    <phoneticPr fontId="19" type="noConversion"/>
  </si>
  <si>
    <t>FID_KSRQ</t>
    <phoneticPr fontId="19" type="noConversion"/>
  </si>
  <si>
    <t>开始日期</t>
    <phoneticPr fontId="19" type="noConversion"/>
  </si>
  <si>
    <t>FID_JSRQ</t>
    <phoneticPr fontId="19" type="noConversion"/>
  </si>
  <si>
    <t>C8</t>
    <phoneticPr fontId="19" type="noConversion"/>
  </si>
  <si>
    <t>Y</t>
    <phoneticPr fontId="19" type="noConversion"/>
  </si>
  <si>
    <t>结束日期</t>
    <phoneticPr fontId="19" type="noConversion"/>
  </si>
  <si>
    <t>FID_RQ</t>
    <phoneticPr fontId="19" type="noConversion"/>
  </si>
  <si>
    <t>FID_JYRBS</t>
    <phoneticPr fontId="19" type="noConversion"/>
  </si>
  <si>
    <t>I</t>
    <phoneticPr fontId="19" type="noConversion"/>
  </si>
  <si>
    <t>日期</t>
    <phoneticPr fontId="19" type="noConversion"/>
  </si>
  <si>
    <t>交易日标识：0=正常交易日，1=非交易非交收日，2=交易非交收日，3=交收非交易日</t>
    <phoneticPr fontId="19" type="noConversion"/>
  </si>
  <si>
    <t xml:space="preserve">购回金额      </t>
    <phoneticPr fontId="19" type="noConversion"/>
  </si>
  <si>
    <t>FID_LX</t>
    <phoneticPr fontId="19" type="noConversion"/>
  </si>
  <si>
    <t>R</t>
    <phoneticPr fontId="19" type="noConversion"/>
  </si>
  <si>
    <t>利息</t>
    <phoneticPr fontId="1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</si>
</sst>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quot;&quot;;General"/>
    <numFmt numFmtId="177" formatCode="000000"/>
    <numFmt numFmtId="178" formatCode="0;[Red]0"/>
  </numFmts>
  <fonts count="20" x14ac:knownFonts="1">
    <font>
      <sz val="11"/>
      <color indexed="8"/>
      <name val="宋体"/>
      <charset val="134"/>
    </font>
    <font>
      <sz val="11"/>
      <color indexed="60"/>
      <name val="宋体"/>
      <family val="2"/>
      <charset val="134"/>
    </font>
    <font>
      <u/>
      <sz val="11"/>
      <color indexed="12"/>
      <name val="宋体"/>
      <family val="3"/>
      <charset val="134"/>
    </font>
    <font>
      <sz val="10.5"/>
      <color indexed="8"/>
      <name val="宋体"/>
      <family val="3"/>
      <charset val="134"/>
    </font>
    <font>
      <sz val="10.5"/>
      <name val="宋体"/>
      <family val="3"/>
      <charset val="134"/>
    </font>
    <font>
      <sz val="11"/>
      <color indexed="60"/>
      <name val="宋体"/>
      <family val="3"/>
      <charset val="134"/>
    </font>
    <font>
      <sz val="11"/>
      <color indexed="8"/>
      <name val="宋体"/>
      <family val="3"/>
      <charset val="134"/>
    </font>
    <font>
      <sz val="10.5"/>
      <color indexed="10"/>
      <name val="宋体"/>
      <family val="3"/>
      <charset val="134"/>
    </font>
    <font>
      <sz val="11"/>
      <color indexed="10"/>
      <name val="宋体"/>
      <family val="3"/>
      <charset val="134"/>
    </font>
    <font>
      <b/>
      <sz val="10.5"/>
      <name val="宋体"/>
      <family val="3"/>
      <charset val="134"/>
    </font>
    <font>
      <b/>
      <sz val="10.5"/>
      <color indexed="10"/>
      <name val="宋体"/>
      <family val="3"/>
      <charset val="134"/>
    </font>
    <font>
      <sz val="10.5"/>
      <color indexed="55"/>
      <name val="宋体"/>
      <family val="3"/>
      <charset val="134"/>
    </font>
    <font>
      <sz val="10.5"/>
      <color indexed="62"/>
      <name val="宋体"/>
      <family val="3"/>
      <charset val="134"/>
    </font>
    <font>
      <sz val="10.5"/>
      <color indexed="22"/>
      <name val="宋体"/>
      <family val="3"/>
      <charset val="134"/>
    </font>
    <font>
      <sz val="10.5"/>
      <color indexed="8"/>
      <name val="宋体"/>
      <family val="7"/>
      <charset val="134"/>
    </font>
    <font>
      <sz val="10.5"/>
      <color indexed="22"/>
      <name val="宋体"/>
      <family val="7"/>
      <charset val="134"/>
    </font>
    <font>
      <sz val="10.5"/>
      <color indexed="12"/>
      <name val="宋体"/>
      <family val="3"/>
      <charset val="134"/>
    </font>
    <font>
      <sz val="20"/>
      <color indexed="8"/>
      <name val="宋体"/>
      <family val="3"/>
      <charset val="134"/>
    </font>
    <font>
      <sz val="10.5"/>
      <name val="Arial"/>
      <family val="3"/>
      <charset val="134"/>
    </font>
    <font>
      <sz val="9"/>
      <name val="宋体"/>
      <charset val="134"/>
    </font>
  </fonts>
  <fills count="10">
    <fill>
      <patternFill patternType="none"/>
    </fill>
    <fill>
      <patternFill patternType="gray125"/>
    </fill>
    <fill>
      <patternFill patternType="solid">
        <fgColor indexed="31"/>
        <bgColor indexed="64"/>
      </patternFill>
    </fill>
    <fill>
      <patternFill patternType="solid">
        <fgColor indexed="13"/>
        <bgColor indexed="64"/>
      </patternFill>
    </fill>
    <fill>
      <patternFill patternType="solid">
        <fgColor indexed="43"/>
        <bgColor indexed="64"/>
      </patternFill>
    </fill>
    <fill>
      <patternFill patternType="solid">
        <fgColor indexed="27"/>
        <bgColor indexed="64"/>
      </patternFill>
    </fill>
    <fill>
      <patternFill patternType="solid">
        <fgColor indexed="9"/>
        <bgColor indexed="64"/>
      </patternFill>
    </fill>
    <fill>
      <patternFill patternType="solid">
        <fgColor indexed="26"/>
        <bgColor indexed="64"/>
      </patternFill>
    </fill>
    <fill>
      <patternFill patternType="solid">
        <fgColor indexed="65"/>
        <bgColor indexed="64"/>
      </patternFill>
    </fill>
    <fill>
      <patternFill patternType="solid">
        <fgColor theme="0"/>
        <bgColor indexed="64"/>
      </patternFill>
    </fill>
  </fills>
  <borders count="62">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s>
  <cellStyleXfs count="3">
    <xf numFmtId="0" fontId="0" fillId="0" borderId="0">
      <alignment vertical="center"/>
    </xf>
    <xf numFmtId="0" fontId="1" fillId="4" borderId="0" applyNumberFormat="0" applyBorder="0" applyAlignment="0" applyProtection="0">
      <alignment vertical="center"/>
    </xf>
    <xf numFmtId="0" fontId="2" fillId="0" borderId="0" applyNumberFormat="0" applyFill="0" applyBorder="0" applyAlignment="0" applyProtection="0">
      <alignment vertical="top"/>
      <protection locked="0"/>
    </xf>
  </cellStyleXfs>
  <cellXfs count="338">
    <xf numFmtId="0" fontId="0" fillId="0" borderId="0" xfId="0">
      <alignment vertical="center"/>
    </xf>
    <xf numFmtId="0" fontId="0" fillId="2" borderId="0" xfId="0" applyFill="1">
      <alignment vertical="center"/>
    </xf>
    <xf numFmtId="0" fontId="3" fillId="2" borderId="0" xfId="0" applyFont="1" applyFill="1" applyProtection="1">
      <alignment vertical="center"/>
      <protection locked="0"/>
    </xf>
    <xf numFmtId="0" fontId="4" fillId="3" borderId="1" xfId="0"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4" fillId="0" borderId="3" xfId="0" applyFont="1" applyFill="1" applyBorder="1" applyAlignment="1" applyProtection="1">
      <alignment horizontal="center" vertical="center" wrapText="1"/>
    </xf>
    <xf numFmtId="0" fontId="4" fillId="0" borderId="4" xfId="0" applyFont="1" applyFill="1" applyBorder="1" applyAlignment="1" applyProtection="1">
      <alignment horizontal="left" vertical="center" wrapText="1" indent="1"/>
    </xf>
    <xf numFmtId="0" fontId="3" fillId="0" borderId="3" xfId="0" applyFont="1" applyFill="1" applyBorder="1" applyAlignment="1" applyProtection="1">
      <alignment horizontal="center" vertical="center" wrapText="1"/>
    </xf>
    <xf numFmtId="0" fontId="3" fillId="0" borderId="4" xfId="0" applyFont="1" applyFill="1" applyBorder="1" applyAlignment="1" applyProtection="1">
      <alignment horizontal="left" vertical="center" wrapText="1" indent="1"/>
    </xf>
    <xf numFmtId="0" fontId="4" fillId="0" borderId="5" xfId="0" applyFont="1" applyFill="1" applyBorder="1" applyAlignment="1" applyProtection="1">
      <alignment horizontal="center" vertical="center" wrapText="1"/>
    </xf>
    <xf numFmtId="0" fontId="4" fillId="0" borderId="6" xfId="0" applyFont="1" applyFill="1" applyBorder="1" applyAlignment="1" applyProtection="1">
      <alignment horizontal="center" vertical="center" wrapText="1"/>
    </xf>
    <xf numFmtId="0" fontId="4" fillId="3" borderId="7" xfId="0" applyFont="1" applyFill="1" applyBorder="1" applyAlignment="1" applyProtection="1">
      <alignment horizontal="center" vertical="center" wrapText="1"/>
    </xf>
    <xf numFmtId="49" fontId="4" fillId="3" borderId="7" xfId="0" applyNumberFormat="1" applyFont="1" applyFill="1" applyBorder="1" applyAlignment="1" applyProtection="1">
      <alignment horizontal="center" vertical="center" wrapText="1"/>
    </xf>
    <xf numFmtId="49" fontId="4" fillId="3" borderId="2" xfId="0" applyNumberFormat="1" applyFont="1" applyFill="1" applyBorder="1" applyAlignment="1" applyProtection="1">
      <alignment horizontal="center" vertical="center" wrapText="1"/>
    </xf>
    <xf numFmtId="49" fontId="4" fillId="0" borderId="10" xfId="0" applyNumberFormat="1" applyFont="1" applyFill="1" applyBorder="1" applyAlignment="1" applyProtection="1">
      <alignment horizontal="center" vertical="top" wrapText="1"/>
    </xf>
    <xf numFmtId="14" fontId="4" fillId="0" borderId="11" xfId="0" applyNumberFormat="1" applyFont="1" applyFill="1" applyBorder="1" applyAlignment="1" applyProtection="1">
      <alignment horizontal="left" vertical="top" wrapText="1"/>
    </xf>
    <xf numFmtId="49" fontId="5" fillId="4" borderId="13" xfId="1" applyNumberFormat="1" applyFont="1" applyBorder="1" applyAlignment="1" applyProtection="1">
      <alignment horizontal="center" vertical="top" wrapText="1"/>
    </xf>
    <xf numFmtId="14" fontId="5" fillId="4" borderId="14" xfId="1" applyNumberFormat="1" applyFont="1" applyBorder="1" applyAlignment="1" applyProtection="1">
      <alignment horizontal="left" vertical="top" wrapText="1"/>
    </xf>
    <xf numFmtId="49" fontId="4" fillId="5" borderId="13" xfId="0" applyNumberFormat="1" applyFont="1" applyFill="1" applyBorder="1" applyAlignment="1" applyProtection="1">
      <alignment horizontal="center" vertical="top" wrapText="1"/>
    </xf>
    <xf numFmtId="14" fontId="4" fillId="5" borderId="14" xfId="0" applyNumberFormat="1" applyFont="1" applyFill="1" applyBorder="1" applyAlignment="1" applyProtection="1">
      <alignment horizontal="left" vertical="top" wrapText="1"/>
    </xf>
    <xf numFmtId="49" fontId="4" fillId="5" borderId="15" xfId="0" applyNumberFormat="1" applyFont="1" applyFill="1" applyBorder="1" applyAlignment="1" applyProtection="1">
      <alignment horizontal="center" vertical="top" wrapText="1"/>
    </xf>
    <xf numFmtId="14" fontId="4" fillId="5" borderId="16" xfId="0" applyNumberFormat="1" applyFont="1" applyFill="1" applyBorder="1" applyAlignment="1" applyProtection="1">
      <alignment horizontal="left" vertical="top" wrapText="1"/>
    </xf>
    <xf numFmtId="49" fontId="4" fillId="5" borderId="10" xfId="0" applyNumberFormat="1" applyFont="1" applyFill="1" applyBorder="1" applyAlignment="1" applyProtection="1">
      <alignment horizontal="center" vertical="top" wrapText="1"/>
    </xf>
    <xf numFmtId="14" fontId="4" fillId="5" borderId="11" xfId="0" applyNumberFormat="1" applyFont="1" applyFill="1" applyBorder="1" applyAlignment="1" applyProtection="1">
      <alignment horizontal="left" vertical="top" wrapText="1"/>
    </xf>
    <xf numFmtId="49" fontId="4" fillId="5" borderId="18" xfId="0" applyNumberFormat="1" applyFont="1" applyFill="1" applyBorder="1" applyAlignment="1" applyProtection="1">
      <alignment horizontal="center" vertical="top" wrapText="1"/>
    </xf>
    <xf numFmtId="14" fontId="4" fillId="5" borderId="22" xfId="0" applyNumberFormat="1" applyFont="1" applyFill="1" applyBorder="1" applyAlignment="1" applyProtection="1">
      <alignment horizontal="left" vertical="top" wrapText="1"/>
    </xf>
    <xf numFmtId="49" fontId="4" fillId="0" borderId="13" xfId="0" applyNumberFormat="1" applyFont="1" applyFill="1" applyBorder="1" applyAlignment="1" applyProtection="1">
      <alignment horizontal="center" vertical="top" wrapText="1"/>
    </xf>
    <xf numFmtId="14" fontId="4" fillId="0" borderId="14" xfId="0" applyNumberFormat="1" applyFont="1" applyFill="1" applyBorder="1" applyAlignment="1" applyProtection="1">
      <alignment horizontal="left" vertical="top" wrapText="1"/>
    </xf>
    <xf numFmtId="49" fontId="4" fillId="0" borderId="23" xfId="0" applyNumberFormat="1" applyFont="1" applyFill="1" applyBorder="1" applyAlignment="1" applyProtection="1">
      <alignment horizontal="center" vertical="top" wrapText="1"/>
    </xf>
    <xf numFmtId="14" fontId="4" fillId="0" borderId="24" xfId="0" applyNumberFormat="1" applyFont="1" applyFill="1" applyBorder="1" applyAlignment="1" applyProtection="1">
      <alignment horizontal="left" vertical="top" wrapText="1"/>
    </xf>
    <xf numFmtId="49" fontId="4" fillId="0" borderId="25" xfId="0" applyNumberFormat="1" applyFont="1" applyFill="1" applyBorder="1" applyAlignment="1" applyProtection="1">
      <alignment horizontal="center" vertical="top" wrapText="1"/>
    </xf>
    <xf numFmtId="14" fontId="4" fillId="0" borderId="26" xfId="0" applyNumberFormat="1" applyFont="1" applyFill="1" applyBorder="1" applyAlignment="1" applyProtection="1">
      <alignment horizontal="left" vertical="top" wrapText="1"/>
    </xf>
    <xf numFmtId="14" fontId="4" fillId="0" borderId="16" xfId="0" applyNumberFormat="1" applyFont="1" applyFill="1" applyBorder="1" applyAlignment="1" applyProtection="1">
      <alignment horizontal="left" vertical="top" wrapText="1"/>
    </xf>
    <xf numFmtId="49" fontId="4" fillId="0" borderId="15" xfId="0" applyNumberFormat="1" applyFont="1" applyFill="1" applyBorder="1" applyAlignment="1" applyProtection="1">
      <alignment horizontal="center" vertical="top" wrapText="1"/>
    </xf>
    <xf numFmtId="49" fontId="4" fillId="0" borderId="9" xfId="0" applyNumberFormat="1" applyFont="1" applyFill="1" applyBorder="1" applyAlignment="1" applyProtection="1">
      <alignment horizontal="center" vertical="top" wrapText="1"/>
    </xf>
    <xf numFmtId="14" fontId="4" fillId="0" borderId="28" xfId="0" applyNumberFormat="1" applyFont="1" applyFill="1" applyBorder="1" applyAlignment="1" applyProtection="1">
      <alignment horizontal="left" vertical="top" wrapText="1"/>
    </xf>
    <xf numFmtId="0" fontId="6" fillId="2" borderId="29" xfId="0" applyFont="1" applyFill="1" applyBorder="1" applyAlignment="1">
      <alignment horizontal="center" vertical="center"/>
    </xf>
    <xf numFmtId="14" fontId="4" fillId="0" borderId="30" xfId="0" applyNumberFormat="1" applyFont="1" applyFill="1" applyBorder="1" applyAlignment="1" applyProtection="1">
      <alignment horizontal="left" vertical="top" wrapText="1"/>
    </xf>
    <xf numFmtId="49" fontId="4" fillId="0" borderId="31" xfId="0" applyNumberFormat="1" applyFont="1" applyFill="1" applyBorder="1" applyAlignment="1" applyProtection="1">
      <alignment horizontal="center" vertical="top" wrapText="1"/>
    </xf>
    <xf numFmtId="49" fontId="4" fillId="0" borderId="31" xfId="0" applyNumberFormat="1" applyFont="1" applyFill="1" applyBorder="1" applyAlignment="1" applyProtection="1">
      <alignment horizontal="left" vertical="top" wrapText="1"/>
    </xf>
    <xf numFmtId="0" fontId="7" fillId="0" borderId="4" xfId="0" applyFont="1" applyFill="1" applyBorder="1" applyAlignment="1" applyProtection="1">
      <alignment horizontal="left" vertical="center" wrapText="1" indent="1"/>
    </xf>
    <xf numFmtId="0" fontId="7" fillId="0" borderId="3" xfId="0" applyFont="1" applyFill="1" applyBorder="1" applyAlignment="1" applyProtection="1">
      <alignment horizontal="center" vertical="center" wrapText="1"/>
    </xf>
    <xf numFmtId="0" fontId="4" fillId="0" borderId="32" xfId="0" applyFont="1" applyFill="1" applyBorder="1" applyAlignment="1" applyProtection="1">
      <alignment horizontal="left" vertical="center" wrapText="1"/>
    </xf>
    <xf numFmtId="0" fontId="4" fillId="3" borderId="1" xfId="0" applyFont="1" applyFill="1" applyBorder="1" applyAlignment="1" applyProtection="1">
      <alignment horizontal="center" vertical="center"/>
    </xf>
    <xf numFmtId="0" fontId="4" fillId="3" borderId="33" xfId="0" applyFont="1" applyFill="1" applyBorder="1" applyAlignment="1" applyProtection="1">
      <alignment horizontal="center" vertical="center"/>
    </xf>
    <xf numFmtId="0" fontId="4" fillId="3" borderId="2" xfId="0" applyFont="1" applyFill="1" applyBorder="1" applyAlignment="1" applyProtection="1">
      <alignment horizontal="center" vertical="center"/>
    </xf>
    <xf numFmtId="0" fontId="4" fillId="0" borderId="17" xfId="0" applyFont="1" applyFill="1" applyBorder="1" applyAlignment="1" applyProtection="1">
      <alignment horizontal="left" vertical="center" wrapText="1" indent="1"/>
    </xf>
    <xf numFmtId="0" fontId="4" fillId="0" borderId="34" xfId="0" applyFont="1" applyFill="1" applyBorder="1" applyAlignment="1" applyProtection="1">
      <alignment horizontal="center" vertical="top" wrapText="1"/>
    </xf>
    <xf numFmtId="0" fontId="4" fillId="0" borderId="22" xfId="0" applyFont="1" applyFill="1" applyBorder="1" applyAlignment="1" applyProtection="1">
      <alignment horizontal="center" vertical="top" wrapText="1"/>
    </xf>
    <xf numFmtId="0" fontId="4" fillId="0" borderId="3" xfId="0" applyFont="1" applyFill="1" applyBorder="1" applyAlignment="1" applyProtection="1">
      <alignment horizontal="left" vertical="center" wrapText="1" indent="1"/>
    </xf>
    <xf numFmtId="0" fontId="4" fillId="0" borderId="35" xfId="0" applyFont="1" applyFill="1" applyBorder="1" applyAlignment="1" applyProtection="1">
      <alignment horizontal="center" vertical="top" wrapText="1"/>
    </xf>
    <xf numFmtId="0" fontId="4" fillId="0" borderId="4" xfId="0" applyFont="1" applyFill="1" applyBorder="1" applyAlignment="1" applyProtection="1">
      <alignment horizontal="center" vertical="top" wrapText="1"/>
    </xf>
    <xf numFmtId="0" fontId="4" fillId="0" borderId="5" xfId="0" applyFont="1" applyFill="1" applyBorder="1" applyAlignment="1" applyProtection="1">
      <alignment horizontal="left" vertical="center" wrapText="1" indent="1"/>
    </xf>
    <xf numFmtId="0" fontId="4" fillId="0" borderId="36" xfId="0" applyFont="1" applyFill="1" applyBorder="1" applyAlignment="1" applyProtection="1">
      <alignment horizontal="center" vertical="top" wrapText="1"/>
    </xf>
    <xf numFmtId="0" fontId="4" fillId="0" borderId="32" xfId="0" applyFont="1" applyFill="1" applyBorder="1" applyAlignment="1" applyProtection="1">
      <alignment horizontal="center" vertical="top" wrapText="1"/>
    </xf>
    <xf numFmtId="0" fontId="8" fillId="2" borderId="0" xfId="0" applyFont="1" applyFill="1">
      <alignment vertical="center"/>
    </xf>
    <xf numFmtId="0" fontId="0" fillId="0" borderId="0" xfId="0" applyNumberFormat="1">
      <alignment vertical="center"/>
    </xf>
    <xf numFmtId="0" fontId="4" fillId="4" borderId="1" xfId="0" applyFont="1" applyFill="1" applyBorder="1" applyAlignment="1">
      <alignment horizontal="center" vertical="center"/>
    </xf>
    <xf numFmtId="0" fontId="4" fillId="4" borderId="7" xfId="0" applyFont="1" applyFill="1" applyBorder="1" applyAlignment="1">
      <alignment horizontal="center" vertical="center"/>
    </xf>
    <xf numFmtId="176" fontId="10" fillId="6" borderId="2" xfId="0" applyNumberFormat="1" applyFont="1" applyFill="1" applyBorder="1" applyAlignment="1">
      <alignment horizontal="center" vertical="center"/>
    </xf>
    <xf numFmtId="0" fontId="4" fillId="4" borderId="3" xfId="0" applyFont="1" applyFill="1" applyBorder="1" applyAlignment="1">
      <alignment horizontal="center" vertical="center"/>
    </xf>
    <xf numFmtId="0" fontId="4" fillId="4" borderId="27" xfId="0" applyFont="1" applyFill="1" applyBorder="1" applyAlignment="1">
      <alignment horizontal="center" vertical="center"/>
    </xf>
    <xf numFmtId="176" fontId="10" fillId="6" borderId="4" xfId="0" applyNumberFormat="1" applyFont="1" applyFill="1" applyBorder="1" applyAlignment="1">
      <alignment horizontal="center" vertical="center"/>
    </xf>
    <xf numFmtId="0" fontId="4" fillId="4" borderId="5" xfId="0" applyFont="1" applyFill="1" applyBorder="1" applyAlignment="1">
      <alignment horizontal="center" vertical="center"/>
    </xf>
    <xf numFmtId="0" fontId="4" fillId="4" borderId="2" xfId="0" applyFont="1" applyFill="1" applyBorder="1" applyAlignment="1">
      <alignment horizontal="center" vertical="center"/>
    </xf>
    <xf numFmtId="0" fontId="4" fillId="7" borderId="27" xfId="0" applyFont="1" applyFill="1" applyBorder="1" applyAlignment="1">
      <alignment horizontal="left" vertical="center" indent="1"/>
    </xf>
    <xf numFmtId="0" fontId="13" fillId="7" borderId="27" xfId="0" applyFont="1" applyFill="1" applyBorder="1" applyAlignment="1">
      <alignment horizontal="center" vertical="center"/>
    </xf>
    <xf numFmtId="0" fontId="4" fillId="7" borderId="27" xfId="0" applyFont="1" applyFill="1" applyBorder="1" applyAlignment="1">
      <alignment horizontal="center" vertical="center"/>
    </xf>
    <xf numFmtId="0" fontId="4" fillId="7" borderId="4" xfId="0" applyFont="1" applyFill="1" applyBorder="1" applyAlignment="1">
      <alignment horizontal="left" vertical="center"/>
    </xf>
    <xf numFmtId="0" fontId="4" fillId="6" borderId="27" xfId="0" applyFont="1" applyFill="1" applyBorder="1" applyAlignment="1">
      <alignment horizontal="left" vertical="center" indent="1"/>
    </xf>
    <xf numFmtId="0" fontId="13" fillId="0" borderId="27" xfId="0" applyFont="1" applyFill="1" applyBorder="1" applyAlignment="1">
      <alignment horizontal="center" vertical="center"/>
    </xf>
    <xf numFmtId="0" fontId="4" fillId="0" borderId="27" xfId="0" applyFont="1" applyFill="1" applyBorder="1" applyAlignment="1">
      <alignment horizontal="center" vertical="center"/>
    </xf>
    <xf numFmtId="0" fontId="3" fillId="0" borderId="4" xfId="0" applyFont="1" applyBorder="1">
      <alignment vertical="center"/>
    </xf>
    <xf numFmtId="0" fontId="4" fillId="0" borderId="4" xfId="0" applyFont="1" applyFill="1" applyBorder="1" applyAlignment="1">
      <alignment horizontal="left" vertical="center"/>
    </xf>
    <xf numFmtId="0" fontId="4" fillId="0" borderId="4" xfId="0" applyFont="1" applyFill="1" applyBorder="1" applyAlignment="1">
      <alignment horizontal="left" vertical="center" wrapText="1"/>
    </xf>
    <xf numFmtId="0" fontId="4" fillId="6" borderId="36" xfId="0" applyFont="1" applyFill="1" applyBorder="1" applyAlignment="1">
      <alignment horizontal="left" vertical="center" indent="1"/>
    </xf>
    <xf numFmtId="0" fontId="11" fillId="6"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2" xfId="0" applyFont="1" applyFill="1" applyBorder="1" applyAlignment="1">
      <alignment horizontal="left" vertical="center"/>
    </xf>
    <xf numFmtId="0" fontId="4" fillId="4" borderId="38" xfId="0" applyFont="1" applyFill="1" applyBorder="1" applyAlignment="1">
      <alignment horizontal="center" vertical="center"/>
    </xf>
    <xf numFmtId="0" fontId="4" fillId="7" borderId="39" xfId="0" applyFont="1" applyFill="1" applyBorder="1" applyAlignment="1">
      <alignment horizontal="left" vertical="center"/>
    </xf>
    <xf numFmtId="0" fontId="4" fillId="0" borderId="39" xfId="0" applyFont="1" applyFill="1" applyBorder="1" applyAlignment="1">
      <alignment horizontal="left" vertical="center"/>
    </xf>
    <xf numFmtId="0" fontId="4" fillId="0" borderId="41" xfId="0" applyFont="1" applyFill="1" applyBorder="1" applyAlignment="1">
      <alignment horizontal="left" vertical="center"/>
    </xf>
    <xf numFmtId="0" fontId="13" fillId="0" borderId="36" xfId="0" applyFont="1" applyFill="1" applyBorder="1" applyAlignment="1">
      <alignment horizontal="center" vertical="center"/>
    </xf>
    <xf numFmtId="0" fontId="9" fillId="6" borderId="42" xfId="0" applyFont="1" applyFill="1" applyBorder="1" applyAlignment="1">
      <alignment horizontal="left" vertical="center"/>
    </xf>
    <xf numFmtId="0" fontId="9" fillId="6" borderId="43" xfId="0" applyFont="1" applyFill="1" applyBorder="1" applyAlignment="1">
      <alignment horizontal="left" vertical="center"/>
    </xf>
    <xf numFmtId="0" fontId="9" fillId="6" borderId="33" xfId="0" applyFont="1" applyFill="1" applyBorder="1" applyAlignment="1">
      <alignment horizontal="left" vertical="center"/>
    </xf>
    <xf numFmtId="0" fontId="11" fillId="6" borderId="44" xfId="0" applyFont="1" applyFill="1" applyBorder="1" applyAlignment="1">
      <alignment horizontal="left" vertical="center"/>
    </xf>
    <xf numFmtId="0" fontId="11" fillId="6" borderId="45" xfId="0" applyFont="1" applyFill="1" applyBorder="1" applyAlignment="1">
      <alignment horizontal="left" vertical="center"/>
    </xf>
    <xf numFmtId="0" fontId="11" fillId="6" borderId="35" xfId="0" applyFont="1" applyFill="1" applyBorder="1" applyAlignment="1">
      <alignment horizontal="left" vertical="center"/>
    </xf>
    <xf numFmtId="0" fontId="4" fillId="7" borderId="4" xfId="0" applyFont="1" applyFill="1" applyBorder="1" applyAlignment="1">
      <alignment horizontal="left" vertical="center" wrapText="1"/>
    </xf>
    <xf numFmtId="0" fontId="4" fillId="6" borderId="9" xfId="0" applyFont="1" applyFill="1" applyBorder="1" applyAlignment="1">
      <alignment horizontal="left" vertical="center" indent="1"/>
    </xf>
    <xf numFmtId="0" fontId="4" fillId="0" borderId="9" xfId="0" applyFont="1" applyFill="1" applyBorder="1" applyAlignment="1">
      <alignment horizontal="center" vertical="center"/>
    </xf>
    <xf numFmtId="0" fontId="13" fillId="0" borderId="9" xfId="0" applyFont="1" applyFill="1" applyBorder="1" applyAlignment="1">
      <alignment horizontal="center" vertical="center"/>
    </xf>
    <xf numFmtId="0" fontId="4" fillId="0" borderId="28" xfId="0" applyFont="1" applyFill="1" applyBorder="1" applyAlignment="1">
      <alignment horizontal="left" vertical="center"/>
    </xf>
    <xf numFmtId="0" fontId="13" fillId="6" borderId="27" xfId="0" applyFont="1" applyFill="1" applyBorder="1" applyAlignment="1">
      <alignment horizontal="center" vertical="center"/>
    </xf>
    <xf numFmtId="0" fontId="4" fillId="6" borderId="27" xfId="0" applyFont="1" applyFill="1" applyBorder="1" applyAlignment="1">
      <alignment horizontal="center" vertical="center"/>
    </xf>
    <xf numFmtId="0" fontId="4" fillId="6" borderId="4" xfId="0" applyFont="1" applyFill="1" applyBorder="1" applyAlignment="1">
      <alignment horizontal="left" vertical="center"/>
    </xf>
    <xf numFmtId="0" fontId="4" fillId="6" borderId="4" xfId="0" applyFont="1" applyFill="1" applyBorder="1" applyAlignment="1">
      <alignment horizontal="left" vertical="center" wrapText="1"/>
    </xf>
    <xf numFmtId="0" fontId="12" fillId="6" borderId="19" xfId="0" applyFont="1" applyFill="1" applyBorder="1" applyAlignment="1">
      <alignment horizontal="left" vertical="center" wrapText="1"/>
    </xf>
    <xf numFmtId="0" fontId="12" fillId="6" borderId="46" xfId="0" applyFont="1" applyFill="1" applyBorder="1" applyAlignment="1">
      <alignment horizontal="left" vertical="center" wrapText="1"/>
    </xf>
    <xf numFmtId="0" fontId="12" fillId="6" borderId="47" xfId="0" applyFont="1" applyFill="1" applyBorder="1" applyAlignment="1">
      <alignment horizontal="left" vertical="center" wrapText="1"/>
    </xf>
    <xf numFmtId="0" fontId="12" fillId="6" borderId="48" xfId="0" applyFont="1" applyFill="1" applyBorder="1" applyAlignment="1">
      <alignment horizontal="left" vertical="center" wrapText="1"/>
    </xf>
    <xf numFmtId="0" fontId="12" fillId="6" borderId="49" xfId="0" applyFont="1" applyFill="1" applyBorder="1" applyAlignment="1">
      <alignment horizontal="left" vertical="center" wrapText="1"/>
    </xf>
    <xf numFmtId="0" fontId="12" fillId="6" borderId="50" xfId="0" applyFont="1" applyFill="1" applyBorder="1" applyAlignment="1">
      <alignment horizontal="left" vertical="center" wrapText="1"/>
    </xf>
    <xf numFmtId="0" fontId="4" fillId="7" borderId="9" xfId="0" applyFont="1" applyFill="1" applyBorder="1" applyAlignment="1">
      <alignment horizontal="center" vertical="center"/>
    </xf>
    <xf numFmtId="0" fontId="4" fillId="7" borderId="18" xfId="0" applyFont="1" applyFill="1" applyBorder="1" applyAlignment="1">
      <alignment horizontal="center" vertical="center"/>
    </xf>
    <xf numFmtId="0" fontId="4" fillId="6" borderId="0" xfId="0" applyFont="1" applyFill="1" applyBorder="1" applyAlignment="1">
      <alignment horizontal="left" vertical="center" indent="1"/>
    </xf>
    <xf numFmtId="0" fontId="13"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horizontal="left" vertical="center"/>
    </xf>
    <xf numFmtId="0" fontId="12" fillId="6" borderId="20" xfId="0" applyFont="1" applyFill="1" applyBorder="1" applyAlignment="1">
      <alignment horizontal="left" vertical="center" wrapText="1"/>
    </xf>
    <xf numFmtId="0" fontId="12" fillId="6" borderId="0" xfId="0" applyFont="1" applyFill="1" applyBorder="1" applyAlignment="1">
      <alignment horizontal="left" vertical="center" wrapText="1"/>
    </xf>
    <xf numFmtId="0" fontId="12" fillId="6" borderId="53" xfId="0" applyFont="1" applyFill="1" applyBorder="1" applyAlignment="1">
      <alignment horizontal="left" vertical="center" wrapText="1"/>
    </xf>
    <xf numFmtId="0" fontId="6" fillId="2" borderId="0" xfId="0" applyFont="1" applyFill="1">
      <alignment vertical="center"/>
    </xf>
    <xf numFmtId="0" fontId="7" fillId="0" borderId="4" xfId="0" applyFont="1" applyFill="1" applyBorder="1" applyAlignment="1">
      <alignment horizontal="left" vertical="center"/>
    </xf>
    <xf numFmtId="0" fontId="7" fillId="6" borderId="27" xfId="0" applyFont="1" applyFill="1" applyBorder="1" applyAlignment="1">
      <alignment horizontal="left" vertical="center" indent="1"/>
    </xf>
    <xf numFmtId="0" fontId="7" fillId="0" borderId="27" xfId="0" applyFont="1" applyFill="1" applyBorder="1" applyAlignment="1">
      <alignment horizontal="center" vertical="center"/>
    </xf>
    <xf numFmtId="0" fontId="7" fillId="0" borderId="4" xfId="0" applyFont="1" applyBorder="1">
      <alignment vertical="center"/>
    </xf>
    <xf numFmtId="0" fontId="7" fillId="7" borderId="4" xfId="0" applyFont="1" applyFill="1" applyBorder="1" applyAlignment="1">
      <alignment horizontal="left" vertical="center"/>
    </xf>
    <xf numFmtId="0" fontId="7" fillId="7" borderId="9" xfId="0" applyFont="1" applyFill="1" applyBorder="1" applyAlignment="1">
      <alignment horizontal="center" vertical="center" wrapText="1"/>
    </xf>
    <xf numFmtId="0" fontId="7" fillId="7" borderId="10" xfId="0" applyFont="1" applyFill="1" applyBorder="1" applyAlignment="1">
      <alignment horizontal="center" vertical="center" wrapText="1"/>
    </xf>
    <xf numFmtId="0" fontId="7" fillId="7" borderId="18" xfId="0" applyFont="1" applyFill="1" applyBorder="1" applyAlignment="1">
      <alignment horizontal="center" vertical="center" wrapText="1"/>
    </xf>
    <xf numFmtId="0" fontId="7" fillId="7" borderId="27" xfId="0" applyFont="1" applyFill="1" applyBorder="1" applyAlignment="1">
      <alignment horizontal="center" vertical="center"/>
    </xf>
    <xf numFmtId="0" fontId="7" fillId="7" borderId="27" xfId="0" applyFont="1" applyFill="1" applyBorder="1" applyAlignment="1">
      <alignment horizontal="left" vertical="center" indent="1"/>
    </xf>
    <xf numFmtId="0" fontId="4" fillId="8" borderId="27" xfId="0" applyFont="1" applyFill="1" applyBorder="1" applyAlignment="1">
      <alignment horizontal="left" vertical="center" indent="1"/>
    </xf>
    <xf numFmtId="0" fontId="13" fillId="8" borderId="27" xfId="0" applyFont="1" applyFill="1" applyBorder="1" applyAlignment="1">
      <alignment horizontal="center" vertical="center"/>
    </xf>
    <xf numFmtId="0" fontId="4" fillId="8" borderId="27" xfId="0" applyFont="1" applyFill="1" applyBorder="1" applyAlignment="1">
      <alignment horizontal="center" vertical="center"/>
    </xf>
    <xf numFmtId="0" fontId="4" fillId="8" borderId="4" xfId="0" applyFont="1" applyFill="1" applyBorder="1" applyAlignment="1">
      <alignment horizontal="left" vertical="center"/>
    </xf>
    <xf numFmtId="0" fontId="4" fillId="4" borderId="18" xfId="0" applyFont="1" applyFill="1" applyBorder="1" applyAlignment="1">
      <alignment horizontal="center" vertical="center"/>
    </xf>
    <xf numFmtId="0" fontId="4" fillId="4" borderId="22" xfId="0" applyFont="1" applyFill="1" applyBorder="1" applyAlignment="1">
      <alignment horizontal="left" vertical="center"/>
    </xf>
    <xf numFmtId="0" fontId="14" fillId="6" borderId="9" xfId="0" applyNumberFormat="1" applyFont="1" applyFill="1" applyBorder="1" applyAlignment="1">
      <alignment horizontal="left" vertical="center" indent="1"/>
    </xf>
    <xf numFmtId="0" fontId="15" fillId="0" borderId="9" xfId="0" applyNumberFormat="1" applyFont="1" applyFill="1" applyBorder="1" applyAlignment="1">
      <alignment horizontal="center" vertical="center"/>
    </xf>
    <xf numFmtId="0" fontId="14" fillId="0" borderId="9" xfId="0" applyNumberFormat="1" applyFont="1" applyFill="1" applyBorder="1" applyAlignment="1">
      <alignment horizontal="center" vertical="center"/>
    </xf>
    <xf numFmtId="0" fontId="14" fillId="0" borderId="28" xfId="0" applyNumberFormat="1" applyFont="1" applyFill="1" applyBorder="1" applyAlignment="1">
      <alignment horizontal="left" vertical="center"/>
    </xf>
    <xf numFmtId="0" fontId="14" fillId="0" borderId="27" xfId="0" applyNumberFormat="1" applyFont="1" applyFill="1" applyBorder="1" applyAlignment="1">
      <alignment horizontal="center" vertical="center"/>
    </xf>
    <xf numFmtId="0" fontId="7" fillId="6" borderId="19" xfId="0" applyFont="1" applyFill="1" applyBorder="1" applyAlignment="1">
      <alignment horizontal="left" vertical="center" wrapText="1"/>
    </xf>
    <xf numFmtId="0" fontId="7" fillId="6" borderId="46" xfId="0" applyFont="1" applyFill="1" applyBorder="1" applyAlignment="1">
      <alignment horizontal="left" vertical="center" wrapText="1"/>
    </xf>
    <xf numFmtId="0" fontId="7" fillId="6" borderId="47" xfId="0" applyFont="1" applyFill="1" applyBorder="1" applyAlignment="1">
      <alignment horizontal="left" vertical="center" wrapText="1"/>
    </xf>
    <xf numFmtId="0" fontId="7" fillId="6" borderId="48" xfId="0" applyFont="1" applyFill="1" applyBorder="1" applyAlignment="1">
      <alignment horizontal="left" vertical="center" wrapText="1"/>
    </xf>
    <xf numFmtId="0" fontId="7" fillId="6" borderId="49" xfId="0" applyFont="1" applyFill="1" applyBorder="1" applyAlignment="1">
      <alignment horizontal="left" vertical="center" wrapText="1"/>
    </xf>
    <xf numFmtId="0" fontId="7" fillId="6" borderId="50" xfId="0" applyFont="1" applyFill="1" applyBorder="1" applyAlignment="1">
      <alignment horizontal="left" vertical="center" wrapText="1"/>
    </xf>
    <xf numFmtId="0" fontId="4" fillId="0" borderId="27" xfId="0" applyFont="1" applyFill="1" applyBorder="1" applyAlignment="1">
      <alignment horizontal="left" vertical="center" indent="1"/>
    </xf>
    <xf numFmtId="0" fontId="4" fillId="0" borderId="9" xfId="0" applyFont="1" applyFill="1" applyBorder="1" applyAlignment="1">
      <alignment horizontal="left" vertical="center" indent="1"/>
    </xf>
    <xf numFmtId="0" fontId="4" fillId="0" borderId="36" xfId="0" applyFont="1" applyFill="1" applyBorder="1" applyAlignment="1">
      <alignment horizontal="left" vertical="center" indent="1"/>
    </xf>
    <xf numFmtId="176" fontId="10" fillId="6" borderId="54" xfId="0" applyNumberFormat="1" applyFont="1" applyFill="1" applyBorder="1" applyAlignment="1">
      <alignment horizontal="center" vertical="center"/>
    </xf>
    <xf numFmtId="0" fontId="4" fillId="4" borderId="35" xfId="0" applyFont="1" applyFill="1" applyBorder="1" applyAlignment="1">
      <alignment horizontal="center" vertical="center"/>
    </xf>
    <xf numFmtId="0" fontId="4" fillId="6" borderId="32" xfId="0" applyFont="1" applyFill="1" applyBorder="1" applyAlignment="1">
      <alignment horizontal="left" vertical="center" indent="1"/>
    </xf>
    <xf numFmtId="0" fontId="13" fillId="0" borderId="31" xfId="0" applyFont="1" applyFill="1" applyBorder="1" applyAlignment="1">
      <alignment horizontal="center" vertical="center"/>
    </xf>
    <xf numFmtId="0" fontId="4" fillId="0" borderId="18" xfId="0" applyFont="1" applyFill="1" applyBorder="1" applyAlignment="1">
      <alignment horizontal="center" vertical="center"/>
    </xf>
    <xf numFmtId="0" fontId="4" fillId="6" borderId="10" xfId="0" applyFont="1" applyFill="1" applyBorder="1" applyAlignment="1">
      <alignment horizontal="left" vertical="center" indent="1"/>
    </xf>
    <xf numFmtId="0" fontId="4" fillId="0" borderId="28" xfId="0" applyFont="1" applyFill="1" applyBorder="1" applyAlignment="1">
      <alignment horizontal="left" vertical="center" wrapText="1"/>
    </xf>
    <xf numFmtId="0" fontId="4" fillId="6" borderId="18" xfId="0" applyFont="1" applyFill="1" applyBorder="1" applyAlignment="1">
      <alignment horizontal="left" vertical="center" indent="1"/>
    </xf>
    <xf numFmtId="0" fontId="3" fillId="0" borderId="22" xfId="0" applyFont="1" applyBorder="1">
      <alignment vertical="center"/>
    </xf>
    <xf numFmtId="0" fontId="3" fillId="0" borderId="28" xfId="0" applyFont="1" applyBorder="1">
      <alignment vertical="center"/>
    </xf>
    <xf numFmtId="0" fontId="4" fillId="6" borderId="31" xfId="0" applyFont="1" applyFill="1" applyBorder="1" applyAlignment="1">
      <alignment horizontal="left" vertical="center" indent="1"/>
    </xf>
    <xf numFmtId="0" fontId="4" fillId="0" borderId="31" xfId="0" applyFont="1" applyFill="1" applyBorder="1" applyAlignment="1">
      <alignment horizontal="center" vertical="center"/>
    </xf>
    <xf numFmtId="0" fontId="4" fillId="0" borderId="55" xfId="0" applyFont="1" applyFill="1" applyBorder="1" applyAlignment="1">
      <alignment horizontal="left" vertical="center"/>
    </xf>
    <xf numFmtId="0" fontId="4" fillId="0" borderId="10" xfId="0" applyFont="1" applyFill="1" applyBorder="1" applyAlignment="1">
      <alignment horizontal="left" vertical="center" indent="1"/>
    </xf>
    <xf numFmtId="0" fontId="13" fillId="0" borderId="18" xfId="0" applyFont="1" applyFill="1" applyBorder="1" applyAlignment="1">
      <alignment horizontal="center" vertical="center"/>
    </xf>
    <xf numFmtId="0" fontId="4" fillId="0" borderId="10" xfId="0" applyFont="1" applyFill="1" applyBorder="1" applyAlignment="1">
      <alignment horizontal="center" vertical="center"/>
    </xf>
    <xf numFmtId="0" fontId="4" fillId="0" borderId="11" xfId="0" applyFont="1" applyFill="1" applyBorder="1" applyAlignment="1">
      <alignment horizontal="left" vertical="center" wrapText="1"/>
    </xf>
    <xf numFmtId="0" fontId="4" fillId="0" borderId="32" xfId="0" applyFont="1" applyFill="1" applyBorder="1" applyAlignment="1">
      <alignment horizontal="left" vertical="center" wrapText="1"/>
    </xf>
    <xf numFmtId="0" fontId="4" fillId="0" borderId="19" xfId="0" applyFont="1" applyFill="1" applyBorder="1" applyAlignment="1">
      <alignment horizontal="left" vertical="center"/>
    </xf>
    <xf numFmtId="0" fontId="4" fillId="6" borderId="27" xfId="0" applyFont="1" applyFill="1" applyBorder="1" applyAlignment="1">
      <alignment vertical="center"/>
    </xf>
    <xf numFmtId="0" fontId="4" fillId="6" borderId="18" xfId="0" applyFont="1" applyFill="1" applyBorder="1" applyAlignment="1">
      <alignment horizontal="center" vertical="center"/>
    </xf>
    <xf numFmtId="0" fontId="4" fillId="6" borderId="18" xfId="0" applyFont="1" applyFill="1" applyBorder="1" applyAlignment="1">
      <alignment vertical="center"/>
    </xf>
    <xf numFmtId="0" fontId="4" fillId="6" borderId="36" xfId="0" applyFont="1" applyFill="1" applyBorder="1" applyAlignment="1">
      <alignment horizontal="center" vertical="center"/>
    </xf>
    <xf numFmtId="0" fontId="4" fillId="6" borderId="36" xfId="0" applyFont="1" applyFill="1" applyBorder="1" applyAlignment="1">
      <alignment vertical="center"/>
    </xf>
    <xf numFmtId="0" fontId="4" fillId="7" borderId="18" xfId="0" applyFont="1" applyFill="1" applyBorder="1" applyAlignment="1">
      <alignment horizontal="left" vertical="center" indent="1"/>
    </xf>
    <xf numFmtId="0" fontId="4" fillId="7" borderId="22" xfId="0" applyFont="1" applyFill="1" applyBorder="1" applyAlignment="1">
      <alignment horizontal="left" vertical="center"/>
    </xf>
    <xf numFmtId="0" fontId="4" fillId="4" borderId="2" xfId="0" applyFont="1" applyFill="1" applyBorder="1" applyAlignment="1">
      <alignment vertical="center"/>
    </xf>
    <xf numFmtId="0" fontId="4" fillId="7" borderId="22" xfId="0" applyFont="1" applyFill="1" applyBorder="1" applyAlignment="1">
      <alignment vertical="center"/>
    </xf>
    <xf numFmtId="0" fontId="3" fillId="0" borderId="32" xfId="0" applyFont="1" applyBorder="1">
      <alignment vertical="center"/>
    </xf>
    <xf numFmtId="0" fontId="4" fillId="7" borderId="22" xfId="0" applyFont="1" applyFill="1" applyBorder="1" applyAlignment="1">
      <alignment horizontal="left" vertical="center" wrapText="1"/>
    </xf>
    <xf numFmtId="0" fontId="4" fillId="0" borderId="27" xfId="0" applyFont="1" applyFill="1" applyBorder="1" applyAlignment="1">
      <alignment horizontal="left" vertical="center"/>
    </xf>
    <xf numFmtId="0" fontId="4" fillId="6" borderId="35" xfId="0" applyFont="1" applyFill="1" applyBorder="1" applyAlignment="1">
      <alignment horizontal="left" vertical="center" indent="1"/>
    </xf>
    <xf numFmtId="0" fontId="4" fillId="0" borderId="9" xfId="0" applyFont="1" applyFill="1" applyBorder="1" applyAlignment="1">
      <alignment horizontal="left" vertical="center"/>
    </xf>
    <xf numFmtId="0" fontId="4" fillId="0" borderId="36" xfId="0" applyFont="1" applyFill="1" applyBorder="1" applyAlignment="1">
      <alignment horizontal="left" vertical="center"/>
    </xf>
    <xf numFmtId="0" fontId="0" fillId="2" borderId="0" xfId="0" applyNumberFormat="1" applyFill="1">
      <alignment vertical="center"/>
    </xf>
    <xf numFmtId="0" fontId="4" fillId="6" borderId="36" xfId="0" applyNumberFormat="1" applyFont="1" applyFill="1" applyBorder="1" applyAlignment="1">
      <alignment horizontal="left" vertical="center" indent="1"/>
    </xf>
    <xf numFmtId="0" fontId="13" fillId="0" borderId="36" xfId="0" applyNumberFormat="1" applyFont="1" applyFill="1" applyBorder="1" applyAlignment="1">
      <alignment horizontal="center" vertical="center"/>
    </xf>
    <xf numFmtId="0" fontId="4" fillId="0" borderId="36" xfId="0" applyNumberFormat="1" applyFont="1" applyFill="1" applyBorder="1" applyAlignment="1">
      <alignment horizontal="center" vertical="center"/>
    </xf>
    <xf numFmtId="0" fontId="4" fillId="0" borderId="36" xfId="0" applyNumberFormat="1" applyFont="1" applyFill="1" applyBorder="1" applyAlignment="1">
      <alignment horizontal="left" vertical="center"/>
    </xf>
    <xf numFmtId="0" fontId="7" fillId="2" borderId="0" xfId="0" applyFont="1" applyFill="1" applyProtection="1">
      <alignment vertical="center"/>
      <protection locked="0"/>
    </xf>
    <xf numFmtId="0" fontId="3" fillId="2" borderId="0" xfId="0" applyFont="1" applyFill="1" applyAlignment="1" applyProtection="1">
      <alignment horizontal="center" vertical="center"/>
      <protection locked="0"/>
    </xf>
    <xf numFmtId="0" fontId="4" fillId="3" borderId="37" xfId="0" applyFont="1" applyFill="1" applyBorder="1" applyAlignment="1" applyProtection="1">
      <alignment horizontal="center" vertical="center" wrapText="1"/>
      <protection locked="0"/>
    </xf>
    <xf numFmtId="0" fontId="4" fillId="3" borderId="58" xfId="0" applyFont="1" applyFill="1" applyBorder="1" applyAlignment="1" applyProtection="1">
      <alignment horizontal="center" vertical="center" wrapText="1"/>
      <protection locked="0"/>
    </xf>
    <xf numFmtId="0" fontId="4" fillId="3" borderId="59" xfId="0" applyFont="1" applyFill="1" applyBorder="1" applyAlignment="1" applyProtection="1">
      <alignment horizontal="center" vertical="center" wrapText="1"/>
      <protection locked="0"/>
    </xf>
    <xf numFmtId="0" fontId="16" fillId="0" borderId="27" xfId="2" applyFont="1" applyFill="1" applyBorder="1" applyAlignment="1" applyProtection="1">
      <alignment horizontal="center" vertical="center" wrapText="1"/>
      <protection locked="0"/>
    </xf>
    <xf numFmtId="0" fontId="4" fillId="0" borderId="27" xfId="0" applyFont="1" applyFill="1" applyBorder="1" applyAlignment="1" applyProtection="1">
      <alignment horizontal="left" vertical="center" wrapText="1"/>
      <protection locked="0"/>
    </xf>
    <xf numFmtId="0" fontId="4" fillId="0" borderId="4" xfId="0" applyFont="1" applyFill="1" applyBorder="1" applyAlignment="1" applyProtection="1">
      <alignment horizontal="center" vertical="center" wrapText="1"/>
      <protection locked="0"/>
    </xf>
    <xf numFmtId="0" fontId="7" fillId="0" borderId="27" xfId="0" applyFont="1" applyFill="1" applyBorder="1" applyAlignment="1" applyProtection="1">
      <alignment horizontal="left" vertical="center" wrapText="1"/>
      <protection locked="0"/>
    </xf>
    <xf numFmtId="0" fontId="7" fillId="0" borderId="4" xfId="0" applyFont="1" applyFill="1" applyBorder="1" applyAlignment="1" applyProtection="1">
      <alignment horizontal="center" vertical="center" wrapText="1"/>
      <protection locked="0"/>
    </xf>
    <xf numFmtId="177" fontId="16" fillId="0" borderId="27" xfId="2" applyNumberFormat="1" applyFont="1" applyFill="1" applyBorder="1" applyAlignment="1" applyProtection="1">
      <alignment horizontal="center" vertical="center" wrapText="1"/>
      <protection locked="0"/>
    </xf>
    <xf numFmtId="0" fontId="16" fillId="0" borderId="0" xfId="2" applyFont="1" applyAlignment="1" applyProtection="1">
      <alignment horizontal="center" vertical="center"/>
    </xf>
    <xf numFmtId="0" fontId="16" fillId="0" borderId="9" xfId="2" applyFont="1" applyFill="1" applyBorder="1" applyAlignment="1" applyProtection="1">
      <alignment horizontal="center" vertical="center" wrapText="1"/>
      <protection locked="0"/>
    </xf>
    <xf numFmtId="0" fontId="4" fillId="0" borderId="18" xfId="0" applyFont="1" applyFill="1" applyBorder="1" applyAlignment="1" applyProtection="1">
      <alignment horizontal="left" vertical="center" wrapText="1"/>
      <protection locked="0"/>
    </xf>
    <xf numFmtId="0" fontId="16" fillId="0" borderId="34" xfId="2" applyFont="1" applyFill="1" applyBorder="1" applyAlignment="1" applyProtection="1">
      <alignment horizontal="center" vertical="center" wrapText="1"/>
      <protection locked="0"/>
    </xf>
    <xf numFmtId="0" fontId="16" fillId="0" borderId="35" xfId="2" applyFont="1" applyFill="1" applyBorder="1" applyAlignment="1" applyProtection="1">
      <alignment horizontal="center" vertical="center" wrapText="1"/>
      <protection locked="0"/>
    </xf>
    <xf numFmtId="0" fontId="16" fillId="0" borderId="51" xfId="2" applyFont="1" applyFill="1" applyBorder="1" applyAlignment="1" applyProtection="1">
      <alignment horizontal="center" vertical="center" wrapText="1"/>
      <protection locked="0"/>
    </xf>
    <xf numFmtId="0" fontId="4" fillId="0" borderId="19" xfId="0" applyFont="1" applyFill="1" applyBorder="1" applyAlignment="1" applyProtection="1">
      <alignment horizontal="left" vertical="center" wrapText="1"/>
      <protection locked="0"/>
    </xf>
    <xf numFmtId="0" fontId="4" fillId="0" borderId="28" xfId="0" applyFont="1" applyFill="1" applyBorder="1" applyAlignment="1" applyProtection="1">
      <alignment horizontal="center" vertical="center" wrapText="1"/>
      <protection locked="0"/>
    </xf>
    <xf numFmtId="0" fontId="4" fillId="0" borderId="60" xfId="0" applyFont="1" applyFill="1" applyBorder="1" applyAlignment="1" applyProtection="1">
      <alignment horizontal="left" vertical="center" wrapText="1"/>
      <protection locked="0"/>
    </xf>
    <xf numFmtId="0" fontId="4" fillId="0" borderId="32" xfId="0" applyFont="1" applyFill="1" applyBorder="1" applyAlignment="1" applyProtection="1">
      <alignment horizontal="center" vertical="center" wrapText="1"/>
      <protection locked="0"/>
    </xf>
    <xf numFmtId="178" fontId="0" fillId="2" borderId="0" xfId="0" applyNumberFormat="1" applyFill="1">
      <alignment vertical="center"/>
    </xf>
    <xf numFmtId="0" fontId="4" fillId="3" borderId="1" xfId="0" applyFont="1" applyFill="1" applyBorder="1" applyAlignment="1">
      <alignment horizontal="center" vertical="center" wrapText="1"/>
    </xf>
    <xf numFmtId="178" fontId="4" fillId="3" borderId="7" xfId="0" applyNumberFormat="1" applyFont="1" applyFill="1" applyBorder="1" applyAlignment="1">
      <alignment horizontal="center" vertical="center" wrapText="1"/>
    </xf>
    <xf numFmtId="0" fontId="4" fillId="0" borderId="17" xfId="0" applyFont="1" applyFill="1" applyBorder="1" applyAlignment="1">
      <alignment horizontal="center" vertical="center" wrapText="1"/>
    </xf>
    <xf numFmtId="178" fontId="4" fillId="0" borderId="18" xfId="0" applyNumberFormat="1" applyFont="1" applyFill="1" applyBorder="1" applyAlignment="1">
      <alignment horizontal="center" vertical="center" wrapText="1"/>
    </xf>
    <xf numFmtId="0" fontId="4" fillId="6" borderId="17" xfId="0" applyFont="1" applyFill="1" applyBorder="1" applyAlignment="1">
      <alignment horizontal="center" vertical="center" wrapText="1"/>
    </xf>
    <xf numFmtId="178" fontId="4" fillId="6" borderId="18" xfId="0" applyNumberFormat="1" applyFont="1" applyFill="1" applyBorder="1" applyAlignment="1">
      <alignment horizontal="center" vertical="center" wrapText="1"/>
    </xf>
    <xf numFmtId="0" fontId="4" fillId="0" borderId="3" xfId="0" applyFont="1" applyFill="1" applyBorder="1" applyAlignment="1">
      <alignment horizontal="center" vertical="center" wrapText="1"/>
    </xf>
    <xf numFmtId="178" fontId="4" fillId="0" borderId="27" xfId="0" applyNumberFormat="1" applyFont="1" applyFill="1" applyBorder="1" applyAlignment="1">
      <alignment horizontal="center" vertical="center" wrapText="1"/>
    </xf>
    <xf numFmtId="0" fontId="4" fillId="0" borderId="2" xfId="0" applyNumberFormat="1" applyFont="1" applyFill="1" applyBorder="1" applyAlignment="1">
      <alignment horizontal="center" vertical="center" wrapText="1"/>
    </xf>
    <xf numFmtId="0" fontId="4" fillId="6" borderId="22" xfId="0" applyNumberFormat="1" applyFont="1" applyFill="1" applyBorder="1" applyAlignment="1">
      <alignment horizontal="center" vertical="center" wrapText="1"/>
    </xf>
    <xf numFmtId="0" fontId="4" fillId="0" borderId="22" xfId="0" applyFont="1" applyFill="1" applyBorder="1" applyAlignment="1">
      <alignment horizontal="center" vertical="center" wrapText="1"/>
    </xf>
    <xf numFmtId="0" fontId="4" fillId="6" borderId="2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5" xfId="0" applyFont="1" applyFill="1" applyBorder="1" applyAlignment="1">
      <alignment horizontal="center" vertical="center" wrapText="1"/>
    </xf>
    <xf numFmtId="178" fontId="4" fillId="0" borderId="36" xfId="0" applyNumberFormat="1" applyFont="1" applyFill="1" applyBorder="1" applyAlignment="1">
      <alignment horizontal="center" vertical="center" wrapText="1"/>
    </xf>
    <xf numFmtId="0" fontId="4" fillId="0" borderId="32" xfId="0" applyFont="1" applyFill="1" applyBorder="1" applyAlignment="1">
      <alignment horizontal="center" vertical="center" wrapText="1"/>
    </xf>
    <xf numFmtId="19" fontId="0" fillId="2" borderId="0" xfId="0" applyNumberFormat="1" applyFill="1" applyProtection="1">
      <alignment vertical="center"/>
    </xf>
    <xf numFmtId="0" fontId="0" fillId="2" borderId="0" xfId="0" applyFill="1" applyAlignment="1">
      <alignment vertical="center"/>
    </xf>
    <xf numFmtId="0" fontId="0" fillId="2" borderId="0" xfId="0" applyFill="1" applyAlignment="1">
      <alignment vertical="center" wrapText="1"/>
    </xf>
    <xf numFmtId="0" fontId="4" fillId="0" borderId="22" xfId="0" applyNumberFormat="1" applyFont="1" applyFill="1" applyBorder="1" applyAlignment="1">
      <alignment horizontal="center" vertical="center" wrapText="1"/>
    </xf>
    <xf numFmtId="0" fontId="4" fillId="9" borderId="17" xfId="0" applyFont="1" applyFill="1" applyBorder="1" applyAlignment="1">
      <alignment horizontal="center" vertical="center" wrapText="1"/>
    </xf>
    <xf numFmtId="178" fontId="4" fillId="9" borderId="18" xfId="0" applyNumberFormat="1" applyFont="1" applyFill="1" applyBorder="1" applyAlignment="1">
      <alignment horizontal="center" vertical="center" wrapText="1"/>
    </xf>
    <xf numFmtId="0" fontId="4" fillId="7" borderId="27" xfId="0" applyFont="1" applyFill="1" applyBorder="1" applyAlignment="1">
      <alignment horizontal="center" vertical="center"/>
    </xf>
    <xf numFmtId="0" fontId="4" fillId="7" borderId="27" xfId="0" applyFont="1" applyFill="1" applyBorder="1" applyAlignment="1">
      <alignment horizontal="center" vertical="center"/>
    </xf>
    <xf numFmtId="0" fontId="4" fillId="9" borderId="27" xfId="0" applyFont="1" applyFill="1" applyBorder="1" applyAlignment="1">
      <alignment horizontal="left" vertical="center" indent="1"/>
    </xf>
    <xf numFmtId="0" fontId="13" fillId="9" borderId="27" xfId="0" applyFont="1" applyFill="1" applyBorder="1" applyAlignment="1">
      <alignment horizontal="center" vertical="center"/>
    </xf>
    <xf numFmtId="0" fontId="4" fillId="9" borderId="27" xfId="0" applyFont="1" applyFill="1" applyBorder="1" applyAlignment="1">
      <alignment horizontal="center" vertical="center"/>
    </xf>
    <xf numFmtId="0" fontId="4" fillId="9" borderId="4" xfId="0" applyFont="1" applyFill="1" applyBorder="1" applyAlignment="1">
      <alignment horizontal="left" vertical="center"/>
    </xf>
    <xf numFmtId="0" fontId="4" fillId="7" borderId="27"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1" xfId="0" applyFont="1" applyFill="1" applyBorder="1" applyAlignment="1">
      <alignment horizontal="center" vertical="center"/>
    </xf>
    <xf numFmtId="0" fontId="4" fillId="7" borderId="27" xfId="0" applyFont="1" applyFill="1" applyBorder="1" applyAlignment="1">
      <alignment horizontal="center" vertical="center"/>
    </xf>
    <xf numFmtId="0" fontId="0" fillId="2" borderId="0" xfId="0" applyFill="1" applyAlignment="1">
      <alignment horizontal="center" vertical="center" wrapText="1"/>
    </xf>
    <xf numFmtId="0" fontId="0" fillId="2" borderId="0" xfId="0" applyFill="1" applyAlignment="1">
      <alignment horizontal="center" vertical="center"/>
    </xf>
    <xf numFmtId="0" fontId="17" fillId="2" borderId="0" xfId="0" applyFont="1" applyFill="1" applyAlignment="1">
      <alignment horizontal="center" vertical="center" wrapText="1"/>
    </xf>
    <xf numFmtId="0" fontId="4" fillId="0" borderId="44" xfId="0" applyFont="1" applyFill="1" applyBorder="1" applyAlignment="1">
      <alignment horizontal="left" vertical="top" wrapText="1"/>
    </xf>
    <xf numFmtId="0" fontId="4" fillId="0" borderId="45" xfId="0" applyFont="1" applyFill="1" applyBorder="1" applyAlignment="1">
      <alignment horizontal="left" vertical="top" wrapText="1"/>
    </xf>
    <xf numFmtId="0" fontId="4" fillId="0" borderId="35" xfId="0" applyFont="1" applyFill="1" applyBorder="1" applyAlignment="1">
      <alignment horizontal="left" vertical="top" wrapText="1"/>
    </xf>
    <xf numFmtId="0" fontId="4" fillId="0" borderId="44" xfId="0" applyFont="1" applyFill="1" applyBorder="1" applyAlignment="1">
      <alignment horizontal="left" vertical="center" wrapText="1"/>
    </xf>
    <xf numFmtId="0" fontId="4" fillId="0" borderId="45" xfId="0" applyFont="1" applyFill="1" applyBorder="1" applyAlignment="1">
      <alignment horizontal="left" vertical="center" wrapText="1"/>
    </xf>
    <xf numFmtId="0" fontId="4" fillId="0" borderId="60" xfId="0" applyFont="1" applyFill="1" applyBorder="1" applyAlignment="1">
      <alignment horizontal="left" vertical="center" wrapText="1"/>
    </xf>
    <xf numFmtId="0" fontId="4" fillId="0" borderId="6" xfId="0" applyFont="1" applyFill="1" applyBorder="1" applyAlignment="1">
      <alignment horizontal="left" vertical="center" wrapText="1"/>
    </xf>
    <xf numFmtId="0" fontId="4" fillId="6" borderId="44" xfId="0" applyFont="1" applyFill="1" applyBorder="1" applyAlignment="1">
      <alignment horizontal="left" vertical="center" wrapText="1"/>
    </xf>
    <xf numFmtId="0" fontId="4" fillId="6" borderId="45" xfId="0" applyFont="1" applyFill="1" applyBorder="1" applyAlignment="1">
      <alignment horizontal="left" vertical="center" wrapText="1"/>
    </xf>
    <xf numFmtId="0" fontId="4" fillId="6" borderId="35" xfId="0" applyFont="1" applyFill="1" applyBorder="1" applyAlignment="1">
      <alignment horizontal="left" vertical="center" wrapText="1"/>
    </xf>
    <xf numFmtId="0" fontId="0" fillId="0" borderId="45" xfId="0" applyBorder="1" applyAlignment="1">
      <alignment horizontal="left" vertical="center" wrapText="1"/>
    </xf>
    <xf numFmtId="0" fontId="0" fillId="0" borderId="35" xfId="0" applyBorder="1" applyAlignment="1">
      <alignment horizontal="left" vertical="center" wrapText="1"/>
    </xf>
    <xf numFmtId="0" fontId="6" fillId="6" borderId="44" xfId="0" applyFont="1" applyFill="1" applyBorder="1" applyAlignment="1">
      <alignment vertical="center"/>
    </xf>
    <xf numFmtId="0" fontId="0" fillId="6" borderId="45" xfId="0" applyFill="1" applyBorder="1" applyAlignment="1">
      <alignment vertical="center"/>
    </xf>
    <xf numFmtId="0" fontId="0" fillId="6" borderId="35" xfId="0" applyFill="1" applyBorder="1" applyAlignment="1">
      <alignment vertical="center"/>
    </xf>
    <xf numFmtId="0" fontId="6" fillId="6" borderId="45" xfId="0" applyFont="1" applyFill="1" applyBorder="1" applyAlignment="1">
      <alignment vertical="center"/>
    </xf>
    <xf numFmtId="0" fontId="6" fillId="6" borderId="35" xfId="0" applyFont="1" applyFill="1" applyBorder="1" applyAlignment="1">
      <alignment vertical="center"/>
    </xf>
    <xf numFmtId="0" fontId="4" fillId="6" borderId="21" xfId="0" applyFont="1" applyFill="1" applyBorder="1" applyAlignment="1">
      <alignment horizontal="left" vertical="center" wrapText="1"/>
    </xf>
    <xf numFmtId="0" fontId="4" fillId="6" borderId="61" xfId="0" applyFont="1" applyFill="1" applyBorder="1" applyAlignment="1">
      <alignment horizontal="left" vertical="center" wrapText="1"/>
    </xf>
    <xf numFmtId="0" fontId="4" fillId="6" borderId="44" xfId="0" applyFont="1" applyFill="1" applyBorder="1" applyAlignment="1">
      <alignment horizontal="left" vertical="center"/>
    </xf>
    <xf numFmtId="0" fontId="4" fillId="6" borderId="45" xfId="0" applyFont="1" applyFill="1" applyBorder="1" applyAlignment="1">
      <alignment horizontal="left" vertical="center"/>
    </xf>
    <xf numFmtId="0" fontId="4" fillId="6" borderId="35" xfId="0" applyFont="1" applyFill="1" applyBorder="1" applyAlignment="1">
      <alignment horizontal="left" vertical="center"/>
    </xf>
    <xf numFmtId="0" fontId="4" fillId="0" borderId="21" xfId="0" applyFont="1" applyFill="1" applyBorder="1" applyAlignment="1">
      <alignment horizontal="left" vertical="center" wrapText="1"/>
    </xf>
    <xf numFmtId="0" fontId="4" fillId="0" borderId="61" xfId="0" applyFont="1" applyFill="1" applyBorder="1" applyAlignment="1">
      <alignment horizontal="left" vertical="center" wrapText="1"/>
    </xf>
    <xf numFmtId="0" fontId="4" fillId="0" borderId="35" xfId="0" applyFont="1" applyFill="1" applyBorder="1" applyAlignment="1">
      <alignment horizontal="left" vertical="center" wrapText="1"/>
    </xf>
    <xf numFmtId="0" fontId="4" fillId="0" borderId="61" xfId="0" applyNumberFormat="1" applyFont="1" applyFill="1" applyBorder="1" applyAlignment="1">
      <alignment horizontal="left" vertical="center" wrapText="1"/>
    </xf>
    <xf numFmtId="0" fontId="4" fillId="0" borderId="44" xfId="0" applyFont="1" applyFill="1" applyBorder="1" applyAlignment="1">
      <alignment vertical="center" wrapText="1"/>
    </xf>
    <xf numFmtId="0" fontId="4" fillId="0" borderId="45" xfId="0" applyFont="1" applyFill="1" applyBorder="1" applyAlignment="1">
      <alignment vertical="center" wrapText="1"/>
    </xf>
    <xf numFmtId="0" fontId="4" fillId="0" borderId="35" xfId="0" applyFont="1" applyFill="1" applyBorder="1" applyAlignment="1">
      <alignment vertical="center" wrapText="1"/>
    </xf>
    <xf numFmtId="0" fontId="4" fillId="6" borderId="44" xfId="0" applyFont="1" applyFill="1" applyBorder="1" applyAlignment="1">
      <alignment horizontal="left" vertical="top" wrapText="1"/>
    </xf>
    <xf numFmtId="0" fontId="4" fillId="6" borderId="45" xfId="0" applyFont="1" applyFill="1" applyBorder="1" applyAlignment="1">
      <alignment horizontal="left" vertical="top" wrapText="1"/>
    </xf>
    <xf numFmtId="0" fontId="4" fillId="6" borderId="35" xfId="0" applyFont="1" applyFill="1" applyBorder="1" applyAlignment="1">
      <alignment horizontal="left" vertical="top" wrapText="1"/>
    </xf>
    <xf numFmtId="0" fontId="4" fillId="3" borderId="42" xfId="0" applyFont="1" applyFill="1" applyBorder="1" applyAlignment="1">
      <alignment horizontal="center" vertical="center" wrapText="1"/>
    </xf>
    <xf numFmtId="0" fontId="4" fillId="3" borderId="43" xfId="0" applyFont="1" applyFill="1" applyBorder="1" applyAlignment="1">
      <alignment horizontal="center" vertical="center" wrapText="1"/>
    </xf>
    <xf numFmtId="0" fontId="4" fillId="9" borderId="44" xfId="0" applyFont="1" applyFill="1" applyBorder="1" applyAlignment="1">
      <alignment horizontal="left" vertical="top" wrapText="1"/>
    </xf>
    <xf numFmtId="0" fontId="4" fillId="9" borderId="45" xfId="0" applyFont="1" applyFill="1" applyBorder="1" applyAlignment="1">
      <alignment horizontal="left" vertical="top" wrapText="1"/>
    </xf>
    <xf numFmtId="0" fontId="4" fillId="9" borderId="35" xfId="0" applyFont="1" applyFill="1" applyBorder="1" applyAlignment="1">
      <alignment horizontal="left" vertical="top" wrapText="1"/>
    </xf>
    <xf numFmtId="0" fontId="4" fillId="0" borderId="3" xfId="0" applyFont="1" applyFill="1" applyBorder="1" applyAlignment="1" applyProtection="1">
      <alignment horizontal="center" vertical="center" wrapText="1"/>
      <protection locked="0"/>
    </xf>
    <xf numFmtId="0" fontId="4" fillId="0" borderId="1" xfId="0" applyFont="1" applyFill="1" applyBorder="1" applyAlignment="1" applyProtection="1">
      <alignment horizontal="center" vertical="center" wrapText="1"/>
      <protection locked="0"/>
    </xf>
    <xf numFmtId="0" fontId="4" fillId="0" borderId="8" xfId="0" applyFont="1" applyFill="1" applyBorder="1" applyAlignment="1" applyProtection="1">
      <alignment horizontal="center" vertical="center" wrapText="1"/>
      <protection locked="0"/>
    </xf>
    <xf numFmtId="0" fontId="4" fillId="0" borderId="12" xfId="0" applyFont="1" applyFill="1" applyBorder="1" applyAlignment="1" applyProtection="1">
      <alignment horizontal="center" vertical="center" wrapText="1"/>
      <protection locked="0"/>
    </xf>
    <xf numFmtId="0" fontId="4" fillId="0" borderId="17" xfId="0" applyFont="1" applyFill="1" applyBorder="1" applyAlignment="1" applyProtection="1">
      <alignment horizontal="center" vertical="center" wrapText="1"/>
      <protection locked="0"/>
    </xf>
    <xf numFmtId="0" fontId="4" fillId="0" borderId="3" xfId="0" applyNumberFormat="1" applyFont="1" applyFill="1" applyBorder="1" applyAlignment="1" applyProtection="1">
      <alignment horizontal="center" vertical="center" wrapText="1"/>
      <protection locked="0"/>
    </xf>
    <xf numFmtId="0" fontId="12" fillId="6" borderId="19" xfId="0" applyFont="1" applyFill="1" applyBorder="1" applyAlignment="1">
      <alignment horizontal="left" vertical="center" wrapText="1"/>
    </xf>
    <xf numFmtId="0" fontId="12" fillId="6" borderId="46" xfId="0" applyFont="1" applyFill="1" applyBorder="1" applyAlignment="1">
      <alignment horizontal="left" vertical="center" wrapText="1"/>
    </xf>
    <xf numFmtId="0" fontId="12" fillId="6" borderId="47" xfId="0" applyFont="1" applyFill="1" applyBorder="1" applyAlignment="1">
      <alignment horizontal="left" vertical="center" wrapText="1"/>
    </xf>
    <xf numFmtId="0" fontId="12" fillId="6" borderId="48" xfId="0" applyFont="1" applyFill="1" applyBorder="1" applyAlignment="1">
      <alignment horizontal="left" vertical="center" wrapText="1"/>
    </xf>
    <xf numFmtId="0" fontId="12" fillId="6" borderId="49" xfId="0" applyFont="1" applyFill="1" applyBorder="1" applyAlignment="1">
      <alignment horizontal="left" vertical="center" wrapText="1"/>
    </xf>
    <xf numFmtId="0" fontId="12" fillId="6" borderId="50" xfId="0" applyFont="1" applyFill="1" applyBorder="1" applyAlignment="1">
      <alignment horizontal="left" vertical="center" wrapText="1"/>
    </xf>
    <xf numFmtId="0" fontId="11" fillId="6" borderId="27" xfId="0" applyFont="1" applyFill="1" applyBorder="1" applyAlignment="1">
      <alignment horizontal="left" vertical="center"/>
    </xf>
    <xf numFmtId="0" fontId="9" fillId="6" borderId="7" xfId="0" applyFont="1" applyFill="1" applyBorder="1" applyAlignment="1">
      <alignment horizontal="left" vertical="center"/>
    </xf>
    <xf numFmtId="0" fontId="12" fillId="6" borderId="19" xfId="0" applyFont="1" applyFill="1" applyBorder="1" applyAlignment="1">
      <alignment horizontal="left" vertical="top" wrapText="1"/>
    </xf>
    <xf numFmtId="0" fontId="12" fillId="6" borderId="46" xfId="0" applyFont="1" applyFill="1" applyBorder="1" applyAlignment="1">
      <alignment horizontal="left" vertical="top" wrapText="1"/>
    </xf>
    <xf numFmtId="0" fontId="12" fillId="6" borderId="47" xfId="0" applyFont="1" applyFill="1" applyBorder="1" applyAlignment="1">
      <alignment horizontal="left" vertical="top" wrapText="1"/>
    </xf>
    <xf numFmtId="0" fontId="12" fillId="6" borderId="48" xfId="0" applyFont="1" applyFill="1" applyBorder="1" applyAlignment="1">
      <alignment horizontal="left" vertical="top" wrapText="1"/>
    </xf>
    <xf numFmtId="0" fontId="12" fillId="6" borderId="49" xfId="0" applyFont="1" applyFill="1" applyBorder="1" applyAlignment="1">
      <alignment horizontal="left" vertical="top" wrapText="1"/>
    </xf>
    <xf numFmtId="0" fontId="12" fillId="6" borderId="50" xfId="0" applyFont="1" applyFill="1" applyBorder="1" applyAlignment="1">
      <alignment horizontal="left" vertical="top" wrapText="1"/>
    </xf>
    <xf numFmtId="0" fontId="4"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56" xfId="0" applyFont="1" applyFill="1" applyBorder="1" applyAlignment="1">
      <alignment horizontal="center" vertical="center"/>
    </xf>
    <xf numFmtId="0" fontId="4" fillId="4" borderId="57" xfId="0" applyNumberFormat="1" applyFont="1" applyFill="1" applyBorder="1" applyAlignment="1">
      <alignment horizontal="center" vertical="center"/>
    </xf>
    <xf numFmtId="0" fontId="4" fillId="4" borderId="5" xfId="0" applyFont="1" applyFill="1" applyBorder="1" applyAlignment="1">
      <alignment horizontal="center" vertical="center"/>
    </xf>
    <xf numFmtId="0" fontId="4" fillId="4" borderId="40" xfId="0" applyFont="1" applyFill="1" applyBorder="1" applyAlignment="1">
      <alignment horizontal="center" vertical="center"/>
    </xf>
    <xf numFmtId="0" fontId="4" fillId="4" borderId="17" xfId="0" applyFont="1" applyFill="1" applyBorder="1" applyAlignment="1">
      <alignment horizontal="center" vertical="center"/>
    </xf>
    <xf numFmtId="0" fontId="4" fillId="7" borderId="9" xfId="0" applyFont="1" applyFill="1" applyBorder="1" applyAlignment="1">
      <alignment horizontal="center" vertical="center"/>
    </xf>
    <xf numFmtId="0" fontId="4" fillId="7" borderId="10" xfId="0" applyFont="1" applyFill="1" applyBorder="1" applyAlignment="1">
      <alignment horizontal="center" vertical="center"/>
    </xf>
    <xf numFmtId="0" fontId="4" fillId="7" borderId="18" xfId="0" applyFont="1" applyFill="1" applyBorder="1" applyAlignment="1">
      <alignment horizontal="center" vertical="center"/>
    </xf>
    <xf numFmtId="0" fontId="4" fillId="7" borderId="27" xfId="0" applyFont="1" applyFill="1" applyBorder="1" applyAlignment="1">
      <alignment horizontal="center" vertical="center"/>
    </xf>
    <xf numFmtId="0" fontId="12" fillId="6" borderId="27" xfId="0" applyFont="1" applyFill="1" applyBorder="1" applyAlignment="1">
      <alignment horizontal="left" vertical="center" wrapText="1"/>
    </xf>
    <xf numFmtId="0" fontId="12" fillId="6" borderId="4" xfId="0" applyFont="1" applyFill="1" applyBorder="1" applyAlignment="1">
      <alignment horizontal="left" vertical="center" wrapText="1"/>
    </xf>
    <xf numFmtId="0" fontId="12" fillId="6" borderId="36" xfId="0" applyFont="1" applyFill="1" applyBorder="1" applyAlignment="1">
      <alignment horizontal="left" vertical="center" wrapText="1"/>
    </xf>
    <xf numFmtId="0" fontId="12" fillId="6" borderId="32" xfId="0" applyFont="1" applyFill="1" applyBorder="1" applyAlignment="1">
      <alignment horizontal="left" vertical="center" wrapText="1"/>
    </xf>
    <xf numFmtId="0" fontId="4" fillId="4" borderId="37" xfId="0" applyFont="1" applyFill="1" applyBorder="1" applyAlignment="1">
      <alignment horizontal="center" vertical="center"/>
    </xf>
    <xf numFmtId="0" fontId="4" fillId="4" borderId="51" xfId="0" applyFont="1" applyFill="1" applyBorder="1" applyAlignment="1">
      <alignment horizontal="center" vertical="center"/>
    </xf>
    <xf numFmtId="0" fontId="4" fillId="4" borderId="52" xfId="0" applyFont="1" applyFill="1" applyBorder="1" applyAlignment="1">
      <alignment horizontal="center" vertical="center"/>
    </xf>
    <xf numFmtId="0" fontId="0" fillId="0" borderId="12" xfId="0" applyBorder="1" applyAlignment="1">
      <alignment vertical="center"/>
    </xf>
    <xf numFmtId="0" fontId="0" fillId="0" borderId="17" xfId="0" applyBorder="1" applyAlignment="1">
      <alignment vertical="center"/>
    </xf>
    <xf numFmtId="0" fontId="11" fillId="6" borderId="44" xfId="0" applyFont="1" applyFill="1" applyBorder="1" applyAlignment="1">
      <alignment horizontal="left" vertical="center"/>
    </xf>
    <xf numFmtId="0" fontId="11" fillId="6" borderId="45" xfId="0" applyFont="1" applyFill="1" applyBorder="1" applyAlignment="1">
      <alignment horizontal="left" vertical="center"/>
    </xf>
    <xf numFmtId="0" fontId="11" fillId="6" borderId="35" xfId="0" applyFont="1" applyFill="1" applyBorder="1" applyAlignment="1">
      <alignment horizontal="left" vertical="center"/>
    </xf>
    <xf numFmtId="0" fontId="9" fillId="6" borderId="42" xfId="0" applyFont="1" applyFill="1" applyBorder="1" applyAlignment="1">
      <alignment horizontal="left" vertical="center"/>
    </xf>
    <xf numFmtId="0" fontId="9" fillId="6" borderId="43" xfId="0" applyFont="1" applyFill="1" applyBorder="1" applyAlignment="1">
      <alignment horizontal="left" vertical="center"/>
    </xf>
    <xf numFmtId="0" fontId="9" fillId="6" borderId="33" xfId="0" applyFont="1" applyFill="1" applyBorder="1" applyAlignment="1">
      <alignment horizontal="left" vertical="center"/>
    </xf>
    <xf numFmtId="0" fontId="4" fillId="0" borderId="9" xfId="0" applyFont="1" applyFill="1" applyBorder="1" applyAlignment="1" applyProtection="1">
      <alignment horizontal="center" vertical="center" wrapText="1"/>
    </xf>
    <xf numFmtId="0" fontId="4" fillId="0" borderId="10" xfId="0" applyFont="1" applyFill="1" applyBorder="1" applyAlignment="1" applyProtection="1">
      <alignment horizontal="center" vertical="center" wrapText="1"/>
    </xf>
    <xf numFmtId="0" fontId="4" fillId="0" borderId="18" xfId="0" applyFont="1" applyFill="1" applyBorder="1" applyAlignment="1" applyProtection="1">
      <alignment horizontal="center" vertical="center" wrapText="1"/>
    </xf>
    <xf numFmtId="0" fontId="4" fillId="0" borderId="31" xfId="0" applyFont="1" applyFill="1" applyBorder="1" applyAlignment="1" applyProtection="1">
      <alignment horizontal="center" vertical="center" wrapText="1"/>
    </xf>
    <xf numFmtId="0" fontId="4" fillId="0" borderId="8" xfId="0" applyFont="1" applyFill="1" applyBorder="1" applyAlignment="1" applyProtection="1">
      <alignment horizontal="center" vertical="center" wrapText="1"/>
    </xf>
    <xf numFmtId="0" fontId="4" fillId="0" borderId="12" xfId="0" applyFont="1" applyFill="1" applyBorder="1" applyAlignment="1" applyProtection="1">
      <alignment horizontal="center" vertical="center" wrapText="1"/>
    </xf>
    <xf numFmtId="0" fontId="4" fillId="0" borderId="17" xfId="0" applyFont="1" applyFill="1" applyBorder="1" applyAlignment="1" applyProtection="1">
      <alignment horizontal="center" vertical="center" wrapText="1"/>
    </xf>
    <xf numFmtId="0" fontId="4" fillId="0" borderId="19" xfId="0" applyFont="1" applyFill="1" applyBorder="1" applyAlignment="1" applyProtection="1">
      <alignment horizontal="center" vertical="center" wrapText="1"/>
    </xf>
    <xf numFmtId="0" fontId="4" fillId="0" borderId="20" xfId="0" applyFont="1" applyFill="1" applyBorder="1" applyAlignment="1" applyProtection="1">
      <alignment horizontal="center" vertical="center" wrapText="1"/>
    </xf>
    <xf numFmtId="0" fontId="4" fillId="0" borderId="21" xfId="0" applyFont="1" applyFill="1" applyBorder="1" applyAlignment="1" applyProtection="1">
      <alignment horizontal="center" vertical="center" wrapText="1"/>
    </xf>
    <xf numFmtId="0" fontId="4" fillId="0" borderId="27" xfId="0" applyFont="1" applyFill="1" applyBorder="1" applyAlignment="1" applyProtection="1">
      <alignment horizontal="center" vertical="center" wrapText="1"/>
    </xf>
    <xf numFmtId="0" fontId="4" fillId="0" borderId="3" xfId="0" applyFont="1" applyFill="1" applyBorder="1" applyAlignment="1" applyProtection="1">
      <alignment horizontal="center" vertical="center" wrapText="1"/>
    </xf>
  </cellXfs>
  <cellStyles count="3">
    <cellStyle name="常规" xfId="0" builtinId="0"/>
    <cellStyle name="超链接" xfId="2" builtinId="8"/>
    <cellStyle name="适中"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2</xdr:col>
      <xdr:colOff>495300</xdr:colOff>
      <xdr:row>4</xdr:row>
      <xdr:rowOff>60960</xdr:rowOff>
    </xdr:from>
    <xdr:to>
      <xdr:col>11</xdr:col>
      <xdr:colOff>243840</xdr:colOff>
      <xdr:row>8</xdr:row>
      <xdr:rowOff>137160</xdr:rowOff>
    </xdr:to>
    <xdr:pic>
      <xdr:nvPicPr>
        <xdr:cNvPr id="1025" name="Picture 1" descr="rId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29740" y="792480"/>
          <a:ext cx="5303520" cy="8077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30"/>
  <sheetViews>
    <sheetView workbookViewId="0">
      <selection activeCell="G26" sqref="G26:H26"/>
    </sheetView>
  </sheetViews>
  <sheetFormatPr defaultColWidth="9" defaultRowHeight="13.5" x14ac:dyDescent="0.15"/>
  <cols>
    <col min="1" max="16384" width="9" style="1"/>
  </cols>
  <sheetData>
    <row r="1" spans="1:13" x14ac:dyDescent="0.15">
      <c r="A1" s="222"/>
    </row>
    <row r="12" spans="1:13" ht="13.5" customHeight="1" x14ac:dyDescent="0.15">
      <c r="B12" s="240" t="s">
        <v>0</v>
      </c>
      <c r="C12" s="240"/>
      <c r="D12" s="240"/>
      <c r="E12" s="240"/>
      <c r="F12" s="240"/>
      <c r="G12" s="240"/>
      <c r="H12" s="240"/>
      <c r="I12" s="240"/>
      <c r="J12" s="240"/>
      <c r="K12" s="240"/>
      <c r="L12" s="240"/>
      <c r="M12" s="240"/>
    </row>
    <row r="13" spans="1:13" ht="13.5" customHeight="1" x14ac:dyDescent="0.15">
      <c r="B13" s="240"/>
      <c r="C13" s="240"/>
      <c r="D13" s="240"/>
      <c r="E13" s="240"/>
      <c r="F13" s="240"/>
      <c r="G13" s="240"/>
      <c r="H13" s="240"/>
      <c r="I13" s="240"/>
      <c r="J13" s="240"/>
      <c r="K13" s="240"/>
      <c r="L13" s="240"/>
      <c r="M13" s="240"/>
    </row>
    <row r="14" spans="1:13" ht="13.5" customHeight="1" x14ac:dyDescent="0.15">
      <c r="B14" s="240"/>
      <c r="C14" s="240"/>
      <c r="D14" s="240"/>
      <c r="E14" s="240"/>
      <c r="F14" s="240"/>
      <c r="G14" s="240"/>
      <c r="H14" s="240"/>
      <c r="I14" s="240"/>
      <c r="J14" s="240"/>
      <c r="K14" s="240"/>
      <c r="L14" s="240"/>
      <c r="M14" s="240"/>
    </row>
    <row r="15" spans="1:13" ht="13.5" customHeight="1" x14ac:dyDescent="0.15">
      <c r="B15" s="240"/>
      <c r="C15" s="240"/>
      <c r="D15" s="240"/>
      <c r="E15" s="240"/>
      <c r="F15" s="240"/>
      <c r="G15" s="240"/>
      <c r="H15" s="240"/>
      <c r="I15" s="240"/>
      <c r="J15" s="240"/>
      <c r="K15" s="240"/>
      <c r="L15" s="240"/>
      <c r="M15" s="240"/>
    </row>
    <row r="16" spans="1:13" ht="13.5" customHeight="1" x14ac:dyDescent="0.15">
      <c r="B16" s="240"/>
      <c r="C16" s="240"/>
      <c r="D16" s="240"/>
      <c r="E16" s="240"/>
      <c r="F16" s="240"/>
      <c r="G16" s="240"/>
      <c r="H16" s="240"/>
      <c r="I16" s="240"/>
      <c r="J16" s="240"/>
      <c r="K16" s="240"/>
      <c r="L16" s="240"/>
      <c r="M16" s="240"/>
    </row>
    <row r="17" spans="2:13" x14ac:dyDescent="0.15">
      <c r="B17" s="240"/>
      <c r="C17" s="240"/>
      <c r="D17" s="240"/>
      <c r="E17" s="240"/>
      <c r="F17" s="240"/>
      <c r="G17" s="240"/>
      <c r="H17" s="240"/>
      <c r="I17" s="240"/>
      <c r="J17" s="240"/>
      <c r="K17" s="240"/>
      <c r="L17" s="240"/>
      <c r="M17" s="240"/>
    </row>
    <row r="26" spans="2:13" ht="13.5" customHeight="1" x14ac:dyDescent="0.15">
      <c r="C26" s="223"/>
      <c r="D26" s="223"/>
      <c r="E26" s="223"/>
      <c r="F26" s="223"/>
      <c r="G26" s="238" t="s">
        <v>1</v>
      </c>
      <c r="H26" s="238"/>
      <c r="I26" s="223"/>
      <c r="J26" s="223"/>
      <c r="K26" s="223"/>
      <c r="L26" s="223"/>
      <c r="M26" s="223"/>
    </row>
    <row r="27" spans="2:13" x14ac:dyDescent="0.15">
      <c r="B27" s="223"/>
      <c r="C27" s="223"/>
      <c r="D27" s="223"/>
      <c r="E27" s="223"/>
      <c r="F27" s="239"/>
      <c r="G27" s="239"/>
      <c r="H27" s="239"/>
      <c r="I27" s="239"/>
      <c r="J27" s="223"/>
      <c r="K27" s="223"/>
      <c r="L27" s="223"/>
      <c r="M27" s="223"/>
    </row>
    <row r="28" spans="2:13" x14ac:dyDescent="0.15">
      <c r="D28" s="239"/>
      <c r="E28" s="239"/>
      <c r="F28" s="239"/>
      <c r="G28" s="239"/>
      <c r="H28" s="239"/>
      <c r="I28" s="239"/>
      <c r="J28" s="239"/>
      <c r="K28" s="239"/>
    </row>
    <row r="30" spans="2:13" x14ac:dyDescent="0.15">
      <c r="F30" s="224"/>
    </row>
  </sheetData>
  <mergeCells count="4">
    <mergeCell ref="G26:H26"/>
    <mergeCell ref="F27:I27"/>
    <mergeCell ref="D28:K28"/>
    <mergeCell ref="B12:M17"/>
  </mergeCells>
  <phoneticPr fontId="19" type="noConversion"/>
  <pageMargins left="0.69930555555555596" right="0.69930555555555596" top="0.75" bottom="0.75" header="0.3" footer="0.3"/>
  <pageSetup paperSize="9" orientation="portrait" horizontalDpi="2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L75"/>
  <sheetViews>
    <sheetView workbookViewId="0">
      <selection activeCell="D4" sqref="D4:K4"/>
    </sheetView>
  </sheetViews>
  <sheetFormatPr defaultColWidth="9" defaultRowHeight="13.5" x14ac:dyDescent="0.15"/>
  <cols>
    <col min="1" max="1" width="1" style="1" customWidth="1"/>
    <col min="2" max="2" width="9" style="1"/>
    <col min="3" max="3" width="9.375" style="205" customWidth="1"/>
    <col min="4" max="10" width="9" style="1"/>
    <col min="11" max="11" width="40.5" style="1" customWidth="1"/>
    <col min="12" max="16384" width="9" style="1"/>
  </cols>
  <sheetData>
    <row r="1" spans="2:12" ht="6.75" customHeight="1" x14ac:dyDescent="0.15"/>
    <row r="2" spans="2:12" x14ac:dyDescent="0.15">
      <c r="B2" s="206" t="s">
        <v>2</v>
      </c>
      <c r="C2" s="207" t="s">
        <v>3</v>
      </c>
      <c r="D2" s="273" t="s">
        <v>4</v>
      </c>
      <c r="E2" s="274"/>
      <c r="F2" s="274"/>
      <c r="G2" s="274"/>
      <c r="H2" s="274"/>
      <c r="I2" s="274"/>
      <c r="J2" s="274"/>
      <c r="K2" s="274"/>
      <c r="L2" s="214" t="s">
        <v>5</v>
      </c>
    </row>
    <row r="3" spans="2:12" x14ac:dyDescent="0.15">
      <c r="B3" s="226" t="s">
        <v>4120</v>
      </c>
      <c r="C3" s="227">
        <v>20141011</v>
      </c>
      <c r="D3" s="275" t="s">
        <v>4121</v>
      </c>
      <c r="E3" s="276"/>
      <c r="F3" s="276"/>
      <c r="G3" s="276"/>
      <c r="H3" s="276"/>
      <c r="I3" s="276"/>
      <c r="J3" s="276"/>
      <c r="K3" s="277"/>
      <c r="L3" s="225" t="s">
        <v>4122</v>
      </c>
    </row>
    <row r="4" spans="2:12" x14ac:dyDescent="0.15">
      <c r="B4" s="226" t="s">
        <v>4114</v>
      </c>
      <c r="C4" s="227">
        <v>20141010</v>
      </c>
      <c r="D4" s="275" t="s">
        <v>4119</v>
      </c>
      <c r="E4" s="276"/>
      <c r="F4" s="276"/>
      <c r="G4" s="276"/>
      <c r="H4" s="276"/>
      <c r="I4" s="276"/>
      <c r="J4" s="276"/>
      <c r="K4" s="277"/>
      <c r="L4" s="225" t="s">
        <v>4115</v>
      </c>
    </row>
    <row r="5" spans="2:12" x14ac:dyDescent="0.15">
      <c r="B5" s="226" t="s">
        <v>4023</v>
      </c>
      <c r="C5" s="227">
        <v>20140926</v>
      </c>
      <c r="D5" s="275" t="s">
        <v>4097</v>
      </c>
      <c r="E5" s="276"/>
      <c r="F5" s="276"/>
      <c r="G5" s="276"/>
      <c r="H5" s="276"/>
      <c r="I5" s="276"/>
      <c r="J5" s="276"/>
      <c r="K5" s="277"/>
      <c r="L5" s="225" t="s">
        <v>4108</v>
      </c>
    </row>
    <row r="6" spans="2:12" ht="14.25" customHeight="1" x14ac:dyDescent="0.15">
      <c r="B6" s="226" t="s">
        <v>4021</v>
      </c>
      <c r="C6" s="227">
        <v>20140922</v>
      </c>
      <c r="D6" s="275" t="s">
        <v>4022</v>
      </c>
      <c r="E6" s="276"/>
      <c r="F6" s="276"/>
      <c r="G6" s="276"/>
      <c r="H6" s="276"/>
      <c r="I6" s="276"/>
      <c r="J6" s="276"/>
      <c r="K6" s="277"/>
      <c r="L6" s="225" t="s">
        <v>4108</v>
      </c>
    </row>
    <row r="7" spans="2:12" ht="63" customHeight="1" x14ac:dyDescent="0.15">
      <c r="B7" s="208" t="s">
        <v>4020</v>
      </c>
      <c r="C7" s="209">
        <v>20140917</v>
      </c>
      <c r="D7" s="241" t="s">
        <v>6</v>
      </c>
      <c r="E7" s="242"/>
      <c r="F7" s="242"/>
      <c r="G7" s="242"/>
      <c r="H7" s="242"/>
      <c r="I7" s="242"/>
      <c r="J7" s="242"/>
      <c r="K7" s="243"/>
      <c r="L7" s="215" t="s">
        <v>7</v>
      </c>
    </row>
    <row r="8" spans="2:12" ht="14.25" customHeight="1" x14ac:dyDescent="0.15">
      <c r="B8" s="208" t="s">
        <v>4019</v>
      </c>
      <c r="C8" s="209">
        <v>20140915</v>
      </c>
      <c r="D8" s="241" t="s">
        <v>8</v>
      </c>
      <c r="E8" s="242"/>
      <c r="F8" s="242"/>
      <c r="G8" s="242"/>
      <c r="H8" s="242"/>
      <c r="I8" s="242"/>
      <c r="J8" s="242"/>
      <c r="K8" s="243"/>
      <c r="L8" s="215" t="s">
        <v>9</v>
      </c>
    </row>
    <row r="9" spans="2:12" ht="14.25" customHeight="1" x14ac:dyDescent="0.15">
      <c r="B9" s="208" t="s">
        <v>10</v>
      </c>
      <c r="C9" s="209">
        <v>20140829</v>
      </c>
      <c r="D9" s="241" t="s">
        <v>11</v>
      </c>
      <c r="E9" s="242"/>
      <c r="F9" s="242"/>
      <c r="G9" s="242"/>
      <c r="H9" s="242"/>
      <c r="I9" s="242"/>
      <c r="J9" s="242"/>
      <c r="K9" s="243"/>
      <c r="L9" s="215" t="s">
        <v>9</v>
      </c>
    </row>
    <row r="10" spans="2:12" ht="32.25" customHeight="1" x14ac:dyDescent="0.15">
      <c r="B10" s="210" t="s">
        <v>12</v>
      </c>
      <c r="C10" s="211">
        <v>20140827</v>
      </c>
      <c r="D10" s="270" t="s">
        <v>13</v>
      </c>
      <c r="E10" s="271"/>
      <c r="F10" s="271"/>
      <c r="G10" s="271"/>
      <c r="H10" s="271"/>
      <c r="I10" s="271"/>
      <c r="J10" s="271"/>
      <c r="K10" s="272"/>
      <c r="L10" s="215" t="s">
        <v>9</v>
      </c>
    </row>
    <row r="11" spans="2:12" ht="14.25" customHeight="1" x14ac:dyDescent="0.15">
      <c r="B11" s="210" t="s">
        <v>14</v>
      </c>
      <c r="C11" s="209">
        <v>20140826</v>
      </c>
      <c r="D11" s="263" t="s">
        <v>15</v>
      </c>
      <c r="E11" s="264"/>
      <c r="F11" s="264"/>
      <c r="G11" s="264"/>
      <c r="H11" s="264"/>
      <c r="I11" s="264"/>
      <c r="J11" s="264"/>
      <c r="K11" s="264"/>
      <c r="L11" s="216" t="s">
        <v>16</v>
      </c>
    </row>
    <row r="12" spans="2:12" ht="14.25" customHeight="1" x14ac:dyDescent="0.15">
      <c r="B12" s="210" t="s">
        <v>17</v>
      </c>
      <c r="C12" s="211">
        <v>20140822</v>
      </c>
      <c r="D12" s="270" t="s">
        <v>18</v>
      </c>
      <c r="E12" s="271"/>
      <c r="F12" s="271"/>
      <c r="G12" s="271"/>
      <c r="H12" s="271"/>
      <c r="I12" s="271"/>
      <c r="J12" s="271"/>
      <c r="K12" s="272"/>
      <c r="L12" s="215" t="s">
        <v>9</v>
      </c>
    </row>
    <row r="13" spans="2:12" ht="14.25" customHeight="1" x14ac:dyDescent="0.15">
      <c r="B13" s="208" t="s">
        <v>17</v>
      </c>
      <c r="C13" s="209">
        <v>20140820</v>
      </c>
      <c r="D13" s="266" t="s">
        <v>19</v>
      </c>
      <c r="E13" s="266"/>
      <c r="F13" s="266"/>
      <c r="G13" s="266"/>
      <c r="H13" s="266"/>
      <c r="I13" s="266"/>
      <c r="J13" s="266"/>
      <c r="K13" s="266"/>
      <c r="L13" s="216" t="s">
        <v>20</v>
      </c>
    </row>
    <row r="14" spans="2:12" ht="14.25" customHeight="1" x14ac:dyDescent="0.15">
      <c r="B14" s="208" t="s">
        <v>21</v>
      </c>
      <c r="C14" s="209">
        <v>20140813</v>
      </c>
      <c r="D14" s="266" t="s">
        <v>22</v>
      </c>
      <c r="E14" s="266"/>
      <c r="F14" s="266"/>
      <c r="G14" s="266"/>
      <c r="H14" s="266"/>
      <c r="I14" s="266"/>
      <c r="J14" s="266"/>
      <c r="K14" s="266"/>
      <c r="L14" s="216" t="s">
        <v>20</v>
      </c>
    </row>
    <row r="15" spans="2:12" ht="14.25" customHeight="1" x14ac:dyDescent="0.15">
      <c r="B15" s="208" t="s">
        <v>23</v>
      </c>
      <c r="C15" s="209">
        <v>20140806</v>
      </c>
      <c r="D15" s="266" t="s">
        <v>24</v>
      </c>
      <c r="E15" s="266"/>
      <c r="F15" s="266"/>
      <c r="G15" s="266"/>
      <c r="H15" s="266"/>
      <c r="I15" s="266"/>
      <c r="J15" s="266"/>
      <c r="K15" s="266"/>
      <c r="L15" s="216" t="s">
        <v>25</v>
      </c>
    </row>
    <row r="16" spans="2:12" ht="14.25" customHeight="1" x14ac:dyDescent="0.15">
      <c r="B16" s="208" t="s">
        <v>26</v>
      </c>
      <c r="C16" s="209">
        <v>20140731</v>
      </c>
      <c r="D16" s="266" t="s">
        <v>27</v>
      </c>
      <c r="E16" s="266"/>
      <c r="F16" s="266"/>
      <c r="G16" s="266"/>
      <c r="H16" s="266"/>
      <c r="I16" s="266"/>
      <c r="J16" s="266"/>
      <c r="K16" s="266"/>
      <c r="L16" s="216" t="s">
        <v>28</v>
      </c>
    </row>
    <row r="17" spans="2:12" ht="14.25" customHeight="1" x14ac:dyDescent="0.15">
      <c r="B17" s="210" t="s">
        <v>29</v>
      </c>
      <c r="C17" s="209">
        <v>20140729</v>
      </c>
      <c r="D17" s="263" t="s">
        <v>30</v>
      </c>
      <c r="E17" s="264"/>
      <c r="F17" s="264"/>
      <c r="G17" s="264"/>
      <c r="H17" s="264"/>
      <c r="I17" s="264"/>
      <c r="J17" s="264"/>
      <c r="K17" s="264"/>
      <c r="L17" s="216" t="s">
        <v>25</v>
      </c>
    </row>
    <row r="18" spans="2:12" ht="14.25" customHeight="1" x14ac:dyDescent="0.15">
      <c r="B18" s="210" t="s">
        <v>31</v>
      </c>
      <c r="C18" s="209">
        <v>20140711</v>
      </c>
      <c r="D18" s="263" t="s">
        <v>32</v>
      </c>
      <c r="E18" s="264"/>
      <c r="F18" s="264"/>
      <c r="G18" s="264"/>
      <c r="H18" s="264"/>
      <c r="I18" s="264"/>
      <c r="J18" s="264"/>
      <c r="K18" s="264"/>
      <c r="L18" s="216" t="s">
        <v>16</v>
      </c>
    </row>
    <row r="19" spans="2:12" ht="14.25" customHeight="1" x14ac:dyDescent="0.15">
      <c r="B19" s="208" t="s">
        <v>33</v>
      </c>
      <c r="C19" s="209">
        <v>20140710</v>
      </c>
      <c r="D19" s="267" t="s">
        <v>34</v>
      </c>
      <c r="E19" s="268"/>
      <c r="F19" s="268"/>
      <c r="G19" s="268"/>
      <c r="H19" s="268"/>
      <c r="I19" s="268"/>
      <c r="J19" s="268"/>
      <c r="K19" s="269"/>
      <c r="L19" s="216" t="s">
        <v>9</v>
      </c>
    </row>
    <row r="20" spans="2:12" ht="14.25" customHeight="1" x14ac:dyDescent="0.15">
      <c r="B20" s="208" t="s">
        <v>35</v>
      </c>
      <c r="C20" s="209">
        <v>20140706</v>
      </c>
      <c r="D20" s="267" t="s">
        <v>36</v>
      </c>
      <c r="E20" s="268"/>
      <c r="F20" s="268"/>
      <c r="G20" s="268"/>
      <c r="H20" s="268"/>
      <c r="I20" s="268"/>
      <c r="J20" s="268"/>
      <c r="K20" s="269"/>
      <c r="L20" s="216" t="s">
        <v>37</v>
      </c>
    </row>
    <row r="21" spans="2:12" ht="14.25" customHeight="1" x14ac:dyDescent="0.15">
      <c r="B21" s="210" t="s">
        <v>38</v>
      </c>
      <c r="C21" s="209">
        <v>20140704</v>
      </c>
      <c r="D21" s="263" t="s">
        <v>39</v>
      </c>
      <c r="E21" s="264"/>
      <c r="F21" s="264"/>
      <c r="G21" s="264"/>
      <c r="H21" s="264"/>
      <c r="I21" s="264"/>
      <c r="J21" s="264"/>
      <c r="K21" s="264"/>
      <c r="L21" s="216" t="s">
        <v>16</v>
      </c>
    </row>
    <row r="22" spans="2:12" ht="14.25" customHeight="1" x14ac:dyDescent="0.15">
      <c r="B22" s="208" t="s">
        <v>40</v>
      </c>
      <c r="C22" s="209">
        <v>20140701</v>
      </c>
      <c r="D22" s="244" t="s">
        <v>41</v>
      </c>
      <c r="E22" s="245"/>
      <c r="F22" s="245"/>
      <c r="G22" s="245"/>
      <c r="H22" s="245"/>
      <c r="I22" s="245"/>
      <c r="J22" s="245"/>
      <c r="K22" s="265"/>
      <c r="L22" s="216" t="s">
        <v>37</v>
      </c>
    </row>
    <row r="23" spans="2:12" ht="14.25" customHeight="1" x14ac:dyDescent="0.15">
      <c r="B23" s="208" t="s">
        <v>42</v>
      </c>
      <c r="C23" s="209">
        <v>20140623</v>
      </c>
      <c r="D23" s="244" t="s">
        <v>43</v>
      </c>
      <c r="E23" s="245"/>
      <c r="F23" s="245"/>
      <c r="G23" s="245"/>
      <c r="H23" s="245"/>
      <c r="I23" s="245"/>
      <c r="J23" s="245"/>
      <c r="K23" s="265"/>
      <c r="L23" s="216" t="s">
        <v>37</v>
      </c>
    </row>
    <row r="24" spans="2:12" ht="14.25" customHeight="1" x14ac:dyDescent="0.15">
      <c r="B24" s="210" t="s">
        <v>44</v>
      </c>
      <c r="C24" s="209">
        <v>20140618</v>
      </c>
      <c r="D24" s="263" t="s">
        <v>45</v>
      </c>
      <c r="E24" s="264"/>
      <c r="F24" s="264"/>
      <c r="G24" s="264"/>
      <c r="H24" s="264"/>
      <c r="I24" s="264"/>
      <c r="J24" s="264"/>
      <c r="K24" s="264"/>
      <c r="L24" s="216" t="s">
        <v>16</v>
      </c>
    </row>
    <row r="25" spans="2:12" ht="14.25" customHeight="1" x14ac:dyDescent="0.15">
      <c r="B25" s="210" t="s">
        <v>46</v>
      </c>
      <c r="C25" s="209">
        <v>20140617</v>
      </c>
      <c r="D25" s="263" t="s">
        <v>47</v>
      </c>
      <c r="E25" s="264"/>
      <c r="F25" s="264"/>
      <c r="G25" s="264"/>
      <c r="H25" s="264"/>
      <c r="I25" s="264"/>
      <c r="J25" s="264"/>
      <c r="K25" s="264"/>
      <c r="L25" s="216" t="s">
        <v>48</v>
      </c>
    </row>
    <row r="26" spans="2:12" ht="14.25" customHeight="1" x14ac:dyDescent="0.15">
      <c r="B26" s="210" t="s">
        <v>49</v>
      </c>
      <c r="C26" s="209">
        <v>20140613</v>
      </c>
      <c r="D26" s="263" t="s">
        <v>50</v>
      </c>
      <c r="E26" s="264"/>
      <c r="F26" s="264"/>
      <c r="G26" s="264"/>
      <c r="H26" s="264"/>
      <c r="I26" s="264"/>
      <c r="J26" s="264"/>
      <c r="K26" s="264"/>
      <c r="L26" s="216" t="s">
        <v>16</v>
      </c>
    </row>
    <row r="27" spans="2:12" ht="14.25" customHeight="1" x14ac:dyDescent="0.15">
      <c r="B27" s="210" t="s">
        <v>51</v>
      </c>
      <c r="C27" s="209">
        <v>20140605</v>
      </c>
      <c r="D27" s="263" t="s">
        <v>52</v>
      </c>
      <c r="E27" s="264"/>
      <c r="F27" s="264"/>
      <c r="G27" s="264"/>
      <c r="H27" s="264"/>
      <c r="I27" s="264"/>
      <c r="J27" s="264"/>
      <c r="K27" s="264"/>
      <c r="L27" s="216" t="s">
        <v>37</v>
      </c>
    </row>
    <row r="28" spans="2:12" ht="14.25" customHeight="1" x14ac:dyDescent="0.15">
      <c r="B28" s="210" t="s">
        <v>53</v>
      </c>
      <c r="C28" s="209">
        <v>20140529</v>
      </c>
      <c r="D28" s="244" t="s">
        <v>54</v>
      </c>
      <c r="E28" s="245"/>
      <c r="F28" s="245"/>
      <c r="G28" s="245"/>
      <c r="H28" s="245"/>
      <c r="I28" s="245"/>
      <c r="J28" s="245"/>
      <c r="K28" s="265"/>
      <c r="L28" s="216" t="s">
        <v>55</v>
      </c>
    </row>
    <row r="29" spans="2:12" ht="14.25" customHeight="1" x14ac:dyDescent="0.15">
      <c r="B29" s="210" t="s">
        <v>56</v>
      </c>
      <c r="C29" s="209">
        <v>20140517</v>
      </c>
      <c r="D29" s="263" t="s">
        <v>57</v>
      </c>
      <c r="E29" s="264"/>
      <c r="F29" s="264"/>
      <c r="G29" s="264"/>
      <c r="H29" s="264"/>
      <c r="I29" s="264"/>
      <c r="J29" s="264"/>
      <c r="K29" s="264"/>
      <c r="L29" s="216" t="s">
        <v>58</v>
      </c>
    </row>
    <row r="30" spans="2:12" ht="14.25" customHeight="1" x14ac:dyDescent="0.15">
      <c r="B30" s="210" t="s">
        <v>59</v>
      </c>
      <c r="C30" s="209">
        <v>20140418</v>
      </c>
      <c r="D30" s="263" t="s">
        <v>60</v>
      </c>
      <c r="E30" s="264"/>
      <c r="F30" s="264"/>
      <c r="G30" s="264"/>
      <c r="H30" s="264"/>
      <c r="I30" s="264"/>
      <c r="J30" s="264"/>
      <c r="K30" s="264"/>
      <c r="L30" s="216" t="s">
        <v>16</v>
      </c>
    </row>
    <row r="31" spans="2:12" ht="14.25" customHeight="1" x14ac:dyDescent="0.15">
      <c r="B31" s="210" t="s">
        <v>61</v>
      </c>
      <c r="C31" s="209">
        <v>20140402</v>
      </c>
      <c r="D31" s="263" t="s">
        <v>62</v>
      </c>
      <c r="E31" s="264"/>
      <c r="F31" s="264"/>
      <c r="G31" s="264"/>
      <c r="H31" s="264"/>
      <c r="I31" s="264"/>
      <c r="J31" s="264"/>
      <c r="K31" s="264"/>
      <c r="L31" s="216" t="s">
        <v>16</v>
      </c>
    </row>
    <row r="32" spans="2:12" ht="14.25" customHeight="1" x14ac:dyDescent="0.15">
      <c r="B32" s="210" t="s">
        <v>63</v>
      </c>
      <c r="C32" s="209">
        <v>20140327</v>
      </c>
      <c r="D32" s="263" t="s">
        <v>64</v>
      </c>
      <c r="E32" s="264"/>
      <c r="F32" s="264"/>
      <c r="G32" s="264"/>
      <c r="H32" s="264"/>
      <c r="I32" s="264"/>
      <c r="J32" s="264"/>
      <c r="K32" s="264"/>
      <c r="L32" s="216" t="s">
        <v>16</v>
      </c>
    </row>
    <row r="33" spans="2:12" ht="14.25" customHeight="1" x14ac:dyDescent="0.15">
      <c r="B33" s="210" t="s">
        <v>65</v>
      </c>
      <c r="C33" s="209">
        <v>20140324</v>
      </c>
      <c r="D33" s="263" t="s">
        <v>66</v>
      </c>
      <c r="E33" s="264"/>
      <c r="F33" s="264"/>
      <c r="G33" s="264"/>
      <c r="H33" s="264"/>
      <c r="I33" s="264"/>
      <c r="J33" s="264"/>
      <c r="K33" s="264"/>
      <c r="L33" s="216" t="s">
        <v>16</v>
      </c>
    </row>
    <row r="34" spans="2:12" ht="14.25" customHeight="1" x14ac:dyDescent="0.15">
      <c r="B34" s="210" t="s">
        <v>67</v>
      </c>
      <c r="C34" s="209">
        <v>20140321</v>
      </c>
      <c r="D34" s="263" t="s">
        <v>68</v>
      </c>
      <c r="E34" s="264"/>
      <c r="F34" s="264"/>
      <c r="G34" s="264"/>
      <c r="H34" s="264"/>
      <c r="I34" s="264"/>
      <c r="J34" s="264"/>
      <c r="K34" s="264"/>
      <c r="L34" s="216" t="s">
        <v>16</v>
      </c>
    </row>
    <row r="35" spans="2:12" ht="14.25" customHeight="1" x14ac:dyDescent="0.15">
      <c r="B35" s="210" t="s">
        <v>69</v>
      </c>
      <c r="C35" s="209">
        <v>20140320</v>
      </c>
      <c r="D35" s="263" t="s">
        <v>70</v>
      </c>
      <c r="E35" s="264"/>
      <c r="F35" s="264"/>
      <c r="G35" s="264"/>
      <c r="H35" s="264"/>
      <c r="I35" s="264"/>
      <c r="J35" s="264"/>
      <c r="K35" s="264"/>
      <c r="L35" s="216" t="s">
        <v>9</v>
      </c>
    </row>
    <row r="36" spans="2:12" ht="14.25" customHeight="1" x14ac:dyDescent="0.15">
      <c r="B36" s="210" t="s">
        <v>71</v>
      </c>
      <c r="C36" s="211">
        <v>20140320</v>
      </c>
      <c r="D36" s="248" t="s">
        <v>72</v>
      </c>
      <c r="E36" s="249"/>
      <c r="F36" s="249"/>
      <c r="G36" s="249"/>
      <c r="H36" s="249"/>
      <c r="I36" s="249"/>
      <c r="J36" s="249"/>
      <c r="K36" s="250"/>
      <c r="L36" s="217" t="s">
        <v>73</v>
      </c>
    </row>
    <row r="37" spans="2:12" ht="14.25" customHeight="1" x14ac:dyDescent="0.15">
      <c r="B37" s="210" t="s">
        <v>74</v>
      </c>
      <c r="C37" s="211">
        <v>20140314</v>
      </c>
      <c r="D37" s="248" t="s">
        <v>75</v>
      </c>
      <c r="E37" s="249"/>
      <c r="F37" s="249"/>
      <c r="G37" s="249"/>
      <c r="H37" s="249"/>
      <c r="I37" s="249"/>
      <c r="J37" s="249"/>
      <c r="K37" s="250"/>
      <c r="L37" s="217" t="s">
        <v>37</v>
      </c>
    </row>
    <row r="38" spans="2:12" ht="14.25" customHeight="1" x14ac:dyDescent="0.15">
      <c r="B38" s="208" t="s">
        <v>76</v>
      </c>
      <c r="C38" s="209">
        <v>20140313</v>
      </c>
      <c r="D38" s="263" t="s">
        <v>77</v>
      </c>
      <c r="E38" s="264"/>
      <c r="F38" s="264"/>
      <c r="G38" s="264"/>
      <c r="H38" s="264"/>
      <c r="I38" s="264"/>
      <c r="J38" s="264"/>
      <c r="K38" s="264"/>
      <c r="L38" s="216" t="s">
        <v>9</v>
      </c>
    </row>
    <row r="39" spans="2:12" ht="14.25" customHeight="1" x14ac:dyDescent="0.15">
      <c r="B39" s="210" t="s">
        <v>78</v>
      </c>
      <c r="C39" s="211">
        <v>20140307</v>
      </c>
      <c r="D39" s="248" t="s">
        <v>79</v>
      </c>
      <c r="E39" s="249"/>
      <c r="F39" s="249"/>
      <c r="G39" s="249"/>
      <c r="H39" s="249"/>
      <c r="I39" s="249"/>
      <c r="J39" s="249"/>
      <c r="K39" s="250"/>
      <c r="L39" s="217" t="s">
        <v>37</v>
      </c>
    </row>
    <row r="40" spans="2:12" ht="14.25" customHeight="1" x14ac:dyDescent="0.15">
      <c r="B40" s="210" t="s">
        <v>80</v>
      </c>
      <c r="C40" s="211">
        <v>20140305</v>
      </c>
      <c r="D40" s="248" t="s">
        <v>81</v>
      </c>
      <c r="E40" s="249"/>
      <c r="F40" s="249"/>
      <c r="G40" s="249"/>
      <c r="H40" s="249"/>
      <c r="I40" s="249"/>
      <c r="J40" s="249"/>
      <c r="K40" s="250"/>
      <c r="L40" s="217" t="s">
        <v>37</v>
      </c>
    </row>
    <row r="41" spans="2:12" ht="14.25" customHeight="1" x14ac:dyDescent="0.15">
      <c r="B41" s="210" t="s">
        <v>82</v>
      </c>
      <c r="C41" s="211">
        <v>20140228</v>
      </c>
      <c r="D41" s="258" t="s">
        <v>83</v>
      </c>
      <c r="E41" s="258"/>
      <c r="F41" s="258"/>
      <c r="G41" s="258"/>
      <c r="H41" s="258"/>
      <c r="I41" s="258"/>
      <c r="J41" s="258"/>
      <c r="K41" s="258"/>
      <c r="L41" s="217" t="s">
        <v>37</v>
      </c>
    </row>
    <row r="42" spans="2:12" ht="14.25" customHeight="1" x14ac:dyDescent="0.15">
      <c r="B42" s="210" t="s">
        <v>84</v>
      </c>
      <c r="C42" s="211">
        <v>20140227</v>
      </c>
      <c r="D42" s="258" t="s">
        <v>85</v>
      </c>
      <c r="E42" s="259"/>
      <c r="F42" s="259"/>
      <c r="G42" s="259"/>
      <c r="H42" s="259"/>
      <c r="I42" s="259"/>
      <c r="J42" s="259"/>
      <c r="K42" s="259"/>
      <c r="L42" s="217" t="s">
        <v>9</v>
      </c>
    </row>
    <row r="43" spans="2:12" ht="14.25" customHeight="1" x14ac:dyDescent="0.15">
      <c r="B43" s="210" t="s">
        <v>86</v>
      </c>
      <c r="C43" s="211">
        <v>20140217</v>
      </c>
      <c r="D43" s="260" t="s">
        <v>87</v>
      </c>
      <c r="E43" s="261"/>
      <c r="F43" s="261"/>
      <c r="G43" s="261"/>
      <c r="H43" s="261"/>
      <c r="I43" s="261"/>
      <c r="J43" s="261"/>
      <c r="K43" s="262"/>
      <c r="L43" s="217" t="s">
        <v>16</v>
      </c>
    </row>
    <row r="44" spans="2:12" ht="14.25" customHeight="1" x14ac:dyDescent="0.15">
      <c r="B44" s="210" t="s">
        <v>88</v>
      </c>
      <c r="C44" s="211">
        <v>20140127</v>
      </c>
      <c r="D44" s="260" t="s">
        <v>89</v>
      </c>
      <c r="E44" s="261"/>
      <c r="F44" s="261"/>
      <c r="G44" s="261"/>
      <c r="H44" s="261"/>
      <c r="I44" s="261"/>
      <c r="J44" s="261"/>
      <c r="K44" s="262"/>
      <c r="L44" s="217" t="s">
        <v>90</v>
      </c>
    </row>
    <row r="45" spans="2:12" ht="14.25" customHeight="1" x14ac:dyDescent="0.15">
      <c r="B45" s="210" t="s">
        <v>91</v>
      </c>
      <c r="C45" s="211">
        <v>20140122</v>
      </c>
      <c r="D45" s="248" t="s">
        <v>92</v>
      </c>
      <c r="E45" s="249"/>
      <c r="F45" s="249"/>
      <c r="G45" s="249"/>
      <c r="H45" s="249"/>
      <c r="I45" s="249"/>
      <c r="J45" s="249"/>
      <c r="K45" s="250"/>
      <c r="L45" s="217" t="s">
        <v>9</v>
      </c>
    </row>
    <row r="46" spans="2:12" ht="14.25" customHeight="1" x14ac:dyDescent="0.15">
      <c r="B46" s="210" t="s">
        <v>93</v>
      </c>
      <c r="C46" s="211">
        <v>20140106</v>
      </c>
      <c r="D46" s="248" t="s">
        <v>94</v>
      </c>
      <c r="E46" s="249"/>
      <c r="F46" s="249"/>
      <c r="G46" s="249"/>
      <c r="H46" s="249"/>
      <c r="I46" s="249"/>
      <c r="J46" s="249"/>
      <c r="K46" s="250"/>
      <c r="L46" s="217" t="s">
        <v>16</v>
      </c>
    </row>
    <row r="47" spans="2:12" ht="14.25" customHeight="1" x14ac:dyDescent="0.15">
      <c r="B47" s="210" t="s">
        <v>95</v>
      </c>
      <c r="C47" s="211">
        <v>20131217</v>
      </c>
      <c r="D47" s="248" t="s">
        <v>96</v>
      </c>
      <c r="E47" s="249"/>
      <c r="F47" s="249"/>
      <c r="G47" s="249"/>
      <c r="H47" s="249"/>
      <c r="I47" s="249"/>
      <c r="J47" s="249"/>
      <c r="K47" s="250"/>
      <c r="L47" s="217" t="s">
        <v>97</v>
      </c>
    </row>
    <row r="48" spans="2:12" ht="14.25" customHeight="1" x14ac:dyDescent="0.15">
      <c r="B48" s="210" t="s">
        <v>98</v>
      </c>
      <c r="C48" s="211">
        <v>20131119</v>
      </c>
      <c r="D48" s="258" t="s">
        <v>99</v>
      </c>
      <c r="E48" s="259"/>
      <c r="F48" s="259"/>
      <c r="G48" s="259"/>
      <c r="H48" s="259"/>
      <c r="I48" s="259"/>
      <c r="J48" s="259"/>
      <c r="K48" s="259"/>
      <c r="L48" s="217"/>
    </row>
    <row r="49" spans="2:12" ht="14.25" customHeight="1" x14ac:dyDescent="0.15">
      <c r="B49" s="210" t="s">
        <v>100</v>
      </c>
      <c r="C49" s="211">
        <v>20131031</v>
      </c>
      <c r="D49" s="253" t="s">
        <v>101</v>
      </c>
      <c r="E49" s="254"/>
      <c r="F49" s="254"/>
      <c r="G49" s="254"/>
      <c r="H49" s="254"/>
      <c r="I49" s="254"/>
      <c r="J49" s="254"/>
      <c r="K49" s="255"/>
      <c r="L49" s="217" t="s">
        <v>16</v>
      </c>
    </row>
    <row r="50" spans="2:12" x14ac:dyDescent="0.15">
      <c r="B50" s="210" t="s">
        <v>102</v>
      </c>
      <c r="C50" s="211">
        <v>20130911</v>
      </c>
      <c r="D50" s="253" t="s">
        <v>103</v>
      </c>
      <c r="E50" s="254"/>
      <c r="F50" s="254"/>
      <c r="G50" s="254"/>
      <c r="H50" s="254"/>
      <c r="I50" s="254"/>
      <c r="J50" s="254"/>
      <c r="K50" s="255"/>
      <c r="L50" s="217" t="s">
        <v>16</v>
      </c>
    </row>
    <row r="51" spans="2:12" x14ac:dyDescent="0.15">
      <c r="B51" s="210" t="s">
        <v>104</v>
      </c>
      <c r="C51" s="211">
        <v>20130827</v>
      </c>
      <c r="D51" s="253" t="s">
        <v>105</v>
      </c>
      <c r="E51" s="254"/>
      <c r="F51" s="254"/>
      <c r="G51" s="254"/>
      <c r="H51" s="254"/>
      <c r="I51" s="254"/>
      <c r="J51" s="254"/>
      <c r="K51" s="255"/>
      <c r="L51" s="217" t="s">
        <v>9</v>
      </c>
    </row>
    <row r="52" spans="2:12" x14ac:dyDescent="0.15">
      <c r="B52" s="210" t="s">
        <v>106</v>
      </c>
      <c r="C52" s="211">
        <v>20130813</v>
      </c>
      <c r="D52" s="253" t="s">
        <v>107</v>
      </c>
      <c r="E52" s="254"/>
      <c r="F52" s="254"/>
      <c r="G52" s="254"/>
      <c r="H52" s="254"/>
      <c r="I52" s="254"/>
      <c r="J52" s="254"/>
      <c r="K52" s="255"/>
      <c r="L52" s="217" t="s">
        <v>16</v>
      </c>
    </row>
    <row r="53" spans="2:12" x14ac:dyDescent="0.15">
      <c r="B53" s="210" t="s">
        <v>108</v>
      </c>
      <c r="C53" s="211">
        <v>20130801</v>
      </c>
      <c r="D53" s="253" t="s">
        <v>109</v>
      </c>
      <c r="E53" s="254"/>
      <c r="F53" s="254"/>
      <c r="G53" s="254"/>
      <c r="H53" s="254"/>
      <c r="I53" s="254"/>
      <c r="J53" s="254"/>
      <c r="K53" s="255"/>
      <c r="L53" s="217" t="s">
        <v>110</v>
      </c>
    </row>
    <row r="54" spans="2:12" x14ac:dyDescent="0.15">
      <c r="B54" s="210" t="s">
        <v>111</v>
      </c>
      <c r="C54" s="211">
        <v>20130730</v>
      </c>
      <c r="D54" s="253" t="s">
        <v>112</v>
      </c>
      <c r="E54" s="254"/>
      <c r="F54" s="254"/>
      <c r="G54" s="254"/>
      <c r="H54" s="254"/>
      <c r="I54" s="254"/>
      <c r="J54" s="254"/>
      <c r="K54" s="255"/>
      <c r="L54" s="217" t="s">
        <v>16</v>
      </c>
    </row>
    <row r="55" spans="2:12" x14ac:dyDescent="0.15">
      <c r="B55" s="210" t="s">
        <v>113</v>
      </c>
      <c r="C55" s="211">
        <v>20130730</v>
      </c>
      <c r="D55" s="253" t="s">
        <v>114</v>
      </c>
      <c r="E55" s="254"/>
      <c r="F55" s="254"/>
      <c r="G55" s="254"/>
      <c r="H55" s="254"/>
      <c r="I55" s="254"/>
      <c r="J55" s="254"/>
      <c r="K55" s="255"/>
      <c r="L55" s="217"/>
    </row>
    <row r="56" spans="2:12" ht="12.75" customHeight="1" x14ac:dyDescent="0.15">
      <c r="B56" s="210" t="s">
        <v>115</v>
      </c>
      <c r="C56" s="211">
        <v>20130527</v>
      </c>
      <c r="D56" s="253" t="s">
        <v>116</v>
      </c>
      <c r="E56" s="254"/>
      <c r="F56" s="254"/>
      <c r="G56" s="254"/>
      <c r="H56" s="254"/>
      <c r="I56" s="254"/>
      <c r="J56" s="254"/>
      <c r="K56" s="255"/>
      <c r="L56" s="217" t="s">
        <v>37</v>
      </c>
    </row>
    <row r="57" spans="2:12" x14ac:dyDescent="0.15">
      <c r="B57" s="210" t="s">
        <v>117</v>
      </c>
      <c r="C57" s="211">
        <v>20130508</v>
      </c>
      <c r="D57" s="253" t="s">
        <v>118</v>
      </c>
      <c r="E57" s="254"/>
      <c r="F57" s="254"/>
      <c r="G57" s="254"/>
      <c r="H57" s="254"/>
      <c r="I57" s="254"/>
      <c r="J57" s="254"/>
      <c r="K57" s="255"/>
      <c r="L57" s="217" t="s">
        <v>119</v>
      </c>
    </row>
    <row r="58" spans="2:12" x14ac:dyDescent="0.15">
      <c r="B58" s="210" t="s">
        <v>120</v>
      </c>
      <c r="C58" s="211">
        <v>20130422</v>
      </c>
      <c r="D58" s="253" t="s">
        <v>121</v>
      </c>
      <c r="E58" s="254"/>
      <c r="F58" s="254"/>
      <c r="G58" s="254"/>
      <c r="H58" s="254"/>
      <c r="I58" s="254"/>
      <c r="J58" s="254"/>
      <c r="K58" s="255"/>
      <c r="L58" s="217" t="s">
        <v>119</v>
      </c>
    </row>
    <row r="59" spans="2:12" x14ac:dyDescent="0.15">
      <c r="B59" s="210" t="s">
        <v>122</v>
      </c>
      <c r="C59" s="211">
        <v>20130114</v>
      </c>
      <c r="D59" s="253" t="s">
        <v>123</v>
      </c>
      <c r="E59" s="256"/>
      <c r="F59" s="256"/>
      <c r="G59" s="256"/>
      <c r="H59" s="256"/>
      <c r="I59" s="256"/>
      <c r="J59" s="256"/>
      <c r="K59" s="257"/>
      <c r="L59" s="217" t="s">
        <v>124</v>
      </c>
    </row>
    <row r="60" spans="2:12" ht="15.75" customHeight="1" x14ac:dyDescent="0.15">
      <c r="B60" s="210" t="s">
        <v>125</v>
      </c>
      <c r="C60" s="211">
        <v>20121220</v>
      </c>
      <c r="D60" s="248" t="s">
        <v>126</v>
      </c>
      <c r="E60" s="251"/>
      <c r="F60" s="251"/>
      <c r="G60" s="251"/>
      <c r="H60" s="251"/>
      <c r="I60" s="251"/>
      <c r="J60" s="251"/>
      <c r="K60" s="252"/>
      <c r="L60" s="217" t="s">
        <v>127</v>
      </c>
    </row>
    <row r="61" spans="2:12" ht="15.75" customHeight="1" x14ac:dyDescent="0.15">
      <c r="B61" s="210" t="s">
        <v>128</v>
      </c>
      <c r="C61" s="211">
        <v>20121204</v>
      </c>
      <c r="D61" s="248" t="s">
        <v>129</v>
      </c>
      <c r="E61" s="251"/>
      <c r="F61" s="251"/>
      <c r="G61" s="251"/>
      <c r="H61" s="251"/>
      <c r="I61" s="251"/>
      <c r="J61" s="251"/>
      <c r="K61" s="252"/>
      <c r="L61" s="217" t="s">
        <v>127</v>
      </c>
    </row>
    <row r="62" spans="2:12" x14ac:dyDescent="0.15">
      <c r="B62" s="210" t="s">
        <v>130</v>
      </c>
      <c r="C62" s="211">
        <v>20121129</v>
      </c>
      <c r="D62" s="248" t="s">
        <v>131</v>
      </c>
      <c r="E62" s="251"/>
      <c r="F62" s="251"/>
      <c r="G62" s="251"/>
      <c r="H62" s="251"/>
      <c r="I62" s="251"/>
      <c r="J62" s="251"/>
      <c r="K62" s="252"/>
      <c r="L62" s="217" t="s">
        <v>127</v>
      </c>
    </row>
    <row r="63" spans="2:12" x14ac:dyDescent="0.15">
      <c r="B63" s="210" t="s">
        <v>132</v>
      </c>
      <c r="C63" s="211">
        <v>20121129</v>
      </c>
      <c r="D63" s="248" t="s">
        <v>133</v>
      </c>
      <c r="E63" s="249"/>
      <c r="F63" s="249"/>
      <c r="G63" s="249"/>
      <c r="H63" s="249"/>
      <c r="I63" s="249"/>
      <c r="J63" s="249"/>
      <c r="K63" s="250"/>
      <c r="L63" s="217"/>
    </row>
    <row r="64" spans="2:12" x14ac:dyDescent="0.15">
      <c r="B64" s="210" t="s">
        <v>134</v>
      </c>
      <c r="C64" s="211">
        <v>20111116</v>
      </c>
      <c r="D64" s="248" t="s">
        <v>135</v>
      </c>
      <c r="E64" s="249"/>
      <c r="F64" s="249"/>
      <c r="G64" s="249"/>
      <c r="H64" s="249"/>
      <c r="I64" s="249"/>
      <c r="J64" s="249"/>
      <c r="K64" s="250"/>
      <c r="L64" s="217" t="s">
        <v>37</v>
      </c>
    </row>
    <row r="65" spans="2:12" x14ac:dyDescent="0.15">
      <c r="B65" s="210" t="s">
        <v>136</v>
      </c>
      <c r="C65" s="211">
        <v>20121106</v>
      </c>
      <c r="D65" s="248" t="s">
        <v>137</v>
      </c>
      <c r="E65" s="249"/>
      <c r="F65" s="249"/>
      <c r="G65" s="249"/>
      <c r="H65" s="249"/>
      <c r="I65" s="249"/>
      <c r="J65" s="249"/>
      <c r="K65" s="250"/>
      <c r="L65" s="217" t="s">
        <v>138</v>
      </c>
    </row>
    <row r="66" spans="2:12" x14ac:dyDescent="0.15">
      <c r="B66" s="210" t="s">
        <v>139</v>
      </c>
      <c r="C66" s="211">
        <v>20121101</v>
      </c>
      <c r="D66" s="248" t="s">
        <v>140</v>
      </c>
      <c r="E66" s="249"/>
      <c r="F66" s="249"/>
      <c r="G66" s="249"/>
      <c r="H66" s="249"/>
      <c r="I66" s="249"/>
      <c r="J66" s="249"/>
      <c r="K66" s="250"/>
      <c r="L66" s="217" t="s">
        <v>124</v>
      </c>
    </row>
    <row r="67" spans="2:12" x14ac:dyDescent="0.15">
      <c r="B67" s="210" t="s">
        <v>141</v>
      </c>
      <c r="C67" s="211">
        <v>20121012</v>
      </c>
      <c r="D67" s="248" t="s">
        <v>142</v>
      </c>
      <c r="E67" s="249"/>
      <c r="F67" s="249"/>
      <c r="G67" s="249"/>
      <c r="H67" s="249"/>
      <c r="I67" s="249"/>
      <c r="J67" s="249"/>
      <c r="K67" s="250"/>
      <c r="L67" s="217" t="s">
        <v>124</v>
      </c>
    </row>
    <row r="68" spans="2:12" x14ac:dyDescent="0.15">
      <c r="B68" s="212" t="s">
        <v>143</v>
      </c>
      <c r="C68" s="213">
        <v>20120919</v>
      </c>
      <c r="D68" s="241" t="s">
        <v>144</v>
      </c>
      <c r="E68" s="242"/>
      <c r="F68" s="242"/>
      <c r="G68" s="242"/>
      <c r="H68" s="242"/>
      <c r="I68" s="242"/>
      <c r="J68" s="242"/>
      <c r="K68" s="243"/>
      <c r="L68" s="218" t="s">
        <v>58</v>
      </c>
    </row>
    <row r="69" spans="2:12" ht="13.5" customHeight="1" x14ac:dyDescent="0.15">
      <c r="B69" s="212" t="s">
        <v>145</v>
      </c>
      <c r="C69" s="213">
        <v>20120911</v>
      </c>
      <c r="D69" s="241" t="s">
        <v>146</v>
      </c>
      <c r="E69" s="242"/>
      <c r="F69" s="242"/>
      <c r="G69" s="242"/>
      <c r="H69" s="242"/>
      <c r="I69" s="242"/>
      <c r="J69" s="242"/>
      <c r="K69" s="243"/>
      <c r="L69" s="218" t="s">
        <v>147</v>
      </c>
    </row>
    <row r="70" spans="2:12" ht="13.5" customHeight="1" x14ac:dyDescent="0.15">
      <c r="B70" s="212" t="s">
        <v>148</v>
      </c>
      <c r="C70" s="213">
        <v>20120720</v>
      </c>
      <c r="D70" s="241" t="s">
        <v>149</v>
      </c>
      <c r="E70" s="242"/>
      <c r="F70" s="242"/>
      <c r="G70" s="242"/>
      <c r="H70" s="242"/>
      <c r="I70" s="242"/>
      <c r="J70" s="242"/>
      <c r="K70" s="243"/>
      <c r="L70" s="218" t="s">
        <v>150</v>
      </c>
    </row>
    <row r="71" spans="2:12" ht="13.5" customHeight="1" x14ac:dyDescent="0.15">
      <c r="B71" s="212" t="s">
        <v>151</v>
      </c>
      <c r="C71" s="213">
        <v>20120626</v>
      </c>
      <c r="D71" s="241" t="s">
        <v>152</v>
      </c>
      <c r="E71" s="242"/>
      <c r="F71" s="242"/>
      <c r="G71" s="242"/>
      <c r="H71" s="242"/>
      <c r="I71" s="242"/>
      <c r="J71" s="242"/>
      <c r="K71" s="243"/>
      <c r="L71" s="218" t="s">
        <v>153</v>
      </c>
    </row>
    <row r="72" spans="2:12" x14ac:dyDescent="0.15">
      <c r="B72" s="212" t="s">
        <v>154</v>
      </c>
      <c r="C72" s="213">
        <v>20120525</v>
      </c>
      <c r="D72" s="244" t="s">
        <v>155</v>
      </c>
      <c r="E72" s="245"/>
      <c r="F72" s="245"/>
      <c r="G72" s="245"/>
      <c r="H72" s="245"/>
      <c r="I72" s="245"/>
      <c r="J72" s="245"/>
      <c r="K72" s="245"/>
      <c r="L72" s="218" t="s">
        <v>147</v>
      </c>
    </row>
    <row r="73" spans="2:12" x14ac:dyDescent="0.15">
      <c r="B73" s="212" t="s">
        <v>156</v>
      </c>
      <c r="C73" s="213">
        <v>20120517</v>
      </c>
      <c r="D73" s="244" t="s">
        <v>157</v>
      </c>
      <c r="E73" s="245"/>
      <c r="F73" s="245"/>
      <c r="G73" s="245"/>
      <c r="H73" s="245"/>
      <c r="I73" s="245"/>
      <c r="J73" s="245"/>
      <c r="K73" s="245"/>
      <c r="L73" s="218" t="s">
        <v>138</v>
      </c>
    </row>
    <row r="74" spans="2:12" ht="16.5" customHeight="1" x14ac:dyDescent="0.15">
      <c r="B74" s="212" t="s">
        <v>158</v>
      </c>
      <c r="C74" s="213">
        <v>20120425</v>
      </c>
      <c r="D74" s="244" t="s">
        <v>159</v>
      </c>
      <c r="E74" s="245"/>
      <c r="F74" s="245"/>
      <c r="G74" s="245"/>
      <c r="H74" s="245"/>
      <c r="I74" s="245"/>
      <c r="J74" s="245"/>
      <c r="K74" s="245"/>
      <c r="L74" s="218" t="s">
        <v>153</v>
      </c>
    </row>
    <row r="75" spans="2:12" x14ac:dyDescent="0.15">
      <c r="B75" s="219" t="s">
        <v>160</v>
      </c>
      <c r="C75" s="220">
        <v>20120411</v>
      </c>
      <c r="D75" s="246" t="s">
        <v>161</v>
      </c>
      <c r="E75" s="247"/>
      <c r="F75" s="247"/>
      <c r="G75" s="247"/>
      <c r="H75" s="247"/>
      <c r="I75" s="247"/>
      <c r="J75" s="247"/>
      <c r="K75" s="247"/>
      <c r="L75" s="221" t="s">
        <v>162</v>
      </c>
    </row>
  </sheetData>
  <mergeCells count="74">
    <mergeCell ref="D2:K2"/>
    <mergeCell ref="D7:K7"/>
    <mergeCell ref="D8:K8"/>
    <mergeCell ref="D9:K9"/>
    <mergeCell ref="D10:K10"/>
    <mergeCell ref="D6:K6"/>
    <mergeCell ref="D5:K5"/>
    <mergeCell ref="D4:K4"/>
    <mergeCell ref="D3:K3"/>
    <mergeCell ref="D11:K11"/>
    <mergeCell ref="D12:K12"/>
    <mergeCell ref="D13:K13"/>
    <mergeCell ref="D14:K14"/>
    <mergeCell ref="D15:K15"/>
    <mergeCell ref="D16:K16"/>
    <mergeCell ref="D17:K17"/>
    <mergeCell ref="D18:K18"/>
    <mergeCell ref="D19:K19"/>
    <mergeCell ref="D20:K20"/>
    <mergeCell ref="D21:K21"/>
    <mergeCell ref="D22:K22"/>
    <mergeCell ref="D23:K23"/>
    <mergeCell ref="D24:K24"/>
    <mergeCell ref="D25:K25"/>
    <mergeCell ref="D26:K26"/>
    <mergeCell ref="D27:K27"/>
    <mergeCell ref="D28:K28"/>
    <mergeCell ref="D29:K29"/>
    <mergeCell ref="D30:K30"/>
    <mergeCell ref="D31:K31"/>
    <mergeCell ref="D32:K32"/>
    <mergeCell ref="D33:K33"/>
    <mergeCell ref="D34:K34"/>
    <mergeCell ref="D35:K35"/>
    <mergeCell ref="D36:K36"/>
    <mergeCell ref="D37:K37"/>
    <mergeCell ref="D38:K38"/>
    <mergeCell ref="D39:K39"/>
    <mergeCell ref="D40:K40"/>
    <mergeCell ref="D41:K41"/>
    <mergeCell ref="D42:K42"/>
    <mergeCell ref="D43:K43"/>
    <mergeCell ref="D44:K44"/>
    <mergeCell ref="D45:K45"/>
    <mergeCell ref="D46:K46"/>
    <mergeCell ref="D47:K47"/>
    <mergeCell ref="D48:K48"/>
    <mergeCell ref="D49:K49"/>
    <mergeCell ref="D50:K50"/>
    <mergeCell ref="D51:K51"/>
    <mergeCell ref="D52:K52"/>
    <mergeCell ref="D53:K53"/>
    <mergeCell ref="D54:K54"/>
    <mergeCell ref="D55:K55"/>
    <mergeCell ref="D56:K56"/>
    <mergeCell ref="D57:K57"/>
    <mergeCell ref="D58:K58"/>
    <mergeCell ref="D59:K59"/>
    <mergeCell ref="D60:K60"/>
    <mergeCell ref="D61:K61"/>
    <mergeCell ref="D62:K62"/>
    <mergeCell ref="D63:K63"/>
    <mergeCell ref="D64:K64"/>
    <mergeCell ref="D65:K65"/>
    <mergeCell ref="D66:K66"/>
    <mergeCell ref="D67:K67"/>
    <mergeCell ref="D68:K68"/>
    <mergeCell ref="D69:K69"/>
    <mergeCell ref="D70:K70"/>
    <mergeCell ref="D71:K71"/>
    <mergeCell ref="D72:K72"/>
    <mergeCell ref="D73:K73"/>
    <mergeCell ref="D74:K74"/>
    <mergeCell ref="D75:K75"/>
  </mergeCells>
  <phoneticPr fontId="19" type="noConversion"/>
  <pageMargins left="0.69930555555555596" right="0.6993055555555559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E179"/>
  <sheetViews>
    <sheetView workbookViewId="0">
      <pane ySplit="2" topLeftCell="A64" activePane="bottomLeft" state="frozen"/>
      <selection pane="bottomLeft" activeCell="C76" sqref="C76"/>
    </sheetView>
  </sheetViews>
  <sheetFormatPr defaultColWidth="9" defaultRowHeight="15.95" customHeight="1" x14ac:dyDescent="0.15"/>
  <cols>
    <col min="1" max="1" width="2.625" style="2" customWidth="1"/>
    <col min="2" max="2" width="23.375" style="2" customWidth="1"/>
    <col min="3" max="3" width="16.5" style="185" customWidth="1"/>
    <col min="4" max="4" width="51.375" style="2" customWidth="1"/>
    <col min="5" max="5" width="14.75" style="185" customWidth="1"/>
    <col min="6" max="6" width="9" style="2"/>
    <col min="7" max="7" width="25.75" style="2" customWidth="1"/>
    <col min="8" max="16384" width="9" style="2"/>
  </cols>
  <sheetData>
    <row r="1" spans="2:5" ht="10.5" customHeight="1" x14ac:dyDescent="0.15"/>
    <row r="2" spans="2:5" ht="15.95" customHeight="1" x14ac:dyDescent="0.15">
      <c r="B2" s="186"/>
      <c r="C2" s="187" t="s">
        <v>163</v>
      </c>
      <c r="D2" s="187" t="s">
        <v>164</v>
      </c>
      <c r="E2" s="188" t="s">
        <v>165</v>
      </c>
    </row>
    <row r="3" spans="2:5" ht="15.95" customHeight="1" x14ac:dyDescent="0.15">
      <c r="B3" s="279" t="s">
        <v>166</v>
      </c>
      <c r="C3" s="189">
        <v>101020</v>
      </c>
      <c r="D3" s="190" t="s">
        <v>167</v>
      </c>
      <c r="E3" s="191"/>
    </row>
    <row r="4" spans="2:5" ht="15.95" customHeight="1" x14ac:dyDescent="0.15">
      <c r="B4" s="278"/>
      <c r="C4" s="189">
        <v>101004</v>
      </c>
      <c r="D4" s="190" t="s">
        <v>168</v>
      </c>
      <c r="E4" s="191" t="s">
        <v>169</v>
      </c>
    </row>
    <row r="5" spans="2:5" ht="15.95" customHeight="1" x14ac:dyDescent="0.15">
      <c r="B5" s="278"/>
      <c r="C5" s="189">
        <v>102002</v>
      </c>
      <c r="D5" s="192" t="s">
        <v>170</v>
      </c>
      <c r="E5" s="193" t="s">
        <v>169</v>
      </c>
    </row>
    <row r="6" spans="2:5" ht="15.95" customHeight="1" x14ac:dyDescent="0.15">
      <c r="B6" s="278"/>
      <c r="C6" s="189">
        <v>103010</v>
      </c>
      <c r="D6" s="192" t="s">
        <v>171</v>
      </c>
      <c r="E6" s="193" t="s">
        <v>169</v>
      </c>
    </row>
    <row r="7" spans="2:5" ht="15.95" customHeight="1" x14ac:dyDescent="0.15">
      <c r="B7" s="278"/>
      <c r="C7" s="189">
        <v>104060</v>
      </c>
      <c r="D7" s="190" t="s">
        <v>172</v>
      </c>
      <c r="E7" s="193"/>
    </row>
    <row r="8" spans="2:5" ht="15.95" customHeight="1" x14ac:dyDescent="0.15">
      <c r="B8" s="278"/>
      <c r="C8" s="189">
        <v>104011</v>
      </c>
      <c r="D8" s="190" t="s">
        <v>4123</v>
      </c>
      <c r="E8" s="193" t="s">
        <v>4124</v>
      </c>
    </row>
    <row r="9" spans="2:5" ht="15.95" customHeight="1" x14ac:dyDescent="0.15">
      <c r="B9" s="278"/>
      <c r="C9" s="189">
        <v>104061</v>
      </c>
      <c r="D9" s="190" t="s">
        <v>173</v>
      </c>
      <c r="E9" s="193"/>
    </row>
    <row r="10" spans="2:5" ht="15.95" customHeight="1" x14ac:dyDescent="0.15">
      <c r="B10" s="278"/>
      <c r="C10" s="189">
        <v>104062</v>
      </c>
      <c r="D10" s="190" t="s">
        <v>174</v>
      </c>
      <c r="E10" s="193"/>
    </row>
    <row r="11" spans="2:5" ht="15.95" customHeight="1" x14ac:dyDescent="0.15">
      <c r="B11" s="278"/>
      <c r="C11" s="194">
        <v>101007</v>
      </c>
      <c r="D11" s="190" t="s">
        <v>175</v>
      </c>
      <c r="E11" s="191" t="s">
        <v>169</v>
      </c>
    </row>
    <row r="12" spans="2:5" ht="15.95" customHeight="1" x14ac:dyDescent="0.15">
      <c r="B12" s="278"/>
      <c r="C12" s="194">
        <v>103001</v>
      </c>
      <c r="D12" s="190" t="s">
        <v>176</v>
      </c>
      <c r="E12" s="191" t="s">
        <v>169</v>
      </c>
    </row>
    <row r="13" spans="2:5" ht="15.95" customHeight="1" x14ac:dyDescent="0.15">
      <c r="B13" s="280" t="s">
        <v>177</v>
      </c>
      <c r="C13" s="189">
        <v>190101</v>
      </c>
      <c r="D13" s="190" t="s">
        <v>178</v>
      </c>
      <c r="E13" s="191"/>
    </row>
    <row r="14" spans="2:5" ht="15.95" customHeight="1" x14ac:dyDescent="0.15">
      <c r="B14" s="281"/>
      <c r="C14" s="189">
        <v>190102</v>
      </c>
      <c r="D14" s="190" t="s">
        <v>179</v>
      </c>
      <c r="E14" s="191"/>
    </row>
    <row r="15" spans="2:5" ht="15.95" customHeight="1" x14ac:dyDescent="0.15">
      <c r="B15" s="281"/>
      <c r="C15" s="189">
        <v>202010</v>
      </c>
      <c r="D15" s="190" t="s">
        <v>180</v>
      </c>
      <c r="E15" s="191"/>
    </row>
    <row r="16" spans="2:5" ht="15.95" customHeight="1" x14ac:dyDescent="0.15">
      <c r="B16" s="281"/>
      <c r="C16" s="189">
        <v>202012</v>
      </c>
      <c r="D16" s="190" t="s">
        <v>181</v>
      </c>
      <c r="E16" s="191"/>
    </row>
    <row r="17" spans="2:5" ht="15.95" customHeight="1" x14ac:dyDescent="0.15">
      <c r="B17" s="281"/>
      <c r="C17" s="189">
        <v>302001</v>
      </c>
      <c r="D17" s="190" t="s">
        <v>182</v>
      </c>
      <c r="E17" s="191"/>
    </row>
    <row r="18" spans="2:5" ht="15.95" customHeight="1" x14ac:dyDescent="0.15">
      <c r="B18" s="281"/>
      <c r="C18" s="189">
        <v>302050</v>
      </c>
      <c r="D18" s="190" t="s">
        <v>183</v>
      </c>
      <c r="E18" s="191"/>
    </row>
    <row r="19" spans="2:5" ht="15.95" customHeight="1" x14ac:dyDescent="0.15">
      <c r="B19" s="281"/>
      <c r="C19" s="189">
        <v>202002</v>
      </c>
      <c r="D19" s="192" t="s">
        <v>184</v>
      </c>
      <c r="E19" s="193"/>
    </row>
    <row r="20" spans="2:5" ht="15.95" customHeight="1" x14ac:dyDescent="0.15">
      <c r="B20" s="281"/>
      <c r="C20" s="189">
        <v>202018</v>
      </c>
      <c r="D20" s="192" t="s">
        <v>185</v>
      </c>
      <c r="E20" s="193"/>
    </row>
    <row r="21" spans="2:5" ht="15.95" customHeight="1" x14ac:dyDescent="0.15">
      <c r="B21" s="281"/>
      <c r="C21" s="189">
        <v>302003</v>
      </c>
      <c r="D21" s="192" t="s">
        <v>186</v>
      </c>
      <c r="E21" s="193" t="s">
        <v>169</v>
      </c>
    </row>
    <row r="22" spans="2:5" ht="15.95" customHeight="1" x14ac:dyDescent="0.15">
      <c r="B22" s="281"/>
      <c r="C22" s="189">
        <v>202046</v>
      </c>
      <c r="D22" s="192" t="s">
        <v>187</v>
      </c>
      <c r="E22" s="193"/>
    </row>
    <row r="23" spans="2:5" ht="15.95" customHeight="1" x14ac:dyDescent="0.15">
      <c r="B23" s="281"/>
      <c r="C23" s="189">
        <v>202047</v>
      </c>
      <c r="D23" s="192" t="s">
        <v>188</v>
      </c>
      <c r="E23" s="193"/>
    </row>
    <row r="24" spans="2:5" ht="15.95" customHeight="1" x14ac:dyDescent="0.15">
      <c r="B24" s="281"/>
      <c r="C24" s="189">
        <v>202048</v>
      </c>
      <c r="D24" s="192" t="s">
        <v>189</v>
      </c>
      <c r="E24" s="193"/>
    </row>
    <row r="25" spans="2:5" ht="15.95" customHeight="1" x14ac:dyDescent="0.15">
      <c r="B25" s="281"/>
      <c r="C25" s="189">
        <v>302005</v>
      </c>
      <c r="D25" s="192" t="s">
        <v>190</v>
      </c>
      <c r="E25" s="193" t="s">
        <v>169</v>
      </c>
    </row>
    <row r="26" spans="2:5" ht="15.95" customHeight="1" x14ac:dyDescent="0.15">
      <c r="B26" s="281"/>
      <c r="C26" s="189">
        <v>202004</v>
      </c>
      <c r="D26" s="192" t="s">
        <v>191</v>
      </c>
      <c r="E26" s="193"/>
    </row>
    <row r="27" spans="2:5" s="184" customFormat="1" ht="15.95" customHeight="1" x14ac:dyDescent="0.15">
      <c r="B27" s="281"/>
      <c r="C27" s="189">
        <v>202005</v>
      </c>
      <c r="D27" s="192" t="s">
        <v>192</v>
      </c>
      <c r="E27" s="193"/>
    </row>
    <row r="28" spans="2:5" s="184" customFormat="1" ht="15.95" customHeight="1" x14ac:dyDescent="0.15">
      <c r="B28" s="281"/>
      <c r="C28" s="189">
        <v>202006</v>
      </c>
      <c r="D28" s="192" t="s">
        <v>193</v>
      </c>
      <c r="E28" s="193"/>
    </row>
    <row r="29" spans="2:5" ht="15.95" customHeight="1" x14ac:dyDescent="0.15">
      <c r="B29" s="281"/>
      <c r="C29" s="189">
        <v>202022</v>
      </c>
      <c r="D29" s="192" t="s">
        <v>194</v>
      </c>
      <c r="E29" s="193"/>
    </row>
    <row r="30" spans="2:5" ht="15.95" customHeight="1" x14ac:dyDescent="0.15">
      <c r="B30" s="281"/>
      <c r="C30" s="189">
        <v>202067</v>
      </c>
      <c r="D30" s="190" t="s">
        <v>195</v>
      </c>
      <c r="E30" s="191"/>
    </row>
    <row r="31" spans="2:5" ht="15.95" customHeight="1" x14ac:dyDescent="0.15">
      <c r="B31" s="281"/>
      <c r="C31" s="189">
        <v>202068</v>
      </c>
      <c r="D31" s="190" t="s">
        <v>196</v>
      </c>
      <c r="E31" s="191" t="s">
        <v>169</v>
      </c>
    </row>
    <row r="32" spans="2:5" ht="15.95" customHeight="1" x14ac:dyDescent="0.15">
      <c r="B32" s="281"/>
      <c r="C32" s="189">
        <v>202039</v>
      </c>
      <c r="D32" s="192" t="s">
        <v>197</v>
      </c>
      <c r="E32" s="193"/>
    </row>
    <row r="33" spans="2:5" ht="15.95" customHeight="1" x14ac:dyDescent="0.15">
      <c r="B33" s="282"/>
      <c r="C33" s="189">
        <v>203019</v>
      </c>
      <c r="D33" s="192" t="s">
        <v>198</v>
      </c>
      <c r="E33" s="193"/>
    </row>
    <row r="34" spans="2:5" ht="15.95" customHeight="1" x14ac:dyDescent="0.15">
      <c r="B34" s="278" t="s">
        <v>199</v>
      </c>
      <c r="C34" s="189">
        <v>303002</v>
      </c>
      <c r="D34" s="190" t="s">
        <v>200</v>
      </c>
      <c r="E34" s="191" t="s">
        <v>169</v>
      </c>
    </row>
    <row r="35" spans="2:5" ht="15.95" customHeight="1" x14ac:dyDescent="0.15">
      <c r="B35" s="278"/>
      <c r="C35" s="189">
        <v>303001</v>
      </c>
      <c r="D35" s="190" t="s">
        <v>201</v>
      </c>
      <c r="E35" s="193"/>
    </row>
    <row r="36" spans="2:5" ht="15.95" customHeight="1" x14ac:dyDescent="0.15">
      <c r="B36" s="278"/>
      <c r="C36" s="189">
        <v>203525</v>
      </c>
      <c r="D36" s="190" t="s">
        <v>202</v>
      </c>
      <c r="E36" s="193"/>
    </row>
    <row r="37" spans="2:5" ht="15.95" customHeight="1" x14ac:dyDescent="0.15">
      <c r="B37" s="278"/>
      <c r="C37" s="189">
        <v>203515</v>
      </c>
      <c r="D37" s="190" t="s">
        <v>203</v>
      </c>
      <c r="E37" s="191"/>
    </row>
    <row r="38" spans="2:5" ht="15.95" customHeight="1" x14ac:dyDescent="0.15">
      <c r="B38" s="278"/>
      <c r="C38" s="189">
        <v>203501</v>
      </c>
      <c r="D38" s="190" t="s">
        <v>204</v>
      </c>
      <c r="E38" s="191"/>
    </row>
    <row r="39" spans="2:5" ht="15.95" customHeight="1" x14ac:dyDescent="0.15">
      <c r="B39" s="278"/>
      <c r="C39" s="189">
        <v>303010</v>
      </c>
      <c r="D39" s="190" t="s">
        <v>205</v>
      </c>
      <c r="E39" s="191" t="s">
        <v>169</v>
      </c>
    </row>
    <row r="40" spans="2:5" ht="15.95" customHeight="1" x14ac:dyDescent="0.15">
      <c r="B40" s="278"/>
      <c r="C40" s="189">
        <v>303103</v>
      </c>
      <c r="D40" s="190" t="s">
        <v>206</v>
      </c>
      <c r="E40" s="191" t="s">
        <v>169</v>
      </c>
    </row>
    <row r="41" spans="2:5" ht="15.95" customHeight="1" x14ac:dyDescent="0.15">
      <c r="B41" s="278"/>
      <c r="C41" s="189">
        <v>203111</v>
      </c>
      <c r="D41" s="190" t="s">
        <v>207</v>
      </c>
      <c r="E41" s="191"/>
    </row>
    <row r="42" spans="2:5" ht="15.95" customHeight="1" x14ac:dyDescent="0.15">
      <c r="B42" s="278"/>
      <c r="C42" s="189">
        <v>203113</v>
      </c>
      <c r="D42" s="190" t="s">
        <v>208</v>
      </c>
      <c r="E42" s="191"/>
    </row>
    <row r="43" spans="2:5" ht="15.95" customHeight="1" x14ac:dyDescent="0.15">
      <c r="B43" s="278"/>
      <c r="C43" s="189">
        <v>203119</v>
      </c>
      <c r="D43" s="190" t="s">
        <v>209</v>
      </c>
      <c r="E43" s="191"/>
    </row>
    <row r="44" spans="2:5" ht="15.95" customHeight="1" x14ac:dyDescent="0.15">
      <c r="B44" s="278"/>
      <c r="C44" s="189">
        <v>203526</v>
      </c>
      <c r="D44" s="190" t="s">
        <v>210</v>
      </c>
      <c r="E44" s="191"/>
    </row>
    <row r="45" spans="2:5" ht="15.95" customHeight="1" x14ac:dyDescent="0.15">
      <c r="B45" s="278"/>
      <c r="C45" s="189">
        <v>203529</v>
      </c>
      <c r="D45" s="190" t="s">
        <v>211</v>
      </c>
      <c r="E45" s="191"/>
    </row>
    <row r="46" spans="2:5" ht="15.95" customHeight="1" x14ac:dyDescent="0.15">
      <c r="B46" s="278"/>
      <c r="C46" s="189">
        <v>303111</v>
      </c>
      <c r="D46" s="190" t="s">
        <v>212</v>
      </c>
      <c r="E46" s="191" t="s">
        <v>169</v>
      </c>
    </row>
    <row r="47" spans="2:5" ht="15.95" customHeight="1" x14ac:dyDescent="0.15">
      <c r="B47" s="278"/>
      <c r="C47" s="189">
        <v>303112</v>
      </c>
      <c r="D47" s="192" t="s">
        <v>213</v>
      </c>
      <c r="E47" s="193" t="s">
        <v>169</v>
      </c>
    </row>
    <row r="48" spans="2:5" ht="15.95" customHeight="1" x14ac:dyDescent="0.15">
      <c r="B48" s="278"/>
      <c r="C48" s="189">
        <v>303009</v>
      </c>
      <c r="D48" s="190" t="s">
        <v>214</v>
      </c>
      <c r="E48" s="191" t="s">
        <v>169</v>
      </c>
    </row>
    <row r="49" spans="2:5" ht="15.95" customHeight="1" x14ac:dyDescent="0.15">
      <c r="B49" s="278"/>
      <c r="C49" s="189">
        <v>303016</v>
      </c>
      <c r="D49" s="190" t="s">
        <v>215</v>
      </c>
      <c r="E49" s="193" t="s">
        <v>169</v>
      </c>
    </row>
    <row r="50" spans="2:5" ht="15.95" customHeight="1" x14ac:dyDescent="0.15">
      <c r="B50" s="278"/>
      <c r="C50" s="189">
        <v>303008</v>
      </c>
      <c r="D50" s="190" t="s">
        <v>216</v>
      </c>
      <c r="E50" s="193"/>
    </row>
    <row r="51" spans="2:5" ht="15.95" customHeight="1" x14ac:dyDescent="0.15">
      <c r="B51" s="280" t="s">
        <v>217</v>
      </c>
      <c r="C51" s="189">
        <v>104101</v>
      </c>
      <c r="D51" s="190" t="s">
        <v>218</v>
      </c>
      <c r="E51" s="191"/>
    </row>
    <row r="52" spans="2:5" ht="15.95" customHeight="1" x14ac:dyDescent="0.15">
      <c r="B52" s="281"/>
      <c r="C52" s="189">
        <v>104027</v>
      </c>
      <c r="D52" s="190" t="s">
        <v>219</v>
      </c>
      <c r="E52" s="191" t="s">
        <v>169</v>
      </c>
    </row>
    <row r="53" spans="2:5" ht="15.95" customHeight="1" x14ac:dyDescent="0.15">
      <c r="B53" s="281"/>
      <c r="C53" s="189">
        <v>104041</v>
      </c>
      <c r="D53" s="190" t="s">
        <v>220</v>
      </c>
      <c r="E53" s="191" t="s">
        <v>169</v>
      </c>
    </row>
    <row r="54" spans="2:5" ht="15.95" customHeight="1" x14ac:dyDescent="0.15">
      <c r="B54" s="281"/>
      <c r="C54" s="189">
        <v>104044</v>
      </c>
      <c r="D54" s="190" t="s">
        <v>221</v>
      </c>
      <c r="E54" s="191" t="s">
        <v>169</v>
      </c>
    </row>
    <row r="55" spans="2:5" ht="15.95" customHeight="1" x14ac:dyDescent="0.15">
      <c r="B55" s="281"/>
      <c r="C55" s="189">
        <v>104105</v>
      </c>
      <c r="D55" s="190" t="s">
        <v>222</v>
      </c>
      <c r="E55" s="191" t="s">
        <v>169</v>
      </c>
    </row>
    <row r="56" spans="2:5" ht="15.95" customHeight="1" x14ac:dyDescent="0.15">
      <c r="B56" s="281"/>
      <c r="C56" s="189">
        <v>104106</v>
      </c>
      <c r="D56" s="190" t="s">
        <v>223</v>
      </c>
      <c r="E56" s="191" t="s">
        <v>169</v>
      </c>
    </row>
    <row r="57" spans="2:5" ht="15.95" customHeight="1" x14ac:dyDescent="0.15">
      <c r="B57" s="281"/>
      <c r="C57" s="189">
        <v>104110</v>
      </c>
      <c r="D57" s="190" t="s">
        <v>224</v>
      </c>
      <c r="E57" s="191" t="s">
        <v>169</v>
      </c>
    </row>
    <row r="58" spans="2:5" ht="15.95" customHeight="1" x14ac:dyDescent="0.15">
      <c r="B58" s="281"/>
      <c r="C58" s="189">
        <v>164080</v>
      </c>
      <c r="D58" s="190" t="s">
        <v>225</v>
      </c>
      <c r="E58" s="191"/>
    </row>
    <row r="59" spans="2:5" ht="15.95" customHeight="1" x14ac:dyDescent="0.15">
      <c r="B59" s="281"/>
      <c r="C59" s="189">
        <v>304001</v>
      </c>
      <c r="D59" s="190" t="s">
        <v>226</v>
      </c>
      <c r="E59" s="191" t="s">
        <v>169</v>
      </c>
    </row>
    <row r="60" spans="2:5" ht="15.95" customHeight="1" x14ac:dyDescent="0.15">
      <c r="B60" s="281"/>
      <c r="C60" s="189">
        <v>304002</v>
      </c>
      <c r="D60" s="190" t="s">
        <v>227</v>
      </c>
      <c r="E60" s="191"/>
    </row>
    <row r="61" spans="2:5" ht="15.95" customHeight="1" x14ac:dyDescent="0.15">
      <c r="B61" s="281"/>
      <c r="C61" s="189">
        <v>304003</v>
      </c>
      <c r="D61" s="190" t="s">
        <v>228</v>
      </c>
      <c r="E61" s="191"/>
    </row>
    <row r="62" spans="2:5" ht="15.95" customHeight="1" x14ac:dyDescent="0.15">
      <c r="B62" s="281"/>
      <c r="C62" s="189">
        <v>304101</v>
      </c>
      <c r="D62" s="190" t="s">
        <v>229</v>
      </c>
      <c r="E62" s="191" t="s">
        <v>169</v>
      </c>
    </row>
    <row r="63" spans="2:5" ht="15.95" customHeight="1" x14ac:dyDescent="0.15">
      <c r="B63" s="281"/>
      <c r="C63" s="189">
        <v>304004</v>
      </c>
      <c r="D63" s="190" t="s">
        <v>230</v>
      </c>
      <c r="E63" s="191" t="s">
        <v>169</v>
      </c>
    </row>
    <row r="64" spans="2:5" ht="15.95" customHeight="1" x14ac:dyDescent="0.15">
      <c r="B64" s="281"/>
      <c r="C64" s="189">
        <v>204002</v>
      </c>
      <c r="D64" s="190" t="s">
        <v>231</v>
      </c>
      <c r="E64" s="191"/>
    </row>
    <row r="65" spans="2:5" ht="19.5" customHeight="1" x14ac:dyDescent="0.15">
      <c r="B65" s="281"/>
      <c r="C65" s="189">
        <v>204500</v>
      </c>
      <c r="D65" s="190" t="s">
        <v>232</v>
      </c>
      <c r="E65" s="191"/>
    </row>
    <row r="66" spans="2:5" ht="15.95" customHeight="1" x14ac:dyDescent="0.15">
      <c r="B66" s="281"/>
      <c r="C66" s="189">
        <v>204503</v>
      </c>
      <c r="D66" s="190" t="s">
        <v>233</v>
      </c>
      <c r="E66" s="191"/>
    </row>
    <row r="67" spans="2:5" ht="15.95" customHeight="1" x14ac:dyDescent="0.15">
      <c r="B67" s="281"/>
      <c r="C67" s="189">
        <v>204501</v>
      </c>
      <c r="D67" s="190" t="s">
        <v>234</v>
      </c>
      <c r="E67" s="191"/>
    </row>
    <row r="68" spans="2:5" ht="15.95" customHeight="1" x14ac:dyDescent="0.15">
      <c r="B68" s="281"/>
      <c r="C68" s="189">
        <v>204502</v>
      </c>
      <c r="D68" s="190" t="s">
        <v>235</v>
      </c>
      <c r="E68" s="191"/>
    </row>
    <row r="69" spans="2:5" ht="15.95" customHeight="1" x14ac:dyDescent="0.15">
      <c r="B69" s="281"/>
      <c r="C69" s="189">
        <v>204513</v>
      </c>
      <c r="D69" s="192" t="s">
        <v>236</v>
      </c>
      <c r="E69" s="193"/>
    </row>
    <row r="70" spans="2:5" ht="15.95" customHeight="1" x14ac:dyDescent="0.15">
      <c r="B70" s="281"/>
      <c r="C70" s="189">
        <v>204511</v>
      </c>
      <c r="D70" s="190" t="s">
        <v>237</v>
      </c>
      <c r="E70" s="191"/>
    </row>
    <row r="71" spans="2:5" ht="15.95" customHeight="1" x14ac:dyDescent="0.15">
      <c r="B71" s="281"/>
      <c r="C71" s="189">
        <v>304103</v>
      </c>
      <c r="D71" s="190" t="s">
        <v>238</v>
      </c>
      <c r="E71" s="191" t="s">
        <v>169</v>
      </c>
    </row>
    <row r="72" spans="2:5" ht="15.95" customHeight="1" x14ac:dyDescent="0.15">
      <c r="B72" s="281"/>
      <c r="C72" s="189">
        <v>304116</v>
      </c>
      <c r="D72" s="190" t="s">
        <v>239</v>
      </c>
      <c r="E72" s="191"/>
    </row>
    <row r="73" spans="2:5" ht="15.95" customHeight="1" x14ac:dyDescent="0.15">
      <c r="B73" s="281"/>
      <c r="C73" s="189">
        <v>304109</v>
      </c>
      <c r="D73" s="190" t="s">
        <v>240</v>
      </c>
      <c r="E73" s="191" t="s">
        <v>169</v>
      </c>
    </row>
    <row r="74" spans="2:5" ht="15.95" customHeight="1" x14ac:dyDescent="0.15">
      <c r="B74" s="281"/>
      <c r="C74" s="189">
        <v>304110</v>
      </c>
      <c r="D74" s="190" t="s">
        <v>241</v>
      </c>
      <c r="E74" s="191" t="s">
        <v>169</v>
      </c>
    </row>
    <row r="75" spans="2:5" ht="15.95" customHeight="1" x14ac:dyDescent="0.15">
      <c r="B75" s="281"/>
      <c r="C75" s="189">
        <v>304111</v>
      </c>
      <c r="D75" s="190" t="s">
        <v>242</v>
      </c>
      <c r="E75" s="191" t="s">
        <v>169</v>
      </c>
    </row>
    <row r="76" spans="2:5" ht="15.95" customHeight="1" x14ac:dyDescent="0.15">
      <c r="B76" s="281"/>
      <c r="C76" s="189">
        <v>304104</v>
      </c>
      <c r="D76" s="190" t="s">
        <v>243</v>
      </c>
      <c r="E76" s="191" t="s">
        <v>169</v>
      </c>
    </row>
    <row r="77" spans="2:5" ht="15.95" customHeight="1" x14ac:dyDescent="0.15">
      <c r="B77" s="281"/>
      <c r="C77" s="189">
        <v>204610</v>
      </c>
      <c r="D77" s="190" t="s">
        <v>244</v>
      </c>
      <c r="E77" s="191"/>
    </row>
    <row r="78" spans="2:5" ht="15.95" customHeight="1" x14ac:dyDescent="0.15">
      <c r="B78" s="281"/>
      <c r="C78" s="189">
        <v>204518</v>
      </c>
      <c r="D78" s="190" t="s">
        <v>245</v>
      </c>
      <c r="E78" s="191"/>
    </row>
    <row r="79" spans="2:5" ht="15.95" customHeight="1" x14ac:dyDescent="0.15">
      <c r="B79" s="281"/>
      <c r="C79" s="189">
        <v>204519</v>
      </c>
      <c r="D79" s="190" t="s">
        <v>246</v>
      </c>
      <c r="E79" s="191"/>
    </row>
    <row r="80" spans="2:5" ht="15.95" customHeight="1" x14ac:dyDescent="0.15">
      <c r="B80" s="281"/>
      <c r="C80" s="189">
        <v>304108</v>
      </c>
      <c r="D80" s="190" t="s">
        <v>247</v>
      </c>
      <c r="E80" s="191" t="s">
        <v>169</v>
      </c>
    </row>
    <row r="81" spans="2:5" ht="15.95" customHeight="1" x14ac:dyDescent="0.15">
      <c r="B81" s="281"/>
      <c r="C81" s="189">
        <v>304119</v>
      </c>
      <c r="D81" s="190" t="s">
        <v>248</v>
      </c>
      <c r="E81" s="191" t="s">
        <v>169</v>
      </c>
    </row>
    <row r="82" spans="2:5" ht="15.95" customHeight="1" x14ac:dyDescent="0.15">
      <c r="B82" s="281"/>
      <c r="C82" s="195">
        <v>304216</v>
      </c>
      <c r="D82" s="190" t="s">
        <v>249</v>
      </c>
      <c r="E82" s="191" t="s">
        <v>169</v>
      </c>
    </row>
    <row r="83" spans="2:5" ht="15.95" customHeight="1" x14ac:dyDescent="0.15">
      <c r="B83" s="281"/>
      <c r="C83" s="189">
        <v>304222</v>
      </c>
      <c r="D83" s="190" t="s">
        <v>250</v>
      </c>
      <c r="E83" s="191" t="s">
        <v>169</v>
      </c>
    </row>
    <row r="84" spans="2:5" ht="15.95" customHeight="1" x14ac:dyDescent="0.15">
      <c r="B84" s="281"/>
      <c r="C84" s="189">
        <v>104102</v>
      </c>
      <c r="D84" s="190" t="s">
        <v>251</v>
      </c>
      <c r="E84" s="191"/>
    </row>
    <row r="85" spans="2:5" ht="15.95" customHeight="1" x14ac:dyDescent="0.15">
      <c r="B85" s="281"/>
      <c r="C85" s="189">
        <v>304230</v>
      </c>
      <c r="D85" s="190" t="s">
        <v>252</v>
      </c>
      <c r="E85" s="191" t="s">
        <v>169</v>
      </c>
    </row>
    <row r="86" spans="2:5" ht="15.95" customHeight="1" x14ac:dyDescent="0.15">
      <c r="B86" s="281"/>
      <c r="C86" s="189">
        <v>104211</v>
      </c>
      <c r="D86" s="190" t="s">
        <v>253</v>
      </c>
      <c r="E86" s="191" t="s">
        <v>169</v>
      </c>
    </row>
    <row r="87" spans="2:5" ht="15.95" customHeight="1" x14ac:dyDescent="0.15">
      <c r="B87" s="281"/>
      <c r="C87" s="189">
        <v>104212</v>
      </c>
      <c r="D87" s="190" t="s">
        <v>254</v>
      </c>
      <c r="E87" s="191" t="s">
        <v>169</v>
      </c>
    </row>
    <row r="88" spans="2:5" ht="15.95" customHeight="1" x14ac:dyDescent="0.15">
      <c r="B88" s="281"/>
      <c r="C88" s="189">
        <v>204534</v>
      </c>
      <c r="D88" s="190" t="s">
        <v>255</v>
      </c>
      <c r="E88" s="191"/>
    </row>
    <row r="89" spans="2:5" ht="15.95" customHeight="1" x14ac:dyDescent="0.15">
      <c r="B89" s="281"/>
      <c r="C89" s="189">
        <v>204535</v>
      </c>
      <c r="D89" s="190" t="s">
        <v>256</v>
      </c>
      <c r="E89" s="191"/>
    </row>
    <row r="90" spans="2:5" ht="15.95" customHeight="1" x14ac:dyDescent="0.15">
      <c r="B90" s="281"/>
      <c r="C90" s="189">
        <v>204536</v>
      </c>
      <c r="D90" s="190" t="s">
        <v>257</v>
      </c>
      <c r="E90" s="191"/>
    </row>
    <row r="91" spans="2:5" ht="15.95" customHeight="1" x14ac:dyDescent="0.15">
      <c r="B91" s="281"/>
      <c r="C91" s="189">
        <v>204539</v>
      </c>
      <c r="D91" s="190" t="s">
        <v>258</v>
      </c>
      <c r="E91" s="191"/>
    </row>
    <row r="92" spans="2:5" ht="15.95" customHeight="1" x14ac:dyDescent="0.15">
      <c r="B92" s="281"/>
      <c r="C92" s="189">
        <v>204545</v>
      </c>
      <c r="D92" s="190" t="s">
        <v>259</v>
      </c>
      <c r="E92" s="191"/>
    </row>
    <row r="93" spans="2:5" ht="15.95" customHeight="1" x14ac:dyDescent="0.15">
      <c r="B93" s="281"/>
      <c r="C93" s="189">
        <v>204546</v>
      </c>
      <c r="D93" s="190" t="s">
        <v>260</v>
      </c>
      <c r="E93" s="191"/>
    </row>
    <row r="94" spans="2:5" ht="15.95" customHeight="1" x14ac:dyDescent="0.15">
      <c r="B94" s="281"/>
      <c r="C94" s="189">
        <v>204547</v>
      </c>
      <c r="D94" s="190" t="s">
        <v>261</v>
      </c>
      <c r="E94" s="191"/>
    </row>
    <row r="95" spans="2:5" ht="15.95" customHeight="1" x14ac:dyDescent="0.15">
      <c r="B95" s="281"/>
      <c r="C95" s="189">
        <v>299026</v>
      </c>
      <c r="D95" s="190" t="s">
        <v>262</v>
      </c>
      <c r="E95" s="191" t="s">
        <v>169</v>
      </c>
    </row>
    <row r="96" spans="2:5" ht="15.95" customHeight="1" x14ac:dyDescent="0.15">
      <c r="B96" s="282"/>
      <c r="C96" s="189">
        <v>299025</v>
      </c>
      <c r="D96" s="190" t="s">
        <v>263</v>
      </c>
      <c r="E96" s="191" t="s">
        <v>169</v>
      </c>
    </row>
    <row r="97" spans="2:5" ht="15.95" customHeight="1" x14ac:dyDescent="0.15">
      <c r="B97" s="283" t="s">
        <v>264</v>
      </c>
      <c r="C97" s="189">
        <v>104040</v>
      </c>
      <c r="D97" s="190" t="s">
        <v>265</v>
      </c>
      <c r="E97" s="191" t="s">
        <v>169</v>
      </c>
    </row>
    <row r="98" spans="2:5" ht="15.95" customHeight="1" x14ac:dyDescent="0.15">
      <c r="B98" s="283"/>
      <c r="C98" s="189">
        <v>104042</v>
      </c>
      <c r="D98" s="190" t="s">
        <v>266</v>
      </c>
      <c r="E98" s="191" t="s">
        <v>169</v>
      </c>
    </row>
    <row r="99" spans="2:5" ht="15.95" customHeight="1" x14ac:dyDescent="0.15">
      <c r="B99" s="283"/>
      <c r="C99" s="189">
        <v>204568</v>
      </c>
      <c r="D99" s="190" t="s">
        <v>267</v>
      </c>
      <c r="E99" s="191"/>
    </row>
    <row r="100" spans="2:5" ht="15.95" customHeight="1" x14ac:dyDescent="0.15">
      <c r="B100" s="283"/>
      <c r="C100" s="189">
        <v>204551</v>
      </c>
      <c r="D100" s="190" t="s">
        <v>268</v>
      </c>
      <c r="E100" s="191"/>
    </row>
    <row r="101" spans="2:5" ht="15.95" customHeight="1" x14ac:dyDescent="0.15">
      <c r="B101" s="283"/>
      <c r="C101" s="189">
        <v>204552</v>
      </c>
      <c r="D101" s="190" t="s">
        <v>269</v>
      </c>
      <c r="E101" s="191"/>
    </row>
    <row r="102" spans="2:5" ht="15.95" customHeight="1" x14ac:dyDescent="0.15">
      <c r="B102" s="283"/>
      <c r="C102" s="189">
        <v>204556</v>
      </c>
      <c r="D102" s="190" t="s">
        <v>270</v>
      </c>
      <c r="E102" s="191"/>
    </row>
    <row r="103" spans="2:5" ht="15.95" customHeight="1" x14ac:dyDescent="0.15">
      <c r="B103" s="283"/>
      <c r="C103" s="189">
        <v>204566</v>
      </c>
      <c r="D103" s="190" t="s">
        <v>271</v>
      </c>
      <c r="E103" s="191" t="s">
        <v>169</v>
      </c>
    </row>
    <row r="104" spans="2:5" ht="15.95" customHeight="1" x14ac:dyDescent="0.15">
      <c r="B104" s="283"/>
      <c r="C104" s="189">
        <v>204590</v>
      </c>
      <c r="D104" s="190" t="s">
        <v>272</v>
      </c>
      <c r="E104" s="191" t="s">
        <v>169</v>
      </c>
    </row>
    <row r="105" spans="2:5" ht="15.95" customHeight="1" x14ac:dyDescent="0.15">
      <c r="B105" s="283"/>
      <c r="C105" s="189">
        <v>304232</v>
      </c>
      <c r="D105" s="190" t="s">
        <v>273</v>
      </c>
      <c r="E105" s="191" t="s">
        <v>169</v>
      </c>
    </row>
    <row r="106" spans="2:5" ht="15.95" customHeight="1" x14ac:dyDescent="0.15">
      <c r="B106" s="283"/>
      <c r="C106" s="189">
        <v>204543</v>
      </c>
      <c r="D106" s="190" t="s">
        <v>274</v>
      </c>
      <c r="E106" s="191" t="s">
        <v>169</v>
      </c>
    </row>
    <row r="107" spans="2:5" ht="15.95" customHeight="1" x14ac:dyDescent="0.15">
      <c r="B107" s="283"/>
      <c r="C107" s="189">
        <v>204591</v>
      </c>
      <c r="D107" s="190" t="s">
        <v>275</v>
      </c>
      <c r="E107" s="191"/>
    </row>
    <row r="108" spans="2:5" ht="15.95" customHeight="1" x14ac:dyDescent="0.15">
      <c r="B108" s="283"/>
      <c r="C108" s="189">
        <v>204550</v>
      </c>
      <c r="D108" s="190" t="s">
        <v>276</v>
      </c>
      <c r="E108" s="191"/>
    </row>
    <row r="109" spans="2:5" ht="15.95" customHeight="1" x14ac:dyDescent="0.15">
      <c r="B109" s="283"/>
      <c r="C109" s="189">
        <v>304233</v>
      </c>
      <c r="D109" s="190" t="s">
        <v>277</v>
      </c>
      <c r="E109" s="191" t="s">
        <v>169</v>
      </c>
    </row>
    <row r="110" spans="2:5" ht="15.95" customHeight="1" x14ac:dyDescent="0.15">
      <c r="B110" s="283"/>
      <c r="C110" s="189">
        <v>204567</v>
      </c>
      <c r="D110" s="190" t="s">
        <v>278</v>
      </c>
      <c r="E110" s="191" t="s">
        <v>169</v>
      </c>
    </row>
    <row r="111" spans="2:5" ht="15.95" customHeight="1" x14ac:dyDescent="0.15">
      <c r="B111" s="283"/>
      <c r="C111" s="189">
        <v>204629</v>
      </c>
      <c r="D111" s="190" t="s">
        <v>279</v>
      </c>
      <c r="E111" s="191" t="s">
        <v>169</v>
      </c>
    </row>
    <row r="112" spans="2:5" ht="15.95" customHeight="1" x14ac:dyDescent="0.15">
      <c r="B112" s="283"/>
      <c r="C112" s="189">
        <v>204583</v>
      </c>
      <c r="D112" s="190" t="s">
        <v>280</v>
      </c>
      <c r="E112" s="191"/>
    </row>
    <row r="113" spans="2:5" ht="15.95" customHeight="1" x14ac:dyDescent="0.15">
      <c r="B113" s="283"/>
      <c r="C113" s="189">
        <v>204544</v>
      </c>
      <c r="D113" s="190" t="s">
        <v>281</v>
      </c>
      <c r="E113" s="191"/>
    </row>
    <row r="114" spans="2:5" ht="15.95" customHeight="1" x14ac:dyDescent="0.15">
      <c r="B114" s="283"/>
      <c r="C114" s="189">
        <v>204588</v>
      </c>
      <c r="D114" s="190" t="s">
        <v>282</v>
      </c>
      <c r="E114" s="191" t="s">
        <v>169</v>
      </c>
    </row>
    <row r="115" spans="2:5" ht="15.95" customHeight="1" x14ac:dyDescent="0.15">
      <c r="B115" s="283"/>
      <c r="C115" s="189">
        <v>204594</v>
      </c>
      <c r="D115" s="190" t="s">
        <v>283</v>
      </c>
      <c r="E115" s="191" t="s">
        <v>169</v>
      </c>
    </row>
    <row r="116" spans="2:5" ht="15.95" customHeight="1" x14ac:dyDescent="0.15">
      <c r="B116" s="278" t="s">
        <v>284</v>
      </c>
      <c r="C116" s="189">
        <v>105001</v>
      </c>
      <c r="D116" s="190" t="s">
        <v>285</v>
      </c>
      <c r="E116" s="191" t="s">
        <v>169</v>
      </c>
    </row>
    <row r="117" spans="2:5" ht="15.95" customHeight="1" x14ac:dyDescent="0.15">
      <c r="B117" s="278"/>
      <c r="C117" s="189">
        <v>105002</v>
      </c>
      <c r="D117" s="190" t="s">
        <v>286</v>
      </c>
      <c r="E117" s="191" t="s">
        <v>169</v>
      </c>
    </row>
    <row r="118" spans="2:5" ht="15.95" customHeight="1" x14ac:dyDescent="0.15">
      <c r="B118" s="278"/>
      <c r="C118" s="189">
        <v>105012</v>
      </c>
      <c r="D118" s="190" t="s">
        <v>287</v>
      </c>
      <c r="E118" s="191" t="s">
        <v>169</v>
      </c>
    </row>
    <row r="119" spans="2:5" ht="15.95" customHeight="1" x14ac:dyDescent="0.15">
      <c r="B119" s="278"/>
      <c r="C119" s="189">
        <v>205004</v>
      </c>
      <c r="D119" s="190" t="s">
        <v>288</v>
      </c>
      <c r="E119" s="191"/>
    </row>
    <row r="120" spans="2:5" ht="15.95" customHeight="1" x14ac:dyDescent="0.15">
      <c r="B120" s="278"/>
      <c r="C120" s="189">
        <v>205007</v>
      </c>
      <c r="D120" s="190" t="s">
        <v>289</v>
      </c>
      <c r="E120" s="191"/>
    </row>
    <row r="121" spans="2:5" ht="15.95" customHeight="1" x14ac:dyDescent="0.15">
      <c r="B121" s="278"/>
      <c r="C121" s="189">
        <v>305001</v>
      </c>
      <c r="D121" s="190" t="s">
        <v>290</v>
      </c>
      <c r="E121" s="191" t="s">
        <v>169</v>
      </c>
    </row>
    <row r="122" spans="2:5" ht="15.95" customHeight="1" x14ac:dyDescent="0.15">
      <c r="B122" s="278"/>
      <c r="C122" s="189">
        <v>305002</v>
      </c>
      <c r="D122" s="190" t="s">
        <v>291</v>
      </c>
      <c r="E122" s="191" t="s">
        <v>169</v>
      </c>
    </row>
    <row r="123" spans="2:5" ht="15.95" customHeight="1" x14ac:dyDescent="0.15">
      <c r="B123" s="278"/>
      <c r="C123" s="189">
        <v>205021</v>
      </c>
      <c r="D123" s="190" t="s">
        <v>292</v>
      </c>
      <c r="E123" s="191"/>
    </row>
    <row r="124" spans="2:5" ht="15.95" customHeight="1" x14ac:dyDescent="0.15">
      <c r="B124" s="278"/>
      <c r="C124" s="189">
        <v>205022</v>
      </c>
      <c r="D124" s="190" t="s">
        <v>293</v>
      </c>
      <c r="E124" s="191"/>
    </row>
    <row r="125" spans="2:5" ht="15.95" customHeight="1" x14ac:dyDescent="0.15">
      <c r="B125" s="278"/>
      <c r="C125" s="189">
        <v>205025</v>
      </c>
      <c r="D125" s="190" t="s">
        <v>294</v>
      </c>
      <c r="E125" s="191"/>
    </row>
    <row r="126" spans="2:5" ht="15.95" customHeight="1" x14ac:dyDescent="0.15">
      <c r="B126" s="278"/>
      <c r="C126" s="189">
        <v>205011</v>
      </c>
      <c r="D126" s="190" t="s">
        <v>295</v>
      </c>
      <c r="E126" s="191"/>
    </row>
    <row r="127" spans="2:5" ht="15.95" customHeight="1" x14ac:dyDescent="0.15">
      <c r="B127" s="278"/>
      <c r="C127" s="189">
        <v>305003</v>
      </c>
      <c r="D127" s="190" t="s">
        <v>296</v>
      </c>
      <c r="E127" s="191" t="s">
        <v>169</v>
      </c>
    </row>
    <row r="128" spans="2:5" ht="15.95" customHeight="1" x14ac:dyDescent="0.15">
      <c r="B128" s="278"/>
      <c r="C128" s="189">
        <v>305009</v>
      </c>
      <c r="D128" s="190" t="s">
        <v>297</v>
      </c>
      <c r="E128" s="191" t="s">
        <v>169</v>
      </c>
    </row>
    <row r="129" spans="2:5" ht="15.95" customHeight="1" x14ac:dyDescent="0.15">
      <c r="B129" s="278" t="s">
        <v>298</v>
      </c>
      <c r="C129" s="189">
        <v>105008</v>
      </c>
      <c r="D129" s="190" t="s">
        <v>299</v>
      </c>
      <c r="E129" s="191" t="s">
        <v>169</v>
      </c>
    </row>
    <row r="130" spans="2:5" ht="15.95" customHeight="1" x14ac:dyDescent="0.15">
      <c r="B130" s="278"/>
      <c r="C130" s="189">
        <v>105009</v>
      </c>
      <c r="D130" s="190" t="s">
        <v>300</v>
      </c>
      <c r="E130" s="191" t="s">
        <v>169</v>
      </c>
    </row>
    <row r="131" spans="2:5" ht="15.95" customHeight="1" x14ac:dyDescent="0.15">
      <c r="B131" s="278"/>
      <c r="C131" s="189">
        <v>125009</v>
      </c>
      <c r="D131" s="190" t="s">
        <v>301</v>
      </c>
      <c r="E131" s="191"/>
    </row>
    <row r="132" spans="2:5" ht="15.95" customHeight="1" x14ac:dyDescent="0.15">
      <c r="B132" s="278"/>
      <c r="C132" s="189">
        <v>165009</v>
      </c>
      <c r="D132" s="190" t="s">
        <v>302</v>
      </c>
      <c r="E132" s="191"/>
    </row>
    <row r="133" spans="2:5" ht="15.95" customHeight="1" x14ac:dyDescent="0.15">
      <c r="B133" s="278"/>
      <c r="C133" s="189">
        <v>305209</v>
      </c>
      <c r="D133" s="192" t="s">
        <v>303</v>
      </c>
      <c r="E133" s="193" t="s">
        <v>169</v>
      </c>
    </row>
    <row r="134" spans="2:5" ht="15.95" customHeight="1" x14ac:dyDescent="0.15">
      <c r="B134" s="278"/>
      <c r="C134" s="189">
        <v>125012</v>
      </c>
      <c r="D134" s="190" t="s">
        <v>304</v>
      </c>
      <c r="E134" s="191"/>
    </row>
    <row r="135" spans="2:5" ht="15.95" customHeight="1" x14ac:dyDescent="0.15">
      <c r="B135" s="278"/>
      <c r="C135" s="189">
        <v>165012</v>
      </c>
      <c r="D135" s="190" t="s">
        <v>305</v>
      </c>
      <c r="E135" s="191"/>
    </row>
    <row r="136" spans="2:5" ht="15.95" customHeight="1" x14ac:dyDescent="0.15">
      <c r="B136" s="278"/>
      <c r="C136" s="189">
        <v>205105</v>
      </c>
      <c r="D136" s="190" t="s">
        <v>306</v>
      </c>
      <c r="E136" s="191"/>
    </row>
    <row r="137" spans="2:5" ht="15.95" customHeight="1" x14ac:dyDescent="0.15">
      <c r="B137" s="278"/>
      <c r="C137" s="189">
        <v>145010</v>
      </c>
      <c r="D137" s="190" t="s">
        <v>307</v>
      </c>
      <c r="E137" s="191"/>
    </row>
    <row r="138" spans="2:5" ht="15.95" customHeight="1" x14ac:dyDescent="0.15">
      <c r="B138" s="278"/>
      <c r="C138" s="189">
        <v>145009</v>
      </c>
      <c r="D138" s="190" t="s">
        <v>308</v>
      </c>
      <c r="E138" s="191"/>
    </row>
    <row r="139" spans="2:5" ht="15.95" customHeight="1" x14ac:dyDescent="0.15">
      <c r="B139" s="278" t="s">
        <v>309</v>
      </c>
      <c r="C139" s="189">
        <v>104032</v>
      </c>
      <c r="D139" s="190" t="s">
        <v>310</v>
      </c>
      <c r="E139" s="191" t="s">
        <v>169</v>
      </c>
    </row>
    <row r="140" spans="2:5" ht="15.95" customHeight="1" x14ac:dyDescent="0.15">
      <c r="B140" s="278"/>
      <c r="C140" s="189">
        <v>304802</v>
      </c>
      <c r="D140" s="190" t="s">
        <v>311</v>
      </c>
      <c r="E140" s="191" t="s">
        <v>169</v>
      </c>
    </row>
    <row r="141" spans="2:5" ht="15.95" customHeight="1" x14ac:dyDescent="0.15">
      <c r="B141" s="278"/>
      <c r="C141" s="189">
        <v>304807</v>
      </c>
      <c r="D141" s="190" t="s">
        <v>312</v>
      </c>
      <c r="E141" s="191" t="s">
        <v>169</v>
      </c>
    </row>
    <row r="142" spans="2:5" ht="15.95" customHeight="1" x14ac:dyDescent="0.15">
      <c r="B142" s="278"/>
      <c r="C142" s="189">
        <v>204809</v>
      </c>
      <c r="D142" s="190" t="s">
        <v>313</v>
      </c>
      <c r="E142" s="191"/>
    </row>
    <row r="143" spans="2:5" ht="15.95" customHeight="1" x14ac:dyDescent="0.15">
      <c r="B143" s="278"/>
      <c r="C143" s="189">
        <v>204869</v>
      </c>
      <c r="D143" s="190" t="s">
        <v>314</v>
      </c>
      <c r="E143" s="191"/>
    </row>
    <row r="144" spans="2:5" ht="15.95" customHeight="1" x14ac:dyDescent="0.15">
      <c r="B144" s="278"/>
      <c r="C144" s="189">
        <v>304803</v>
      </c>
      <c r="D144" s="190" t="s">
        <v>315</v>
      </c>
      <c r="E144" s="191" t="s">
        <v>169</v>
      </c>
    </row>
    <row r="145" spans="2:5" ht="15.95" customHeight="1" x14ac:dyDescent="0.15">
      <c r="B145" s="278"/>
      <c r="C145" s="189">
        <v>204835</v>
      </c>
      <c r="D145" s="190" t="s">
        <v>316</v>
      </c>
      <c r="E145" s="191" t="s">
        <v>169</v>
      </c>
    </row>
    <row r="146" spans="2:5" ht="15.95" customHeight="1" x14ac:dyDescent="0.15">
      <c r="B146" s="278"/>
      <c r="C146" s="189">
        <v>304823</v>
      </c>
      <c r="D146" s="190" t="s">
        <v>317</v>
      </c>
      <c r="E146" s="191" t="s">
        <v>169</v>
      </c>
    </row>
    <row r="147" spans="2:5" ht="15.95" customHeight="1" x14ac:dyDescent="0.15">
      <c r="B147" s="278"/>
      <c r="C147" s="189">
        <v>204830</v>
      </c>
      <c r="D147" s="190" t="s">
        <v>318</v>
      </c>
      <c r="E147" s="191"/>
    </row>
    <row r="148" spans="2:5" ht="15.95" customHeight="1" x14ac:dyDescent="0.15">
      <c r="B148" s="278"/>
      <c r="C148" s="189">
        <v>204831</v>
      </c>
      <c r="D148" s="190" t="s">
        <v>319</v>
      </c>
      <c r="E148" s="191"/>
    </row>
    <row r="149" spans="2:5" ht="15.95" customHeight="1" x14ac:dyDescent="0.15">
      <c r="B149" s="278"/>
      <c r="C149" s="189">
        <v>204850</v>
      </c>
      <c r="D149" s="190" t="s">
        <v>320</v>
      </c>
      <c r="E149" s="191"/>
    </row>
    <row r="150" spans="2:5" ht="15.95" customHeight="1" x14ac:dyDescent="0.15">
      <c r="B150" s="278"/>
      <c r="C150" s="189">
        <v>204851</v>
      </c>
      <c r="D150" s="190" t="s">
        <v>321</v>
      </c>
      <c r="E150" s="191"/>
    </row>
    <row r="151" spans="2:5" ht="15.95" customHeight="1" x14ac:dyDescent="0.15">
      <c r="B151" s="278"/>
      <c r="C151" s="189">
        <v>204852</v>
      </c>
      <c r="D151" s="190" t="s">
        <v>322</v>
      </c>
      <c r="E151" s="191"/>
    </row>
    <row r="152" spans="2:5" ht="15.95" customHeight="1" x14ac:dyDescent="0.15">
      <c r="B152" s="278"/>
      <c r="C152" s="189">
        <v>204853</v>
      </c>
      <c r="D152" s="190" t="s">
        <v>323</v>
      </c>
      <c r="E152" s="191"/>
    </row>
    <row r="153" spans="2:5" ht="15.95" customHeight="1" x14ac:dyDescent="0.15">
      <c r="B153" s="278"/>
      <c r="C153" s="189">
        <v>204887</v>
      </c>
      <c r="D153" s="190" t="s">
        <v>324</v>
      </c>
      <c r="E153" s="191"/>
    </row>
    <row r="154" spans="2:5" ht="15.95" customHeight="1" x14ac:dyDescent="0.15">
      <c r="B154" s="278"/>
      <c r="C154" s="189">
        <v>204856</v>
      </c>
      <c r="D154" s="190" t="s">
        <v>325</v>
      </c>
      <c r="E154" s="191"/>
    </row>
    <row r="155" spans="2:5" ht="15.95" customHeight="1" x14ac:dyDescent="0.15">
      <c r="B155" s="278"/>
      <c r="C155" s="189">
        <v>204857</v>
      </c>
      <c r="D155" s="190" t="s">
        <v>326</v>
      </c>
      <c r="E155" s="191"/>
    </row>
    <row r="156" spans="2:5" ht="15.95" customHeight="1" x14ac:dyDescent="0.15">
      <c r="B156" s="278"/>
      <c r="C156" s="189">
        <v>204858</v>
      </c>
      <c r="D156" s="190" t="s">
        <v>327</v>
      </c>
      <c r="E156" s="191"/>
    </row>
    <row r="157" spans="2:5" ht="15.95" customHeight="1" x14ac:dyDescent="0.15">
      <c r="B157" s="278"/>
      <c r="C157" s="189">
        <v>204833</v>
      </c>
      <c r="D157" s="190" t="s">
        <v>328</v>
      </c>
      <c r="E157" s="191" t="s">
        <v>169</v>
      </c>
    </row>
    <row r="158" spans="2:5" ht="15.95" customHeight="1" x14ac:dyDescent="0.15">
      <c r="B158" s="278"/>
      <c r="C158" s="189">
        <v>204834</v>
      </c>
      <c r="D158" s="190" t="s">
        <v>329</v>
      </c>
      <c r="E158" s="191" t="s">
        <v>169</v>
      </c>
    </row>
    <row r="159" spans="2:5" ht="15.95" customHeight="1" x14ac:dyDescent="0.15">
      <c r="B159" s="278"/>
      <c r="C159" s="189">
        <v>304804</v>
      </c>
      <c r="D159" s="190" t="s">
        <v>330</v>
      </c>
      <c r="E159" s="191" t="s">
        <v>169</v>
      </c>
    </row>
    <row r="160" spans="2:5" s="184" customFormat="1" ht="15.95" customHeight="1" x14ac:dyDescent="0.15">
      <c r="B160" s="278"/>
      <c r="C160" s="189">
        <v>304822</v>
      </c>
      <c r="D160" s="190" t="s">
        <v>331</v>
      </c>
      <c r="E160" s="191" t="s">
        <v>169</v>
      </c>
    </row>
    <row r="161" spans="2:5" s="184" customFormat="1" ht="15.95" customHeight="1" x14ac:dyDescent="0.15">
      <c r="B161" s="278"/>
      <c r="C161" s="189">
        <v>204884</v>
      </c>
      <c r="D161" s="190" t="s">
        <v>332</v>
      </c>
      <c r="E161" s="191" t="s">
        <v>169</v>
      </c>
    </row>
    <row r="162" spans="2:5" ht="15.95" customHeight="1" x14ac:dyDescent="0.15">
      <c r="B162" s="278"/>
      <c r="C162" s="189">
        <v>204880</v>
      </c>
      <c r="D162" s="190" t="s">
        <v>333</v>
      </c>
      <c r="E162" s="191" t="s">
        <v>169</v>
      </c>
    </row>
    <row r="163" spans="2:5" ht="15.95" customHeight="1" x14ac:dyDescent="0.15">
      <c r="B163" s="278"/>
      <c r="C163" s="189">
        <v>204974</v>
      </c>
      <c r="D163" s="190" t="s">
        <v>334</v>
      </c>
      <c r="E163" s="191" t="s">
        <v>169</v>
      </c>
    </row>
    <row r="164" spans="2:5" ht="15.95" customHeight="1" x14ac:dyDescent="0.15">
      <c r="B164" s="278"/>
      <c r="C164" s="189">
        <v>204972</v>
      </c>
      <c r="D164" s="190" t="s">
        <v>335</v>
      </c>
      <c r="E164" s="191"/>
    </row>
    <row r="165" spans="2:5" ht="15.95" customHeight="1" x14ac:dyDescent="0.15">
      <c r="B165" s="278"/>
      <c r="C165" s="189">
        <v>204979</v>
      </c>
      <c r="D165" s="190" t="s">
        <v>336</v>
      </c>
      <c r="E165" s="191"/>
    </row>
    <row r="166" spans="2:5" ht="15.95" customHeight="1" x14ac:dyDescent="0.15">
      <c r="B166" s="278"/>
      <c r="C166" s="196">
        <v>204956</v>
      </c>
      <c r="D166" s="190" t="s">
        <v>337</v>
      </c>
      <c r="E166" s="191"/>
    </row>
    <row r="167" spans="2:5" ht="15.95" customHeight="1" x14ac:dyDescent="0.15">
      <c r="B167" s="278" t="s">
        <v>338</v>
      </c>
      <c r="C167" s="189">
        <v>404202</v>
      </c>
      <c r="D167" s="197" t="s">
        <v>339</v>
      </c>
      <c r="E167" s="191" t="s">
        <v>169</v>
      </c>
    </row>
    <row r="168" spans="2:5" ht="15.95" customHeight="1" x14ac:dyDescent="0.15">
      <c r="B168" s="278"/>
      <c r="C168" s="198">
        <v>404201</v>
      </c>
      <c r="D168" s="190" t="s">
        <v>340</v>
      </c>
      <c r="E168" s="191" t="s">
        <v>169</v>
      </c>
    </row>
    <row r="169" spans="2:5" ht="15.95" customHeight="1" x14ac:dyDescent="0.15">
      <c r="B169" s="278"/>
      <c r="C169" s="199">
        <v>405001</v>
      </c>
      <c r="D169" s="190" t="s">
        <v>341</v>
      </c>
      <c r="E169" s="191" t="s">
        <v>169</v>
      </c>
    </row>
    <row r="170" spans="2:5" ht="15.95" customHeight="1" x14ac:dyDescent="0.15">
      <c r="B170" s="278"/>
      <c r="C170" s="200">
        <v>405003</v>
      </c>
      <c r="D170" s="190" t="s">
        <v>342</v>
      </c>
      <c r="E170" s="191" t="s">
        <v>169</v>
      </c>
    </row>
    <row r="171" spans="2:5" ht="15.95" customHeight="1" x14ac:dyDescent="0.15">
      <c r="B171" s="278"/>
      <c r="C171" s="189">
        <v>403201</v>
      </c>
      <c r="D171" s="190" t="s">
        <v>343</v>
      </c>
      <c r="E171" s="191" t="s">
        <v>169</v>
      </c>
    </row>
    <row r="172" spans="2:5" ht="15.95" customHeight="1" x14ac:dyDescent="0.15">
      <c r="B172" s="278"/>
      <c r="C172" s="199">
        <v>403204</v>
      </c>
      <c r="D172" s="190" t="s">
        <v>344</v>
      </c>
      <c r="E172" s="191" t="s">
        <v>169</v>
      </c>
    </row>
    <row r="173" spans="2:5" ht="15.95" customHeight="1" x14ac:dyDescent="0.15">
      <c r="B173" s="278"/>
      <c r="C173" s="199">
        <v>403251</v>
      </c>
      <c r="D173" s="192" t="s">
        <v>345</v>
      </c>
      <c r="E173" s="193" t="s">
        <v>169</v>
      </c>
    </row>
    <row r="174" spans="2:5" ht="15.95" customHeight="1" x14ac:dyDescent="0.15">
      <c r="B174" s="278"/>
      <c r="C174" s="199">
        <v>403252</v>
      </c>
      <c r="D174" s="192" t="s">
        <v>346</v>
      </c>
      <c r="E174" s="193" t="s">
        <v>169</v>
      </c>
    </row>
    <row r="175" spans="2:5" ht="15.95" customHeight="1" x14ac:dyDescent="0.15">
      <c r="B175" s="278"/>
      <c r="C175" s="199">
        <v>407003</v>
      </c>
      <c r="D175" s="190" t="s">
        <v>347</v>
      </c>
      <c r="E175" s="191" t="s">
        <v>169</v>
      </c>
    </row>
    <row r="176" spans="2:5" ht="15.95" customHeight="1" x14ac:dyDescent="0.15">
      <c r="B176" s="278"/>
      <c r="C176" s="199">
        <v>407001</v>
      </c>
      <c r="D176" s="190" t="s">
        <v>348</v>
      </c>
      <c r="E176" s="191" t="s">
        <v>169</v>
      </c>
    </row>
    <row r="177" spans="2:5" ht="15.95" customHeight="1" x14ac:dyDescent="0.15">
      <c r="B177" s="278"/>
      <c r="C177" s="189">
        <v>407002</v>
      </c>
      <c r="D177" s="201" t="s">
        <v>349</v>
      </c>
      <c r="E177" s="202" t="s">
        <v>169</v>
      </c>
    </row>
    <row r="178" spans="2:5" ht="15.95" customHeight="1" x14ac:dyDescent="0.15">
      <c r="B178" s="278"/>
      <c r="C178" s="199">
        <v>404204</v>
      </c>
      <c r="D178" s="201" t="s">
        <v>350</v>
      </c>
      <c r="E178" s="202" t="s">
        <v>169</v>
      </c>
    </row>
    <row r="179" spans="2:5" ht="15.95" customHeight="1" x14ac:dyDescent="0.15">
      <c r="B179" s="278"/>
      <c r="C179" s="199">
        <v>302018</v>
      </c>
      <c r="D179" s="203" t="s">
        <v>351</v>
      </c>
      <c r="E179" s="204" t="s">
        <v>169</v>
      </c>
    </row>
  </sheetData>
  <mergeCells count="9">
    <mergeCell ref="B116:B128"/>
    <mergeCell ref="B129:B138"/>
    <mergeCell ref="B139:B166"/>
    <mergeCell ref="B167:B179"/>
    <mergeCell ref="B3:B12"/>
    <mergeCell ref="B13:B33"/>
    <mergeCell ref="B34:B50"/>
    <mergeCell ref="B51:B96"/>
    <mergeCell ref="B97:B115"/>
  </mergeCells>
  <phoneticPr fontId="19" type="noConversion"/>
  <hyperlinks>
    <hyperlink ref="C95" location="接口信息!C1554" display="接口信息!C1554"/>
    <hyperlink ref="C90" location="接口信息!C1509" display="接口信息!C1509"/>
    <hyperlink ref="C89" location="接口信息!C1487" display="接口信息!C1487"/>
    <hyperlink ref="C88" location="接口信息!C1461" display="接口信息!C1461"/>
    <hyperlink ref="C96" location="接口信息!C3790" display="接口信息!C3790"/>
    <hyperlink ref="C113" location="接口信息!C3741" display="接口信息!C3741"/>
    <hyperlink ref="C165" location="接口信息!C3729" display="接口信息!C3729"/>
    <hyperlink ref="C164" location="接口信息!C3710" display="接口信息!C3710"/>
    <hyperlink ref="C111" location="接口信息!C3686" display="接口信息!C3686"/>
    <hyperlink ref="C110" location="接口信息!C3634" display="接口信息!C3634"/>
    <hyperlink ref="C112" location="接口信息!C3619" display="接口信息!C3619"/>
    <hyperlink ref="C48" location="接口信息!C3587" display="接口信息!C3587"/>
    <hyperlink ref="C163" location="接口信息!C3543" display="接口信息!C3543"/>
    <hyperlink ref="C3" location="接口信息!C2" display="接口信息!C2"/>
    <hyperlink ref="C4" location="接口信息!C14" display="接口信息!C14"/>
    <hyperlink ref="C5" location="接口信息!C25" display="接口信息!C25"/>
    <hyperlink ref="C6" location="接口信息!C35" display="接口信息!C35"/>
    <hyperlink ref="C7" location="接口信息!C46" display="接口信息!C46"/>
    <hyperlink ref="C9" location="接口信息!C70" display="接口信息!C70"/>
    <hyperlink ref="C10" location="接口信息!C82" display="接口信息!C82"/>
    <hyperlink ref="C12" location="接口信息!C106" display="接口信息!C106"/>
    <hyperlink ref="C13" location="接口信息!C123" display="接口信息!C123"/>
    <hyperlink ref="C14" location="接口信息!C147" display="接口信息!C147"/>
    <hyperlink ref="C15" location="接口信息!C159" display="接口信息!C159"/>
    <hyperlink ref="C16" location="接口信息!C172" display="接口信息!C172"/>
    <hyperlink ref="C17" location="接口信息!C185" display="接口信息!C185"/>
    <hyperlink ref="C18" location="接口信息!C3215" display="接口信息!C3215"/>
    <hyperlink ref="C19" location="接口信息!C211" display="接口信息!C211"/>
    <hyperlink ref="C20" location="接口信息!C231" display="接口信息!C231"/>
    <hyperlink ref="C21" location="接口信息!C244" display="接口信息!C244"/>
    <hyperlink ref="C22" location="接口信息!C255" display="接口信息!C255"/>
    <hyperlink ref="C23" location="接口信息!C273" display="接口信息!C273"/>
    <hyperlink ref="C24" location="接口信息!C288" display="接口信息!C288"/>
    <hyperlink ref="C25" location="接口信息!C299" display="接口信息!C299"/>
    <hyperlink ref="C26" location="接口信息!C311" display="接口信息!C311"/>
    <hyperlink ref="C27" location="接口信息!C324" display="接口信息!C324"/>
    <hyperlink ref="C28" location="接口信息!C338" display="接口信息!C338"/>
    <hyperlink ref="C29" location="接口信息!C351" display="接口信息!C351"/>
    <hyperlink ref="C30" location="接口信息!C364" display="接口信息!C364"/>
    <hyperlink ref="C31" location="接口信息!C375" display="接口信息!C375"/>
    <hyperlink ref="C32" location="接口信息!C387" display="接口信息!C387"/>
    <hyperlink ref="C34" location="接口信息!C415" display="接口信息!C415"/>
    <hyperlink ref="C35" location="接口信息!C438" display="接口信息!C438"/>
    <hyperlink ref="C36" location="接口信息!C461" display="接口信息!C461"/>
    <hyperlink ref="C37" location="接口信息!C477" display="接口信息!C477"/>
    <hyperlink ref="C38" location="接口信息!C495" display="接口信息!C495"/>
    <hyperlink ref="C39" location="接口信息!C512" display="接口信息!C512"/>
    <hyperlink ref="C40" location="接口信息!C536" display="接口信息!C536"/>
    <hyperlink ref="C41" location="接口信息!C550" display="接口信息!C550"/>
    <hyperlink ref="C42" location="接口信息!C568" display="接口信息!C568"/>
    <hyperlink ref="C43" location="接口信息!C586" display="接口信息!C586"/>
    <hyperlink ref="C44" location="接口信息!C603" display="接口信息!C603"/>
    <hyperlink ref="C45" location="接口信息!C621" display="接口信息!C621"/>
    <hyperlink ref="C46" location="接口信息!C638" display="接口信息!C638"/>
    <hyperlink ref="C47" location="接口信息!C659" display="接口信息!C659"/>
    <hyperlink ref="C51" location="接口信息!C691" display="接口信息!C691"/>
    <hyperlink ref="C52" location="接口信息!C740" display="接口信息!C740"/>
    <hyperlink ref="C53" location="接口信息!C755" display="接口信息!C755"/>
    <hyperlink ref="C54" location="接口信息!C3187" display="接口信息!C3187"/>
    <hyperlink ref="C55" location="接口信息!C774" display="接口信息!C774"/>
    <hyperlink ref="C56" location="接口信息!C795" display="接口信息!C795"/>
    <hyperlink ref="C57" location="接口信息!C811" display="接口信息!C811"/>
    <hyperlink ref="C58" location="接口信息!C831" display="接口信息!C831"/>
    <hyperlink ref="C59" location="接口信息!C845" display="接口信息!C845"/>
    <hyperlink ref="C60" location="接口信息!C859" display="接口信息!C859"/>
    <hyperlink ref="C61" location="接口信息!C874" display="接口信息!C874"/>
    <hyperlink ref="C62" location="接口信息!C889" display="接口信息!C889"/>
    <hyperlink ref="C63" location="接口信息!C931" display="接口信息!C931"/>
    <hyperlink ref="C64" location="接口信息!C948" display="接口信息!C948"/>
    <hyperlink ref="C65" location="接口信息!C963" display="接口信息!C963"/>
    <hyperlink ref="C66" location="接口信息!C975" display="接口信息!C975"/>
    <hyperlink ref="C67" location="接口信息!C992" display="接口信息!C992"/>
    <hyperlink ref="C68" location="接口信息!C1021" display="接口信息!C1021"/>
    <hyperlink ref="C69" location="接口信息!C1093" display="接口信息!C1093"/>
    <hyperlink ref="C70" location="接口信息!C1111" display="接口信息!C1111"/>
    <hyperlink ref="C71" location="接口信息!C1127" display="接口信息!C1127"/>
    <hyperlink ref="C72" location="接口信息!C1168" display="接口信息!C1168"/>
    <hyperlink ref="C73" location="接口信息!C1205" display="接口信息!C1205"/>
    <hyperlink ref="C74" location="接口信息!C1231" display="接口信息!C1231"/>
    <hyperlink ref="C75" location="接口信息!C1258" display="接口信息!C1258"/>
    <hyperlink ref="C76" location="接口信息!C1277" display="接口信息!C1277"/>
    <hyperlink ref="C77" location="接口信息!C1299" display="接口信息!C1299"/>
    <hyperlink ref="C78" location="接口信息!C1313" display="接口信息!C1313"/>
    <hyperlink ref="C79" location="接口信息!C1330" display="接口信息!C1330"/>
    <hyperlink ref="C80" location="接口信息!C1343" display="接口信息!C1343"/>
    <hyperlink ref="C81" location="接口信息!C1369" display="接口信息!C1369"/>
    <hyperlink ref="C82" location="接口信息!C3085" display="接口信息!C3085"/>
    <hyperlink ref="C83" location="接口信息!C1395" display="接口信息!C1395"/>
    <hyperlink ref="C84" location="接口信息!C3231" display="接口信息!C3231"/>
    <hyperlink ref="C85" location="接口信息!C3327" display="接口信息!C3327"/>
    <hyperlink ref="C86" location="接口信息!C1426" display="接口信息!C1426"/>
    <hyperlink ref="C87" location="接口信息!C1445" display="接口信息!C1445"/>
    <hyperlink ref="C97" location="接口信息!C1600" display="接口信息!C1600"/>
    <hyperlink ref="C98" location="接口信息!C1614" display="接口信息!C1614"/>
    <hyperlink ref="C99" location="接口信息!C1637" display="接口信息!C1637"/>
    <hyperlink ref="C100" location="接口信息!C2942" display="接口信息!C2942"/>
    <hyperlink ref="C101" location="接口信息!C2966" display="接口信息!C2966"/>
    <hyperlink ref="C102" location="接口信息!C2979" display="接口信息!C2979"/>
    <hyperlink ref="C103" location="接口信息!C2995" display="接口信息!C2995"/>
    <hyperlink ref="C104" location="接口信息!C3032" display="接口信息!C3032"/>
    <hyperlink ref="C105" location="接口信息!C3056" display="接口信息!C3056"/>
    <hyperlink ref="C106" location="接口信息!C3472" display="接口信息!C3472"/>
    <hyperlink ref="C107" location="接口信息!C3498" display="接口信息!C3498"/>
    <hyperlink ref="C108" location="接口信息!C3352" display="接口信息!C3352"/>
    <hyperlink ref="C109" location="接口信息!C3518" display="接口信息!C3518"/>
    <hyperlink ref="C114" location="接口信息!C3381" display="接口信息!C3381"/>
    <hyperlink ref="C116" location="接口信息!C1659" display="接口信息!C1659"/>
    <hyperlink ref="C117" location="接口信息!C1670" display="接口信息!C1670"/>
    <hyperlink ref="C118" location="接口信息!C1691" display="接口信息!C1691"/>
    <hyperlink ref="C119" location="接口信息!C1702" display="接口信息!C1702"/>
    <hyperlink ref="C120" location="接口信息!C1715" display="接口信息!C1715"/>
    <hyperlink ref="C121" location="接口信息!C1727" display="接口信息!C1727"/>
    <hyperlink ref="C122" location="接口信息!C1738" display="接口信息!C1738"/>
    <hyperlink ref="C123" location="接口信息!C1757" display="接口信息!C1757"/>
    <hyperlink ref="C124" location="接口信息!C1775" display="接口信息!C1775"/>
    <hyperlink ref="C125" location="接口信息!C1791" display="接口信息!C1791"/>
    <hyperlink ref="C126" location="接口信息!C1810" display="接口信息!C1810"/>
    <hyperlink ref="C127" location="接口信息!C1821" display="接口信息!C1821"/>
    <hyperlink ref="C128" location="接口信息!C3142" display="接口信息!C3142"/>
    <hyperlink ref="C129" location="接口信息!C1848" display="接口信息!C1848"/>
    <hyperlink ref="C130" location="接口信息!C1860" display="接口信息!C1860"/>
    <hyperlink ref="C131" location="接口信息!C1881" display="接口信息!C1881"/>
    <hyperlink ref="C132" location="接口信息!C1899" display="接口信息!C1899"/>
    <hyperlink ref="C133" location="接口信息!C1911" display="接口信息!C1911"/>
    <hyperlink ref="C134" location="接口信息!C1935" display="接口信息!C1935"/>
    <hyperlink ref="C135" location="接口信息!C1959" display="接口信息!C1959"/>
    <hyperlink ref="C136" location="接口信息!C2913" display="接口信息!C2913"/>
    <hyperlink ref="C137" location="接口信息!C2929" display="接口信息!C2929"/>
    <hyperlink ref="C138" location="接口信息!C3164" display="接口信息!C3164"/>
    <hyperlink ref="C139" location="接口信息!C1970" display="接口信息!C1970"/>
    <hyperlink ref="C140" location="接口信息!C1980" display="接口信息!C1980"/>
    <hyperlink ref="C141" location="接口信息!C1994" display="接口信息!C1994"/>
    <hyperlink ref="C142" location="接口信息!C2014" display="接口信息!C2014"/>
    <hyperlink ref="C143" location="接口信息!C2029" display="接口信息!C2029"/>
    <hyperlink ref="C144" location="接口信息!C2041" display="接口信息!C2041"/>
    <hyperlink ref="C145" location="接口信息!C2055" display="接口信息!C2055"/>
    <hyperlink ref="C146" location="接口信息!C2086" display="接口信息!C2086"/>
    <hyperlink ref="C147" location="接口信息!C2107" display="接口信息!C2107"/>
    <hyperlink ref="C148" location="接口信息!C2171" display="接口信息!C2171"/>
    <hyperlink ref="C149" location="接口信息!C2190" display="接口信息!C2190"/>
    <hyperlink ref="C150" location="接口信息!C2207" display="接口信息!C2207"/>
    <hyperlink ref="C151" location="接口信息!C2223" display="接口信息!C2223"/>
    <hyperlink ref="C152" location="接口信息!C2239" display="接口信息!C2239"/>
    <hyperlink ref="C153" location="接口信息!C2252" display="接口信息!C2252"/>
    <hyperlink ref="C154" location="接口信息!C2268" display="接口信息!C2268"/>
    <hyperlink ref="C155" location="接口信息!C2287" display="接口信息!C2287"/>
    <hyperlink ref="C156" location="接口信息!C2305" display="接口信息!C2305"/>
    <hyperlink ref="C157" location="接口信息!C2318" display="接口信息!C2318"/>
    <hyperlink ref="C158" location="接口信息!C2398" display="接口信息!C2398"/>
    <hyperlink ref="C159" location="接口信息!C2449" display="接口信息!C2449"/>
    <hyperlink ref="C160" location="接口信息!C2465" display="接口信息!C2465"/>
    <hyperlink ref="C161" location="接口信息!C2489" display="接口信息!C2489"/>
    <hyperlink ref="C162" location="接口信息!C2502" display="接口信息!C2502"/>
    <hyperlink ref="C166" location="接口信息!C2543" display="接口信息!C2543"/>
    <hyperlink ref="C167" location="接口信息!C2558" display="接口信息!C2558"/>
    <hyperlink ref="C168" location="接口信息!C2597" display="接口信息!C2597"/>
    <hyperlink ref="C169" location="接口信息!C2641" display="接口信息!C2641"/>
    <hyperlink ref="C170" location="接口信息!C2673" display="接口信息!C2673"/>
    <hyperlink ref="C171" location="接口信息!C2706" display="接口信息!C2706"/>
    <hyperlink ref="C172" location="接口信息!C2729" display="接口信息!C2729"/>
    <hyperlink ref="C173" location="接口信息!C2757" display="接口信息!C2757"/>
    <hyperlink ref="C174" location="接口信息!C2784" display="接口信息!C2784"/>
    <hyperlink ref="C175" location="接口信息!C2809" display="接口信息!C2809"/>
    <hyperlink ref="C176" location="接口信息!C2883" display="接口信息!C2883"/>
    <hyperlink ref="C177" location="接口信息!C3261" display="接口信息!C3261"/>
    <hyperlink ref="C178" location="接口信息!C3108" display="接口信息!C3108"/>
    <hyperlink ref="C179" location="接口信息!C3562" display="接口信息!C3562"/>
    <hyperlink ref="C33" location="接口信息!C402" display="接口信息!C402"/>
    <hyperlink ref="C49" location="接口信息!C673" display="接口信息!C673"/>
    <hyperlink ref="C50" location="接口信息!C3754" display="接口信息!C3754"/>
    <hyperlink ref="C11" location="接口信息!C94" display="接口信息!C94"/>
    <hyperlink ref="C115" location="接口信息!C3767" display="接口信息!C3767"/>
    <hyperlink ref="C92" location="接口信息!C1051" display="接口信息!C1051"/>
    <hyperlink ref="C93" location="接口信息!C1080" display="接口信息!C1080"/>
    <hyperlink ref="C94" location="接口信息!C1034" display="接口信息!C1034"/>
    <hyperlink ref="C91" location="接口信息!C1531" display="接口信息!C1531"/>
    <hyperlink ref="C8" location="接口信息!C57" display="接口信息!C57"/>
  </hyperlinks>
  <pageMargins left="0.69930555555555596" right="0.69930555555555596" top="0.75" bottom="0.75" header="0.3" footer="0.3"/>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3803"/>
  <sheetViews>
    <sheetView tabSelected="1" topLeftCell="A1276" zoomScale="115" zoomScaleNormal="115" workbookViewId="0">
      <selection activeCell="G1297" sqref="G1297"/>
    </sheetView>
  </sheetViews>
  <sheetFormatPr defaultColWidth="9" defaultRowHeight="13.5" x14ac:dyDescent="0.15"/>
  <cols>
    <col min="1" max="1" width="1.5" style="1" customWidth="1"/>
    <col min="2" max="2" width="14" style="1" customWidth="1"/>
    <col min="3" max="3" width="18" style="1" customWidth="1"/>
    <col min="4" max="4" width="11.875" style="1" customWidth="1"/>
    <col min="5" max="5" width="11.75" style="1" customWidth="1"/>
    <col min="6" max="6" width="12.625" style="1" customWidth="1"/>
    <col min="7" max="7" width="65.75" style="1" customWidth="1"/>
    <col min="8" max="16383" width="9" style="1"/>
  </cols>
  <sheetData>
    <row r="1" spans="2:7" ht="15.75" customHeight="1" x14ac:dyDescent="0.15"/>
    <row r="2" spans="2:7" x14ac:dyDescent="0.15">
      <c r="B2" s="57" t="s">
        <v>163</v>
      </c>
      <c r="C2" s="291">
        <v>101020</v>
      </c>
      <c r="D2" s="291"/>
      <c r="E2" s="291"/>
      <c r="F2" s="58" t="s">
        <v>352</v>
      </c>
      <c r="G2" s="59"/>
    </row>
    <row r="3" spans="2:7" x14ac:dyDescent="0.15">
      <c r="B3" s="60" t="s">
        <v>353</v>
      </c>
      <c r="C3" s="290" t="str">
        <f>VLOOKUP(C2,功能索引!$C$3:$D$278,2,FALSE)</f>
        <v>查询系统当前状态</v>
      </c>
      <c r="D3" s="290"/>
      <c r="E3" s="290"/>
      <c r="F3" s="61" t="s">
        <v>165</v>
      </c>
      <c r="G3" s="62">
        <f>VLOOKUP(C2,功能索引!$C$3:$E278,3,FALSE)</f>
        <v>0</v>
      </c>
    </row>
    <row r="4" spans="2:7" x14ac:dyDescent="0.15">
      <c r="B4" s="299" t="s">
        <v>354</v>
      </c>
      <c r="C4" s="311"/>
      <c r="D4" s="311"/>
      <c r="E4" s="311"/>
      <c r="F4" s="311"/>
      <c r="G4" s="312"/>
    </row>
    <row r="5" spans="2:7" ht="13.5" customHeight="1" x14ac:dyDescent="0.15">
      <c r="B5" s="304"/>
      <c r="C5" s="313"/>
      <c r="D5" s="313"/>
      <c r="E5" s="313"/>
      <c r="F5" s="313"/>
      <c r="G5" s="314"/>
    </row>
    <row r="6" spans="2:7" x14ac:dyDescent="0.15">
      <c r="B6" s="298" t="s">
        <v>355</v>
      </c>
      <c r="C6" s="58" t="s">
        <v>356</v>
      </c>
      <c r="D6" s="58" t="s">
        <v>357</v>
      </c>
      <c r="E6" s="58" t="s">
        <v>358</v>
      </c>
      <c r="F6" s="58" t="s">
        <v>359</v>
      </c>
      <c r="G6" s="64" t="s">
        <v>360</v>
      </c>
    </row>
    <row r="7" spans="2:7" x14ac:dyDescent="0.15">
      <c r="B7" s="299"/>
      <c r="C7" s="65"/>
      <c r="D7" s="66"/>
      <c r="E7" s="67"/>
      <c r="F7" s="67"/>
      <c r="G7" s="68"/>
    </row>
    <row r="8" spans="2:7" x14ac:dyDescent="0.15">
      <c r="B8" s="299" t="s">
        <v>361</v>
      </c>
      <c r="C8" s="69" t="s">
        <v>362</v>
      </c>
      <c r="D8" s="70">
        <f>VLOOKUP(C8,基本字段定义!$B$3:$C$3013,2,FALSE)</f>
        <v>507</v>
      </c>
      <c r="E8" s="71" t="s">
        <v>363</v>
      </c>
      <c r="F8" s="71"/>
      <c r="G8" s="72"/>
    </row>
    <row r="9" spans="2:7" x14ac:dyDescent="0.15">
      <c r="B9" s="299"/>
      <c r="C9" s="69" t="s">
        <v>364</v>
      </c>
      <c r="D9" s="70">
        <f>VLOOKUP(C9,基本字段定义!$B$3:$C$3013,2,FALSE)</f>
        <v>508</v>
      </c>
      <c r="E9" s="71" t="s">
        <v>365</v>
      </c>
      <c r="F9" s="71"/>
      <c r="G9" s="73"/>
    </row>
    <row r="10" spans="2:7" x14ac:dyDescent="0.15">
      <c r="B10" s="299"/>
      <c r="C10" s="69" t="s">
        <v>366</v>
      </c>
      <c r="D10" s="70">
        <f>VLOOKUP(C10,基本字段定义!$B$3:$C$3013,2,FALSE)</f>
        <v>1137</v>
      </c>
      <c r="E10" s="71" t="s">
        <v>363</v>
      </c>
      <c r="F10" s="71"/>
      <c r="G10" s="73" t="s">
        <v>367</v>
      </c>
    </row>
    <row r="11" spans="2:7" x14ac:dyDescent="0.15">
      <c r="B11" s="299"/>
      <c r="C11" s="69" t="s">
        <v>368</v>
      </c>
      <c r="D11" s="70">
        <f>VLOOKUP(C11,基本字段定义!$B$3:$C$3013,2,FALSE)</f>
        <v>1555</v>
      </c>
      <c r="E11" s="71" t="s">
        <v>363</v>
      </c>
      <c r="F11" s="71"/>
      <c r="G11" s="74" t="s">
        <v>369</v>
      </c>
    </row>
    <row r="12" spans="2:7" x14ac:dyDescent="0.15">
      <c r="B12" s="304"/>
      <c r="C12" s="75"/>
      <c r="D12" s="76"/>
      <c r="E12" s="77"/>
      <c r="F12" s="77"/>
      <c r="G12" s="78"/>
    </row>
    <row r="14" spans="2:7" x14ac:dyDescent="0.15">
      <c r="B14" s="57" t="s">
        <v>163</v>
      </c>
      <c r="C14" s="291">
        <v>101004</v>
      </c>
      <c r="D14" s="291"/>
      <c r="E14" s="291"/>
      <c r="F14" s="58" t="s">
        <v>352</v>
      </c>
      <c r="G14" s="59"/>
    </row>
    <row r="15" spans="2:7" x14ac:dyDescent="0.15">
      <c r="B15" s="60" t="s">
        <v>353</v>
      </c>
      <c r="C15" s="290" t="str">
        <f>VLOOKUP(C14,功能索引!$C$3:$D$278,2,FALSE)</f>
        <v>系统数据字典查询</v>
      </c>
      <c r="D15" s="290"/>
      <c r="E15" s="290"/>
      <c r="F15" s="61" t="s">
        <v>165</v>
      </c>
      <c r="G15" s="62" t="str">
        <f>VLOOKUP(C14,功能索引!$C$3:$E290,3,FALSE)</f>
        <v>Y</v>
      </c>
    </row>
    <row r="16" spans="2:7" x14ac:dyDescent="0.15">
      <c r="B16" s="299" t="s">
        <v>354</v>
      </c>
      <c r="C16" s="311"/>
      <c r="D16" s="311"/>
      <c r="E16" s="311"/>
      <c r="F16" s="311"/>
      <c r="G16" s="312"/>
    </row>
    <row r="17" spans="2:7" x14ac:dyDescent="0.15">
      <c r="B17" s="304"/>
      <c r="C17" s="313"/>
      <c r="D17" s="313"/>
      <c r="E17" s="313"/>
      <c r="F17" s="313"/>
      <c r="G17" s="314"/>
    </row>
    <row r="18" spans="2:7" x14ac:dyDescent="0.15">
      <c r="B18" s="298" t="s">
        <v>355</v>
      </c>
      <c r="C18" s="58" t="s">
        <v>356</v>
      </c>
      <c r="D18" s="58" t="s">
        <v>357</v>
      </c>
      <c r="E18" s="58" t="s">
        <v>358</v>
      </c>
      <c r="F18" s="58" t="s">
        <v>359</v>
      </c>
      <c r="G18" s="64" t="s">
        <v>360</v>
      </c>
    </row>
    <row r="19" spans="2:7" x14ac:dyDescent="0.15">
      <c r="B19" s="299"/>
      <c r="C19" s="65" t="s">
        <v>370</v>
      </c>
      <c r="D19" s="66">
        <f>VLOOKUP(C19,基本字段定义!$B$3:$C$3013,2,FALSE)</f>
        <v>566</v>
      </c>
      <c r="E19" s="67" t="s">
        <v>371</v>
      </c>
      <c r="F19" s="67"/>
      <c r="G19" s="68" t="s">
        <v>372</v>
      </c>
    </row>
    <row r="20" spans="2:7" x14ac:dyDescent="0.15">
      <c r="B20" s="299" t="s">
        <v>361</v>
      </c>
      <c r="C20" s="69" t="s">
        <v>370</v>
      </c>
      <c r="D20" s="70">
        <f>VLOOKUP(C20,基本字段定义!$B$3:$C$3013,2,FALSE)</f>
        <v>566</v>
      </c>
      <c r="E20" s="71" t="s">
        <v>365</v>
      </c>
      <c r="F20" s="71"/>
      <c r="G20" s="73" t="s">
        <v>372</v>
      </c>
    </row>
    <row r="21" spans="2:7" x14ac:dyDescent="0.15">
      <c r="B21" s="299"/>
      <c r="C21" s="69" t="s">
        <v>373</v>
      </c>
      <c r="D21" s="70">
        <f>VLOOKUP(C21,基本字段定义!$B$3:$C$3013,2,FALSE)</f>
        <v>898</v>
      </c>
      <c r="E21" s="71" t="s">
        <v>365</v>
      </c>
      <c r="F21" s="71"/>
      <c r="G21" s="73" t="s">
        <v>374</v>
      </c>
    </row>
    <row r="22" spans="2:7" x14ac:dyDescent="0.15">
      <c r="B22" s="299"/>
      <c r="C22" s="69" t="s">
        <v>375</v>
      </c>
      <c r="D22" s="70">
        <f>VLOOKUP(C22,基本字段定义!$B$3:$C$3013,2,FALSE)</f>
        <v>899</v>
      </c>
      <c r="E22" s="71" t="s">
        <v>365</v>
      </c>
      <c r="F22" s="71"/>
      <c r="G22" s="73" t="s">
        <v>360</v>
      </c>
    </row>
    <row r="23" spans="2:7" x14ac:dyDescent="0.15">
      <c r="B23" s="304"/>
      <c r="C23" s="75"/>
      <c r="D23" s="76"/>
      <c r="E23" s="77"/>
      <c r="F23" s="77"/>
      <c r="G23" s="78"/>
    </row>
    <row r="25" spans="2:7" x14ac:dyDescent="0.15">
      <c r="B25" s="57" t="s">
        <v>163</v>
      </c>
      <c r="C25" s="291">
        <v>102002</v>
      </c>
      <c r="D25" s="291"/>
      <c r="E25" s="291"/>
      <c r="F25" s="58" t="s">
        <v>352</v>
      </c>
      <c r="G25" s="59"/>
    </row>
    <row r="26" spans="2:7" x14ac:dyDescent="0.15">
      <c r="B26" s="60" t="s">
        <v>353</v>
      </c>
      <c r="C26" s="290" t="str">
        <f>VLOOKUP(C25,功能索引!$C$3:$D$278,2,FALSE)</f>
        <v>客户提示属性项目查询</v>
      </c>
      <c r="D26" s="290"/>
      <c r="E26" s="290"/>
      <c r="F26" s="61" t="s">
        <v>165</v>
      </c>
      <c r="G26" s="62" t="str">
        <f>VLOOKUP(C25,功能索引!$C$3:$E301,3,FALSE)</f>
        <v>Y</v>
      </c>
    </row>
    <row r="27" spans="2:7" x14ac:dyDescent="0.15">
      <c r="B27" s="299" t="s">
        <v>354</v>
      </c>
      <c r="C27" s="311"/>
      <c r="D27" s="311"/>
      <c r="E27" s="311"/>
      <c r="F27" s="311"/>
      <c r="G27" s="312"/>
    </row>
    <row r="28" spans="2:7" x14ac:dyDescent="0.15">
      <c r="B28" s="304"/>
      <c r="C28" s="313"/>
      <c r="D28" s="313"/>
      <c r="E28" s="313"/>
      <c r="F28" s="313"/>
      <c r="G28" s="314"/>
    </row>
    <row r="29" spans="2:7" x14ac:dyDescent="0.15">
      <c r="B29" s="315" t="s">
        <v>355</v>
      </c>
      <c r="C29" s="58" t="s">
        <v>356</v>
      </c>
      <c r="D29" s="58" t="s">
        <v>357</v>
      </c>
      <c r="E29" s="58" t="s">
        <v>358</v>
      </c>
      <c r="F29" s="58" t="s">
        <v>359</v>
      </c>
      <c r="G29" s="79" t="s">
        <v>360</v>
      </c>
    </row>
    <row r="30" spans="2:7" x14ac:dyDescent="0.15">
      <c r="B30" s="301"/>
      <c r="C30" s="65"/>
      <c r="D30" s="66"/>
      <c r="E30" s="67"/>
      <c r="F30" s="67"/>
      <c r="G30" s="80"/>
    </row>
    <row r="31" spans="2:7" x14ac:dyDescent="0.15">
      <c r="B31" s="300" t="s">
        <v>361</v>
      </c>
      <c r="C31" s="69" t="s">
        <v>376</v>
      </c>
      <c r="D31" s="70">
        <f>VLOOKUP(C31,基本字段定义!$B$3:$C$3013,2,FALSE)</f>
        <v>1785</v>
      </c>
      <c r="E31" s="71" t="s">
        <v>365</v>
      </c>
      <c r="F31" s="71"/>
      <c r="G31" s="81" t="s">
        <v>377</v>
      </c>
    </row>
    <row r="32" spans="2:7" x14ac:dyDescent="0.15">
      <c r="B32" s="301"/>
      <c r="C32" s="69" t="s">
        <v>378</v>
      </c>
      <c r="D32" s="70">
        <f>VLOOKUP(C32,基本字段定义!$B$3:$C$3013,2,FALSE)</f>
        <v>817</v>
      </c>
      <c r="E32" s="71" t="s">
        <v>365</v>
      </c>
      <c r="F32" s="71"/>
      <c r="G32" s="81" t="s">
        <v>379</v>
      </c>
    </row>
    <row r="33" spans="2:7" x14ac:dyDescent="0.15">
      <c r="B33" s="305"/>
      <c r="C33" s="75"/>
      <c r="D33" s="76"/>
      <c r="E33" s="77"/>
      <c r="F33" s="77"/>
      <c r="G33" s="82"/>
    </row>
    <row r="35" spans="2:7" x14ac:dyDescent="0.15">
      <c r="B35" s="57" t="s">
        <v>163</v>
      </c>
      <c r="C35" s="291">
        <v>103010</v>
      </c>
      <c r="D35" s="291"/>
      <c r="E35" s="291"/>
      <c r="F35" s="58" t="s">
        <v>352</v>
      </c>
      <c r="G35" s="59"/>
    </row>
    <row r="36" spans="2:7" x14ac:dyDescent="0.15">
      <c r="B36" s="60" t="s">
        <v>353</v>
      </c>
      <c r="C36" s="290" t="str">
        <f>VLOOKUP(C35,功能索引!$C$3:$D$278,2,FALSE)</f>
        <v>银行代码参数查询</v>
      </c>
      <c r="D36" s="290"/>
      <c r="E36" s="290"/>
      <c r="F36" s="61" t="s">
        <v>165</v>
      </c>
      <c r="G36" s="62" t="str">
        <f>VLOOKUP(C35,功能索引!$C$3:$E301,3,FALSE)</f>
        <v>Y</v>
      </c>
    </row>
    <row r="37" spans="2:7" x14ac:dyDescent="0.15">
      <c r="B37" s="299" t="s">
        <v>354</v>
      </c>
      <c r="C37" s="311"/>
      <c r="D37" s="311"/>
      <c r="E37" s="311"/>
      <c r="F37" s="311"/>
      <c r="G37" s="312"/>
    </row>
    <row r="38" spans="2:7" x14ac:dyDescent="0.15">
      <c r="B38" s="304"/>
      <c r="C38" s="313"/>
      <c r="D38" s="313"/>
      <c r="E38" s="313"/>
      <c r="F38" s="313"/>
      <c r="G38" s="314"/>
    </row>
    <row r="39" spans="2:7" x14ac:dyDescent="0.15">
      <c r="B39" s="315" t="s">
        <v>355</v>
      </c>
      <c r="C39" s="58" t="s">
        <v>356</v>
      </c>
      <c r="D39" s="58" t="s">
        <v>357</v>
      </c>
      <c r="E39" s="58" t="s">
        <v>358</v>
      </c>
      <c r="F39" s="58" t="s">
        <v>359</v>
      </c>
      <c r="G39" s="79" t="s">
        <v>360</v>
      </c>
    </row>
    <row r="40" spans="2:7" x14ac:dyDescent="0.15">
      <c r="B40" s="301"/>
      <c r="C40" s="65" t="s">
        <v>380</v>
      </c>
      <c r="D40" s="66">
        <f>VLOOKUP(C40,基本字段定义!$B$3:$C$3013,2,FALSE)</f>
        <v>839</v>
      </c>
      <c r="E40" s="67" t="s">
        <v>363</v>
      </c>
      <c r="F40" s="67"/>
      <c r="G40" s="80" t="s">
        <v>381</v>
      </c>
    </row>
    <row r="41" spans="2:7" x14ac:dyDescent="0.15">
      <c r="B41" s="299" t="s">
        <v>361</v>
      </c>
      <c r="C41" s="69" t="s">
        <v>382</v>
      </c>
      <c r="D41" s="70">
        <f>VLOOKUP(C41,基本字段定义!$B$3:$C$3013,2,FALSE)</f>
        <v>1257</v>
      </c>
      <c r="E41" s="71" t="s">
        <v>365</v>
      </c>
      <c r="F41" s="71"/>
      <c r="G41" s="73" t="s">
        <v>383</v>
      </c>
    </row>
    <row r="42" spans="2:7" x14ac:dyDescent="0.15">
      <c r="B42" s="299"/>
      <c r="C42" s="69" t="s">
        <v>380</v>
      </c>
      <c r="D42" s="70">
        <f>VLOOKUP(C42,基本字段定义!$B$3:$C$3013,2,FALSE)</f>
        <v>839</v>
      </c>
      <c r="E42" s="71" t="s">
        <v>363</v>
      </c>
      <c r="F42" s="71"/>
      <c r="G42" s="73" t="s">
        <v>381</v>
      </c>
    </row>
    <row r="43" spans="2:7" x14ac:dyDescent="0.15">
      <c r="B43" s="299"/>
      <c r="C43" s="69" t="s">
        <v>384</v>
      </c>
      <c r="D43" s="70">
        <f>VLOOKUP(C43,基本字段定义!$B$3:$C$3013,2,FALSE)</f>
        <v>834</v>
      </c>
      <c r="E43" s="71" t="s">
        <v>365</v>
      </c>
      <c r="F43" s="71"/>
      <c r="G43" s="73" t="s">
        <v>385</v>
      </c>
    </row>
    <row r="44" spans="2:7" x14ac:dyDescent="0.15">
      <c r="B44" s="304"/>
      <c r="C44" s="75"/>
      <c r="D44" s="83"/>
      <c r="E44" s="77"/>
      <c r="F44" s="77"/>
      <c r="G44" s="78"/>
    </row>
    <row r="46" spans="2:7" x14ac:dyDescent="0.15">
      <c r="B46" s="57" t="s">
        <v>163</v>
      </c>
      <c r="C46" s="291">
        <v>104060</v>
      </c>
      <c r="D46" s="291"/>
      <c r="E46" s="291"/>
      <c r="F46" s="58" t="s">
        <v>352</v>
      </c>
      <c r="G46" s="59"/>
    </row>
    <row r="47" spans="2:7" x14ac:dyDescent="0.15">
      <c r="B47" s="60" t="s">
        <v>353</v>
      </c>
      <c r="C47" s="290" t="str">
        <f>VLOOKUP(C46,功能索引!$C$3:$D$278,2,FALSE)</f>
        <v>查询当天所属交易日</v>
      </c>
      <c r="D47" s="290"/>
      <c r="E47" s="290"/>
      <c r="F47" s="61" t="s">
        <v>165</v>
      </c>
      <c r="G47" s="62">
        <f>VLOOKUP(C46,功能索引!$C$3:$E322,3,FALSE)</f>
        <v>0</v>
      </c>
    </row>
    <row r="48" spans="2:7" x14ac:dyDescent="0.15">
      <c r="B48" s="299" t="s">
        <v>354</v>
      </c>
      <c r="C48" s="311" t="s">
        <v>386</v>
      </c>
      <c r="D48" s="311"/>
      <c r="E48" s="311"/>
      <c r="F48" s="311"/>
      <c r="G48" s="312"/>
    </row>
    <row r="49" spans="2:7" x14ac:dyDescent="0.15">
      <c r="B49" s="304"/>
      <c r="C49" s="313"/>
      <c r="D49" s="313"/>
      <c r="E49" s="313"/>
      <c r="F49" s="313"/>
      <c r="G49" s="314"/>
    </row>
    <row r="50" spans="2:7" x14ac:dyDescent="0.15">
      <c r="B50" s="298" t="s">
        <v>355</v>
      </c>
      <c r="C50" s="58" t="s">
        <v>356</v>
      </c>
      <c r="D50" s="58" t="s">
        <v>357</v>
      </c>
      <c r="E50" s="58" t="s">
        <v>358</v>
      </c>
      <c r="F50" s="58" t="s">
        <v>359</v>
      </c>
      <c r="G50" s="64" t="s">
        <v>360</v>
      </c>
    </row>
    <row r="51" spans="2:7" x14ac:dyDescent="0.15">
      <c r="B51" s="299"/>
      <c r="C51" s="65" t="s">
        <v>387</v>
      </c>
      <c r="D51" s="66">
        <f>VLOOKUP(C51,基本字段定义!$B$3:$C$3013,2,FALSE)</f>
        <v>599</v>
      </c>
      <c r="E51" s="67" t="s">
        <v>388</v>
      </c>
      <c r="F51" s="67" t="s">
        <v>169</v>
      </c>
      <c r="G51" s="68" t="s">
        <v>389</v>
      </c>
    </row>
    <row r="52" spans="2:7" x14ac:dyDescent="0.15">
      <c r="B52" s="299" t="s">
        <v>361</v>
      </c>
      <c r="C52" s="69" t="s">
        <v>362</v>
      </c>
      <c r="D52" s="70">
        <f>VLOOKUP(C52,基本字段定义!$B$3:$C$3013,2,FALSE)</f>
        <v>507</v>
      </c>
      <c r="E52" s="71" t="s">
        <v>363</v>
      </c>
      <c r="F52" s="71"/>
      <c r="G52" s="72"/>
    </row>
    <row r="53" spans="2:7" x14ac:dyDescent="0.15">
      <c r="B53" s="299"/>
      <c r="C53" s="69" t="s">
        <v>364</v>
      </c>
      <c r="D53" s="70">
        <f>VLOOKUP(C53,基本字段定义!$B$3:$C$3013,2,FALSE)</f>
        <v>508</v>
      </c>
      <c r="E53" s="71" t="s">
        <v>365</v>
      </c>
      <c r="F53" s="71"/>
      <c r="G53" s="73"/>
    </row>
    <row r="54" spans="2:7" x14ac:dyDescent="0.15">
      <c r="B54" s="299"/>
      <c r="C54" s="69" t="s">
        <v>390</v>
      </c>
      <c r="D54" s="70">
        <f>VLOOKUP(C54,基本字段定义!$B$3:$C$3013,2,FALSE)</f>
        <v>1999</v>
      </c>
      <c r="E54" s="71" t="s">
        <v>363</v>
      </c>
      <c r="F54" s="71"/>
      <c r="G54" s="74" t="s">
        <v>391</v>
      </c>
    </row>
    <row r="55" spans="2:7" ht="14.25" thickBot="1" x14ac:dyDescent="0.2">
      <c r="B55" s="304"/>
      <c r="C55" s="75"/>
      <c r="D55" s="76"/>
      <c r="E55" s="77"/>
      <c r="F55" s="77"/>
      <c r="G55" s="78"/>
    </row>
    <row r="56" spans="2:7" ht="14.25" thickBot="1" x14ac:dyDescent="0.2"/>
    <row r="57" spans="2:7" x14ac:dyDescent="0.15">
      <c r="B57" s="236" t="s">
        <v>163</v>
      </c>
      <c r="C57" s="291">
        <v>104011</v>
      </c>
      <c r="D57" s="291"/>
      <c r="E57" s="291"/>
      <c r="F57" s="58" t="s">
        <v>352</v>
      </c>
      <c r="G57" s="59"/>
    </row>
    <row r="58" spans="2:7" x14ac:dyDescent="0.15">
      <c r="B58" s="235" t="s">
        <v>353</v>
      </c>
      <c r="C58" s="290" t="str">
        <f>VLOOKUP(C57,功能索引!$C$3:$D$278,2,FALSE)</f>
        <v>查询交易日参数</v>
      </c>
      <c r="D58" s="290"/>
      <c r="E58" s="290"/>
      <c r="F58" s="61" t="s">
        <v>165</v>
      </c>
      <c r="G58" s="62" t="str">
        <f>VLOOKUP(C57,功能索引!$C$3:$E322,3,FALSE)</f>
        <v>Y</v>
      </c>
    </row>
    <row r="59" spans="2:7" x14ac:dyDescent="0.15">
      <c r="B59" s="299" t="s">
        <v>354</v>
      </c>
      <c r="C59" s="311" t="s">
        <v>4125</v>
      </c>
      <c r="D59" s="311"/>
      <c r="E59" s="311"/>
      <c r="F59" s="311"/>
      <c r="G59" s="312"/>
    </row>
    <row r="60" spans="2:7" ht="14.25" thickBot="1" x14ac:dyDescent="0.2">
      <c r="B60" s="304"/>
      <c r="C60" s="313"/>
      <c r="D60" s="313"/>
      <c r="E60" s="313"/>
      <c r="F60" s="313"/>
      <c r="G60" s="314"/>
    </row>
    <row r="61" spans="2:7" x14ac:dyDescent="0.15">
      <c r="B61" s="298" t="s">
        <v>355</v>
      </c>
      <c r="C61" s="58" t="s">
        <v>356</v>
      </c>
      <c r="D61" s="58" t="s">
        <v>357</v>
      </c>
      <c r="E61" s="58" t="s">
        <v>358</v>
      </c>
      <c r="F61" s="58" t="s">
        <v>359</v>
      </c>
      <c r="G61" s="64" t="s">
        <v>360</v>
      </c>
    </row>
    <row r="62" spans="2:7" x14ac:dyDescent="0.15">
      <c r="B62" s="306"/>
      <c r="C62" s="65" t="s">
        <v>387</v>
      </c>
      <c r="D62" s="66">
        <f>VLOOKUP(C62,基本字段定义!$B$3:$C$3013,2,FALSE)</f>
        <v>599</v>
      </c>
      <c r="E62" s="237" t="s">
        <v>388</v>
      </c>
      <c r="F62" s="237" t="s">
        <v>169</v>
      </c>
      <c r="G62" s="68" t="s">
        <v>389</v>
      </c>
    </row>
    <row r="63" spans="2:7" x14ac:dyDescent="0.15">
      <c r="B63" s="306"/>
      <c r="C63" s="65" t="s">
        <v>4126</v>
      </c>
      <c r="D63" s="66">
        <v>618</v>
      </c>
      <c r="E63" s="237" t="s">
        <v>4037</v>
      </c>
      <c r="F63" s="237" t="s">
        <v>4130</v>
      </c>
      <c r="G63" s="68" t="s">
        <v>4127</v>
      </c>
    </row>
    <row r="64" spans="2:7" x14ac:dyDescent="0.15">
      <c r="B64" s="299"/>
      <c r="C64" s="65" t="s">
        <v>4128</v>
      </c>
      <c r="D64" s="66">
        <f>VLOOKUP(C64,基本字段定义!$B$3:$C$3013,2,FALSE)</f>
        <v>590</v>
      </c>
      <c r="E64" s="237" t="s">
        <v>4129</v>
      </c>
      <c r="F64" s="237" t="s">
        <v>169</v>
      </c>
      <c r="G64" s="68" t="s">
        <v>4131</v>
      </c>
    </row>
    <row r="65" spans="2:7" x14ac:dyDescent="0.15">
      <c r="B65" s="299" t="s">
        <v>361</v>
      </c>
      <c r="C65" s="69" t="s">
        <v>387</v>
      </c>
      <c r="D65" s="70">
        <f>VLOOKUP(C65,基本字段定义!$B$3:$C$3013,2,FALSE)</f>
        <v>599</v>
      </c>
      <c r="E65" s="71" t="s">
        <v>388</v>
      </c>
      <c r="F65" s="71"/>
      <c r="G65" s="73" t="s">
        <v>389</v>
      </c>
    </row>
    <row r="66" spans="2:7" x14ac:dyDescent="0.15">
      <c r="B66" s="299"/>
      <c r="C66" s="69" t="s">
        <v>4132</v>
      </c>
      <c r="D66" s="70">
        <f>VLOOKUP(C66,基本字段定义!$B$3:$C$3013,2,FALSE)</f>
        <v>651</v>
      </c>
      <c r="E66" s="71" t="s">
        <v>4129</v>
      </c>
      <c r="F66" s="71"/>
      <c r="G66" s="73" t="s">
        <v>4135</v>
      </c>
    </row>
    <row r="67" spans="2:7" x14ac:dyDescent="0.15">
      <c r="B67" s="299"/>
      <c r="C67" s="69" t="s">
        <v>4133</v>
      </c>
      <c r="D67" s="70">
        <f>VLOOKUP(C67,基本字段定义!$B$3:$C$3013,2,FALSE)</f>
        <v>1999</v>
      </c>
      <c r="E67" s="71" t="s">
        <v>4134</v>
      </c>
      <c r="F67" s="71"/>
      <c r="G67" s="73" t="s">
        <v>4136</v>
      </c>
    </row>
    <row r="68" spans="2:7" ht="14.25" thickBot="1" x14ac:dyDescent="0.2">
      <c r="B68" s="304"/>
      <c r="C68" s="75"/>
      <c r="D68" s="76"/>
      <c r="E68" s="77"/>
      <c r="F68" s="77"/>
      <c r="G68" s="78"/>
    </row>
    <row r="69" spans="2:7" ht="14.25" thickBot="1" x14ac:dyDescent="0.2"/>
    <row r="70" spans="2:7" x14ac:dyDescent="0.15">
      <c r="B70" s="57" t="s">
        <v>163</v>
      </c>
      <c r="C70" s="291">
        <v>104061</v>
      </c>
      <c r="D70" s="291"/>
      <c r="E70" s="291"/>
      <c r="F70" s="58" t="s">
        <v>352</v>
      </c>
      <c r="G70" s="59"/>
    </row>
    <row r="71" spans="2:7" x14ac:dyDescent="0.15">
      <c r="B71" s="60" t="s">
        <v>353</v>
      </c>
      <c r="C71" s="290" t="str">
        <f>VLOOKUP(C70,功能索引!$C$3:$D$278,2,FALSE)</f>
        <v>查询下一交易日</v>
      </c>
      <c r="D71" s="290"/>
      <c r="E71" s="290"/>
      <c r="F71" s="61" t="s">
        <v>165</v>
      </c>
      <c r="G71" s="62">
        <f>VLOOKUP(C70,功能索引!$C$3:$E334,3,FALSE)</f>
        <v>0</v>
      </c>
    </row>
    <row r="72" spans="2:7" x14ac:dyDescent="0.15">
      <c r="B72" s="299" t="s">
        <v>354</v>
      </c>
      <c r="C72" s="311" t="s">
        <v>392</v>
      </c>
      <c r="D72" s="311"/>
      <c r="E72" s="311"/>
      <c r="F72" s="311"/>
      <c r="G72" s="312"/>
    </row>
    <row r="73" spans="2:7" x14ac:dyDescent="0.15">
      <c r="B73" s="304"/>
      <c r="C73" s="313"/>
      <c r="D73" s="313"/>
      <c r="E73" s="313"/>
      <c r="F73" s="313"/>
      <c r="G73" s="314"/>
    </row>
    <row r="74" spans="2:7" x14ac:dyDescent="0.15">
      <c r="B74" s="298" t="s">
        <v>355</v>
      </c>
      <c r="C74" s="58" t="s">
        <v>356</v>
      </c>
      <c r="D74" s="58" t="s">
        <v>357</v>
      </c>
      <c r="E74" s="58" t="s">
        <v>358</v>
      </c>
      <c r="F74" s="58" t="s">
        <v>359</v>
      </c>
      <c r="G74" s="64" t="s">
        <v>360</v>
      </c>
    </row>
    <row r="75" spans="2:7" x14ac:dyDescent="0.15">
      <c r="B75" s="306"/>
      <c r="C75" s="65" t="s">
        <v>4116</v>
      </c>
      <c r="D75" s="66">
        <v>651</v>
      </c>
      <c r="E75" s="234" t="s">
        <v>4117</v>
      </c>
      <c r="F75" s="234"/>
      <c r="G75" s="68" t="s">
        <v>4118</v>
      </c>
    </row>
    <row r="76" spans="2:7" x14ac:dyDescent="0.15">
      <c r="B76" s="299"/>
      <c r="C76" s="65" t="s">
        <v>387</v>
      </c>
      <c r="D76" s="66">
        <f>VLOOKUP(C76,基本字段定义!$B$3:$C$3013,2,FALSE)</f>
        <v>599</v>
      </c>
      <c r="E76" s="67" t="s">
        <v>388</v>
      </c>
      <c r="F76" s="67" t="s">
        <v>169</v>
      </c>
      <c r="G76" s="68" t="s">
        <v>389</v>
      </c>
    </row>
    <row r="77" spans="2:7" x14ac:dyDescent="0.15">
      <c r="B77" s="299" t="s">
        <v>361</v>
      </c>
      <c r="C77" s="69" t="s">
        <v>362</v>
      </c>
      <c r="D77" s="70">
        <f>VLOOKUP(C77,基本字段定义!$B$3:$C$3013,2,FALSE)</f>
        <v>507</v>
      </c>
      <c r="E77" s="71" t="s">
        <v>363</v>
      </c>
      <c r="F77" s="71"/>
      <c r="G77" s="72"/>
    </row>
    <row r="78" spans="2:7" x14ac:dyDescent="0.15">
      <c r="B78" s="299"/>
      <c r="C78" s="69" t="s">
        <v>364</v>
      </c>
      <c r="D78" s="70">
        <f>VLOOKUP(C78,基本字段定义!$B$3:$C$3013,2,FALSE)</f>
        <v>508</v>
      </c>
      <c r="E78" s="71" t="s">
        <v>365</v>
      </c>
      <c r="F78" s="71"/>
      <c r="G78" s="73"/>
    </row>
    <row r="79" spans="2:7" x14ac:dyDescent="0.15">
      <c r="B79" s="299"/>
      <c r="C79" s="69" t="s">
        <v>393</v>
      </c>
      <c r="D79" s="70">
        <f>VLOOKUP(C79,基本字段定义!$B$3:$C$3013,2,FALSE)</f>
        <v>651</v>
      </c>
      <c r="E79" s="71" t="s">
        <v>363</v>
      </c>
      <c r="F79" s="71"/>
      <c r="G79" s="73" t="s">
        <v>394</v>
      </c>
    </row>
    <row r="80" spans="2:7" x14ac:dyDescent="0.15">
      <c r="B80" s="304"/>
      <c r="C80" s="75"/>
      <c r="D80" s="76"/>
      <c r="E80" s="77"/>
      <c r="F80" s="77"/>
      <c r="G80" s="78"/>
    </row>
    <row r="82" spans="2:7" x14ac:dyDescent="0.15">
      <c r="B82" s="57" t="s">
        <v>163</v>
      </c>
      <c r="C82" s="291">
        <v>104062</v>
      </c>
      <c r="D82" s="291"/>
      <c r="E82" s="291"/>
      <c r="F82" s="58" t="s">
        <v>352</v>
      </c>
      <c r="G82" s="59"/>
    </row>
    <row r="83" spans="2:7" x14ac:dyDescent="0.15">
      <c r="B83" s="60" t="s">
        <v>353</v>
      </c>
      <c r="C83" s="290" t="str">
        <f>VLOOKUP(C82,功能索引!$C$3:$D$278,2,FALSE)</f>
        <v>查询上一交易日</v>
      </c>
      <c r="D83" s="290"/>
      <c r="E83" s="290"/>
      <c r="F83" s="61" t="s">
        <v>165</v>
      </c>
      <c r="G83" s="62">
        <f>VLOOKUP(C82,功能索引!$C$3:$E345,3,FALSE)</f>
        <v>0</v>
      </c>
    </row>
    <row r="84" spans="2:7" x14ac:dyDescent="0.15">
      <c r="B84" s="299" t="s">
        <v>354</v>
      </c>
      <c r="C84" s="311" t="s">
        <v>395</v>
      </c>
      <c r="D84" s="311"/>
      <c r="E84" s="311"/>
      <c r="F84" s="311"/>
      <c r="G84" s="312"/>
    </row>
    <row r="85" spans="2:7" ht="14.25" thickBot="1" x14ac:dyDescent="0.2">
      <c r="B85" s="304"/>
      <c r="C85" s="313"/>
      <c r="D85" s="313"/>
      <c r="E85" s="313"/>
      <c r="F85" s="313"/>
      <c r="G85" s="314"/>
    </row>
    <row r="86" spans="2:7" x14ac:dyDescent="0.15">
      <c r="B86" s="315" t="s">
        <v>355</v>
      </c>
      <c r="C86" s="58" t="s">
        <v>356</v>
      </c>
      <c r="D86" s="58" t="s">
        <v>357</v>
      </c>
      <c r="E86" s="58" t="s">
        <v>358</v>
      </c>
      <c r="F86" s="58" t="s">
        <v>359</v>
      </c>
      <c r="G86" s="64" t="s">
        <v>360</v>
      </c>
    </row>
    <row r="87" spans="2:7" x14ac:dyDescent="0.15">
      <c r="B87" s="318"/>
      <c r="C87" s="65" t="s">
        <v>387</v>
      </c>
      <c r="D87" s="66">
        <f>VLOOKUP(C87,基本字段定义!$B$3:$C$3013,2,FALSE)</f>
        <v>599</v>
      </c>
      <c r="E87" s="67" t="s">
        <v>388</v>
      </c>
      <c r="F87" s="67" t="s">
        <v>169</v>
      </c>
      <c r="G87" s="68" t="s">
        <v>389</v>
      </c>
    </row>
    <row r="88" spans="2:7" x14ac:dyDescent="0.15">
      <c r="B88" s="319"/>
      <c r="C88" s="65" t="s">
        <v>4116</v>
      </c>
      <c r="D88" s="66">
        <v>651</v>
      </c>
      <c r="E88" s="234" t="s">
        <v>4117</v>
      </c>
      <c r="F88" s="234"/>
      <c r="G88" s="68" t="s">
        <v>4118</v>
      </c>
    </row>
    <row r="89" spans="2:7" x14ac:dyDescent="0.15">
      <c r="B89" s="299" t="s">
        <v>361</v>
      </c>
      <c r="C89" s="69" t="s">
        <v>362</v>
      </c>
      <c r="D89" s="70">
        <f>VLOOKUP(C89,基本字段定义!$B$3:$C$3013,2,FALSE)</f>
        <v>507</v>
      </c>
      <c r="E89" s="71" t="s">
        <v>363</v>
      </c>
      <c r="F89" s="71"/>
      <c r="G89" s="72"/>
    </row>
    <row r="90" spans="2:7" x14ac:dyDescent="0.15">
      <c r="B90" s="299"/>
      <c r="C90" s="69" t="s">
        <v>364</v>
      </c>
      <c r="D90" s="70">
        <f>VLOOKUP(C90,基本字段定义!$B$3:$C$3013,2,FALSE)</f>
        <v>508</v>
      </c>
      <c r="E90" s="71" t="s">
        <v>365</v>
      </c>
      <c r="F90" s="71"/>
      <c r="G90" s="73"/>
    </row>
    <row r="91" spans="2:7" x14ac:dyDescent="0.15">
      <c r="B91" s="299"/>
      <c r="C91" s="69" t="s">
        <v>393</v>
      </c>
      <c r="D91" s="70">
        <f>VLOOKUP(C91,基本字段定义!$B$3:$C$3013,2,FALSE)</f>
        <v>651</v>
      </c>
      <c r="E91" s="71" t="s">
        <v>363</v>
      </c>
      <c r="F91" s="71"/>
      <c r="G91" s="73" t="s">
        <v>396</v>
      </c>
    </row>
    <row r="92" spans="2:7" ht="14.25" thickBot="1" x14ac:dyDescent="0.2">
      <c r="B92" s="304"/>
      <c r="C92" s="75"/>
      <c r="D92" s="76"/>
      <c r="E92" s="77"/>
      <c r="F92" s="77"/>
      <c r="G92" s="78"/>
    </row>
    <row r="94" spans="2:7" x14ac:dyDescent="0.15">
      <c r="B94" s="57" t="s">
        <v>163</v>
      </c>
      <c r="C94" s="84">
        <v>101007</v>
      </c>
      <c r="D94" s="85"/>
      <c r="E94" s="86"/>
      <c r="F94" s="58" t="s">
        <v>352</v>
      </c>
      <c r="G94" s="59"/>
    </row>
    <row r="95" spans="2:7" x14ac:dyDescent="0.15">
      <c r="B95" s="60" t="s">
        <v>353</v>
      </c>
      <c r="C95" s="87" t="str">
        <f>VLOOKUP(C94,功能索引!$C$3:$D$278,2,FALSE)</f>
        <v>查询某一系统参数配置</v>
      </c>
      <c r="D95" s="88"/>
      <c r="E95" s="89"/>
      <c r="F95" s="61" t="s">
        <v>397</v>
      </c>
      <c r="G95" s="62" t="str">
        <f>VLOOKUP(C94,功能索引!$C$3:$E451,3,FALSE)</f>
        <v>Y</v>
      </c>
    </row>
    <row r="96" spans="2:7" ht="13.5" customHeight="1" x14ac:dyDescent="0.15">
      <c r="B96" s="299" t="s">
        <v>354</v>
      </c>
      <c r="C96" s="284" t="s">
        <v>398</v>
      </c>
      <c r="D96" s="285"/>
      <c r="E96" s="285"/>
      <c r="F96" s="285"/>
      <c r="G96" s="286"/>
    </row>
    <row r="97" spans="2:7" ht="14.25" thickBot="1" x14ac:dyDescent="0.2">
      <c r="B97" s="304"/>
      <c r="C97" s="287"/>
      <c r="D97" s="288"/>
      <c r="E97" s="288"/>
      <c r="F97" s="288"/>
      <c r="G97" s="289"/>
    </row>
    <row r="98" spans="2:7" x14ac:dyDescent="0.15">
      <c r="B98" s="298" t="s">
        <v>355</v>
      </c>
      <c r="C98" s="58" t="s">
        <v>356</v>
      </c>
      <c r="D98" s="58" t="s">
        <v>357</v>
      </c>
      <c r="E98" s="58" t="s">
        <v>358</v>
      </c>
      <c r="F98" s="58" t="s">
        <v>359</v>
      </c>
      <c r="G98" s="64" t="s">
        <v>360</v>
      </c>
    </row>
    <row r="99" spans="2:7" x14ac:dyDescent="0.15">
      <c r="B99" s="299"/>
      <c r="C99" s="65" t="s">
        <v>399</v>
      </c>
      <c r="D99" s="66">
        <f>VLOOKUP(C99,基本字段定义!$B$3:$C$3013,2,FALSE)</f>
        <v>697</v>
      </c>
      <c r="E99" s="67" t="s">
        <v>365</v>
      </c>
      <c r="F99" s="67" t="s">
        <v>169</v>
      </c>
      <c r="G99" s="68" t="s">
        <v>400</v>
      </c>
    </row>
    <row r="100" spans="2:7" x14ac:dyDescent="0.15">
      <c r="B100" s="299"/>
      <c r="C100" s="65" t="s">
        <v>401</v>
      </c>
      <c r="D100" s="66">
        <f>VLOOKUP(C100,基本字段定义!$B$3:$C$3013,2,FALSE)</f>
        <v>1022</v>
      </c>
      <c r="E100" s="67" t="s">
        <v>365</v>
      </c>
      <c r="F100" s="67" t="s">
        <v>169</v>
      </c>
      <c r="G100" s="90" t="s">
        <v>402</v>
      </c>
    </row>
    <row r="101" spans="2:7" x14ac:dyDescent="0.15">
      <c r="B101" s="300" t="s">
        <v>361</v>
      </c>
      <c r="C101" s="91" t="s">
        <v>362</v>
      </c>
      <c r="D101" s="70">
        <f>VLOOKUP(C101,基本字段定义!$B$3:$C$3013,2,FALSE)</f>
        <v>507</v>
      </c>
      <c r="E101" s="92" t="s">
        <v>363</v>
      </c>
      <c r="F101" s="93"/>
      <c r="G101" s="94" t="s">
        <v>403</v>
      </c>
    </row>
    <row r="102" spans="2:7" x14ac:dyDescent="0.15">
      <c r="B102" s="301"/>
      <c r="C102" s="69" t="s">
        <v>364</v>
      </c>
      <c r="D102" s="70">
        <f>VLOOKUP(C102,基本字段定义!$B$3:$C$3013,2,FALSE)</f>
        <v>508</v>
      </c>
      <c r="E102" s="71" t="s">
        <v>365</v>
      </c>
      <c r="F102" s="70"/>
      <c r="G102" s="73" t="s">
        <v>404</v>
      </c>
    </row>
    <row r="103" spans="2:7" x14ac:dyDescent="0.15">
      <c r="B103" s="301"/>
      <c r="C103" s="91" t="s">
        <v>405</v>
      </c>
      <c r="D103" s="93">
        <f>VLOOKUP(C103,基本字段定义!$B$3:$C$3013,2,FALSE)</f>
        <v>531</v>
      </c>
      <c r="E103" s="92" t="s">
        <v>365</v>
      </c>
      <c r="F103" s="93"/>
      <c r="G103" s="94" t="s">
        <v>406</v>
      </c>
    </row>
    <row r="104" spans="2:7" ht="14.25" thickBot="1" x14ac:dyDescent="0.2">
      <c r="B104" s="305"/>
      <c r="C104" s="75"/>
      <c r="D104" s="83"/>
      <c r="E104" s="77"/>
      <c r="F104" s="83"/>
      <c r="G104" s="78"/>
    </row>
    <row r="106" spans="2:7" x14ac:dyDescent="0.15">
      <c r="B106" s="57" t="s">
        <v>163</v>
      </c>
      <c r="C106" s="84">
        <v>103001</v>
      </c>
      <c r="D106" s="85"/>
      <c r="E106" s="86"/>
      <c r="F106" s="58" t="s">
        <v>352</v>
      </c>
      <c r="G106" s="59"/>
    </row>
    <row r="107" spans="2:7" x14ac:dyDescent="0.15">
      <c r="B107" s="60" t="s">
        <v>353</v>
      </c>
      <c r="C107" s="87" t="str">
        <f>VLOOKUP(C106,功能索引!$C$3:$D$278,2,FALSE)</f>
        <v>查询汇率参数</v>
      </c>
      <c r="D107" s="88"/>
      <c r="E107" s="89"/>
      <c r="F107" s="61" t="s">
        <v>165</v>
      </c>
      <c r="G107" s="62"/>
    </row>
    <row r="108" spans="2:7" ht="13.5" customHeight="1" x14ac:dyDescent="0.15">
      <c r="B108" s="299" t="s">
        <v>354</v>
      </c>
      <c r="C108" s="284" t="s">
        <v>407</v>
      </c>
      <c r="D108" s="285"/>
      <c r="E108" s="285"/>
      <c r="F108" s="285"/>
      <c r="G108" s="286"/>
    </row>
    <row r="109" spans="2:7" ht="14.25" thickBot="1" x14ac:dyDescent="0.2">
      <c r="B109" s="304"/>
      <c r="C109" s="287"/>
      <c r="D109" s="288"/>
      <c r="E109" s="288"/>
      <c r="F109" s="288"/>
      <c r="G109" s="289"/>
    </row>
    <row r="110" spans="2:7" x14ac:dyDescent="0.15">
      <c r="B110" s="298" t="s">
        <v>355</v>
      </c>
      <c r="C110" s="58" t="s">
        <v>356</v>
      </c>
      <c r="D110" s="58" t="s">
        <v>357</v>
      </c>
      <c r="E110" s="58" t="s">
        <v>358</v>
      </c>
      <c r="F110" s="58" t="s">
        <v>359</v>
      </c>
      <c r="G110" s="64" t="s">
        <v>360</v>
      </c>
    </row>
    <row r="111" spans="2:7" x14ac:dyDescent="0.15">
      <c r="B111" s="299"/>
      <c r="C111" s="65" t="s">
        <v>408</v>
      </c>
      <c r="D111" s="66">
        <f>VLOOKUP(C111,基本字段定义!$B$3:$C$3013,2,FALSE)</f>
        <v>1792</v>
      </c>
      <c r="E111" s="67" t="s">
        <v>365</v>
      </c>
      <c r="F111" s="67"/>
      <c r="G111" s="68" t="s">
        <v>409</v>
      </c>
    </row>
    <row r="112" spans="2:7" x14ac:dyDescent="0.15">
      <c r="B112" s="299"/>
      <c r="C112" s="65" t="s">
        <v>410</v>
      </c>
      <c r="D112" s="66">
        <f>VLOOKUP(C112,基本字段定义!$B$3:$C$3013,2,FALSE)</f>
        <v>1793</v>
      </c>
      <c r="E112" s="67" t="s">
        <v>365</v>
      </c>
      <c r="F112" s="67"/>
      <c r="G112" s="90" t="s">
        <v>411</v>
      </c>
    </row>
    <row r="113" spans="2:7" x14ac:dyDescent="0.15">
      <c r="B113" s="300" t="s">
        <v>361</v>
      </c>
      <c r="C113" s="69" t="s">
        <v>408</v>
      </c>
      <c r="D113" s="95">
        <f>VLOOKUP(C113,基本字段定义!$B$3:$C$3013,2,FALSE)</f>
        <v>1792</v>
      </c>
      <c r="E113" s="96" t="s">
        <v>365</v>
      </c>
      <c r="F113" s="96"/>
      <c r="G113" s="97" t="s">
        <v>409</v>
      </c>
    </row>
    <row r="114" spans="2:7" x14ac:dyDescent="0.15">
      <c r="B114" s="301"/>
      <c r="C114" s="69" t="s">
        <v>410</v>
      </c>
      <c r="D114" s="95">
        <f>VLOOKUP(C114,基本字段定义!$B$3:$C$3013,2,FALSE)</f>
        <v>1793</v>
      </c>
      <c r="E114" s="96" t="s">
        <v>365</v>
      </c>
      <c r="F114" s="96"/>
      <c r="G114" s="98" t="s">
        <v>411</v>
      </c>
    </row>
    <row r="115" spans="2:7" x14ac:dyDescent="0.15">
      <c r="B115" s="301"/>
      <c r="C115" s="91" t="s">
        <v>412</v>
      </c>
      <c r="D115" s="70">
        <f>VLOOKUP(C115,基本字段定义!$B$3:$C$3013,2,FALSE)</f>
        <v>1186</v>
      </c>
      <c r="E115" s="92" t="s">
        <v>413</v>
      </c>
      <c r="F115" s="93"/>
      <c r="G115" s="94" t="s">
        <v>414</v>
      </c>
    </row>
    <row r="116" spans="2:7" x14ac:dyDescent="0.15">
      <c r="B116" s="301"/>
      <c r="C116" s="91" t="s">
        <v>415</v>
      </c>
      <c r="D116" s="70">
        <f>VLOOKUP(C116,基本字段定义!$B$3:$C$3013,2,FALSE)</f>
        <v>1187</v>
      </c>
      <c r="E116" s="92" t="s">
        <v>413</v>
      </c>
      <c r="F116" s="93"/>
      <c r="G116" s="94" t="s">
        <v>416</v>
      </c>
    </row>
    <row r="117" spans="2:7" x14ac:dyDescent="0.15">
      <c r="B117" s="301"/>
      <c r="C117" s="91" t="s">
        <v>417</v>
      </c>
      <c r="D117" s="70">
        <f>VLOOKUP(C117,基本字段定义!$B$3:$C$3013,2,FALSE)</f>
        <v>1188</v>
      </c>
      <c r="E117" s="92" t="s">
        <v>413</v>
      </c>
      <c r="F117" s="93"/>
      <c r="G117" s="94" t="s">
        <v>418</v>
      </c>
    </row>
    <row r="118" spans="2:7" x14ac:dyDescent="0.15">
      <c r="B118" s="301"/>
      <c r="C118" s="91" t="s">
        <v>419</v>
      </c>
      <c r="D118" s="93">
        <f>VLOOKUP(C118,基本字段定义!$B$3:$C$3013,2,FALSE)</f>
        <v>1189</v>
      </c>
      <c r="E118" s="92" t="s">
        <v>413</v>
      </c>
      <c r="F118" s="93"/>
      <c r="G118" s="94" t="s">
        <v>420</v>
      </c>
    </row>
    <row r="119" spans="2:7" x14ac:dyDescent="0.15">
      <c r="B119" s="301"/>
      <c r="C119" s="91" t="s">
        <v>421</v>
      </c>
      <c r="D119" s="93">
        <f>VLOOKUP(C119,基本字段定义!$B$3:$C$3013,2,FALSE)</f>
        <v>1190</v>
      </c>
      <c r="E119" s="92" t="s">
        <v>413</v>
      </c>
      <c r="F119" s="93"/>
      <c r="G119" s="94" t="s">
        <v>422</v>
      </c>
    </row>
    <row r="120" spans="2:7" x14ac:dyDescent="0.15">
      <c r="B120" s="301"/>
      <c r="C120" s="91" t="s">
        <v>423</v>
      </c>
      <c r="D120" s="93">
        <f>VLOOKUP(C120,基本字段定义!$B$3:$C$3013,2,FALSE)</f>
        <v>815</v>
      </c>
      <c r="E120" s="92" t="s">
        <v>424</v>
      </c>
      <c r="F120" s="93"/>
      <c r="G120" s="94" t="s">
        <v>425</v>
      </c>
    </row>
    <row r="121" spans="2:7" ht="14.25" thickBot="1" x14ac:dyDescent="0.2">
      <c r="B121" s="305"/>
      <c r="C121" s="75" t="s">
        <v>426</v>
      </c>
      <c r="D121" s="83">
        <f>VLOOKUP(C121,基本字段定义!$B$3:$C$3013,2,FALSE)</f>
        <v>1191</v>
      </c>
      <c r="E121" s="77" t="s">
        <v>365</v>
      </c>
      <c r="F121" s="83"/>
      <c r="G121" s="78" t="s">
        <v>427</v>
      </c>
    </row>
    <row r="123" spans="2:7" x14ac:dyDescent="0.15">
      <c r="B123" s="57" t="s">
        <v>163</v>
      </c>
      <c r="C123" s="323">
        <v>190101</v>
      </c>
      <c r="D123" s="324"/>
      <c r="E123" s="325"/>
      <c r="F123" s="58" t="s">
        <v>352</v>
      </c>
      <c r="G123" s="59"/>
    </row>
    <row r="124" spans="2:7" x14ac:dyDescent="0.15">
      <c r="B124" s="60" t="s">
        <v>353</v>
      </c>
      <c r="C124" s="320" t="str">
        <f>VLOOKUP(C123,功能索引!$C$3:$D$278,2,FALSE)</f>
        <v>交易密码效验</v>
      </c>
      <c r="D124" s="321"/>
      <c r="E124" s="322"/>
      <c r="F124" s="61" t="s">
        <v>165</v>
      </c>
      <c r="G124" s="62">
        <f>VLOOKUP(C123,功能索引!$C$3:$E336,3,FALSE)</f>
        <v>0</v>
      </c>
    </row>
    <row r="125" spans="2:7" ht="13.5" customHeight="1" x14ac:dyDescent="0.15">
      <c r="B125" s="300" t="s">
        <v>354</v>
      </c>
      <c r="C125" s="284"/>
      <c r="D125" s="285"/>
      <c r="E125" s="285"/>
      <c r="F125" s="285"/>
      <c r="G125" s="286"/>
    </row>
    <row r="126" spans="2:7" ht="14.25" thickBot="1" x14ac:dyDescent="0.2">
      <c r="B126" s="305"/>
      <c r="C126" s="287"/>
      <c r="D126" s="288"/>
      <c r="E126" s="288"/>
      <c r="F126" s="288"/>
      <c r="G126" s="289"/>
    </row>
    <row r="127" spans="2:7" x14ac:dyDescent="0.15">
      <c r="B127" s="315" t="s">
        <v>355</v>
      </c>
      <c r="C127" s="58" t="s">
        <v>356</v>
      </c>
      <c r="D127" s="58" t="s">
        <v>357</v>
      </c>
      <c r="E127" s="58" t="s">
        <v>358</v>
      </c>
      <c r="F127" s="58" t="s">
        <v>359</v>
      </c>
      <c r="G127" s="79" t="s">
        <v>360</v>
      </c>
    </row>
    <row r="128" spans="2:7" x14ac:dyDescent="0.15">
      <c r="B128" s="301"/>
      <c r="C128" s="65" t="s">
        <v>428</v>
      </c>
      <c r="D128" s="66">
        <f>VLOOKUP(C128,基本字段定义!$B$3:$C$3013,2,FALSE)</f>
        <v>605</v>
      </c>
      <c r="E128" s="67" t="s">
        <v>429</v>
      </c>
      <c r="F128" s="307" t="s">
        <v>169</v>
      </c>
      <c r="G128" s="80" t="s">
        <v>430</v>
      </c>
    </row>
    <row r="129" spans="2:7" x14ac:dyDescent="0.15">
      <c r="B129" s="301"/>
      <c r="C129" s="65" t="s">
        <v>431</v>
      </c>
      <c r="D129" s="66">
        <f>VLOOKUP(C129,基本字段定义!$B$3:$C$3013,2,FALSE)</f>
        <v>571</v>
      </c>
      <c r="E129" s="67" t="s">
        <v>432</v>
      </c>
      <c r="F129" s="308"/>
      <c r="G129" s="80" t="s">
        <v>433</v>
      </c>
    </row>
    <row r="130" spans="2:7" x14ac:dyDescent="0.15">
      <c r="B130" s="301"/>
      <c r="C130" s="65" t="s">
        <v>387</v>
      </c>
      <c r="D130" s="66">
        <f>VLOOKUP(C130,基本字段定义!$B$3:$C$3013,2,FALSE)</f>
        <v>599</v>
      </c>
      <c r="E130" s="67" t="s">
        <v>388</v>
      </c>
      <c r="F130" s="308"/>
      <c r="G130" s="80" t="s">
        <v>389</v>
      </c>
    </row>
    <row r="131" spans="2:7" x14ac:dyDescent="0.15">
      <c r="B131" s="301"/>
      <c r="C131" s="65" t="s">
        <v>434</v>
      </c>
      <c r="D131" s="66">
        <f>VLOOKUP(C131,基本字段定义!$B$3:$C$3013,2,FALSE)</f>
        <v>1778</v>
      </c>
      <c r="E131" s="67" t="s">
        <v>435</v>
      </c>
      <c r="F131" s="309"/>
      <c r="G131" s="80" t="s">
        <v>436</v>
      </c>
    </row>
    <row r="132" spans="2:7" x14ac:dyDescent="0.15">
      <c r="B132" s="301"/>
      <c r="C132" s="65" t="s">
        <v>437</v>
      </c>
      <c r="D132" s="66">
        <f>VLOOKUP(C132,基本字段定义!$B$3:$C$3013,2,FALSE)</f>
        <v>598</v>
      </c>
      <c r="E132" s="67" t="s">
        <v>438</v>
      </c>
      <c r="F132" s="67" t="s">
        <v>169</v>
      </c>
      <c r="G132" s="80" t="s">
        <v>439</v>
      </c>
    </row>
    <row r="133" spans="2:7" x14ac:dyDescent="0.15">
      <c r="B133" s="306"/>
      <c r="C133" s="65" t="s">
        <v>440</v>
      </c>
      <c r="D133" s="66">
        <f>VLOOKUP(C133,基本字段定义!$B$3:$C$3013,2,FALSE)</f>
        <v>781</v>
      </c>
      <c r="E133" s="67" t="s">
        <v>363</v>
      </c>
      <c r="F133" s="67" t="s">
        <v>169</v>
      </c>
      <c r="G133" s="80" t="s">
        <v>441</v>
      </c>
    </row>
    <row r="134" spans="2:7" x14ac:dyDescent="0.15">
      <c r="B134" s="299" t="s">
        <v>361</v>
      </c>
      <c r="C134" s="69" t="s">
        <v>362</v>
      </c>
      <c r="D134" s="70">
        <f>VLOOKUP(C134,基本字段定义!$B$3:$C$3013,2,FALSE)</f>
        <v>507</v>
      </c>
      <c r="E134" s="71" t="s">
        <v>363</v>
      </c>
      <c r="F134" s="71"/>
      <c r="G134" s="72"/>
    </row>
    <row r="135" spans="2:7" x14ac:dyDescent="0.15">
      <c r="B135" s="299"/>
      <c r="C135" s="69" t="s">
        <v>364</v>
      </c>
      <c r="D135" s="70">
        <f>VLOOKUP(C135,基本字段定义!$B$3:$C$3013,2,FALSE)</f>
        <v>508</v>
      </c>
      <c r="E135" s="71" t="s">
        <v>365</v>
      </c>
      <c r="F135" s="71"/>
      <c r="G135" s="73"/>
    </row>
    <row r="136" spans="2:7" x14ac:dyDescent="0.15">
      <c r="B136" s="299"/>
      <c r="C136" s="69" t="s">
        <v>431</v>
      </c>
      <c r="D136" s="70">
        <f>VLOOKUP(C136,基本字段定义!$B$3:$C$3013,2,FALSE)</f>
        <v>571</v>
      </c>
      <c r="E136" s="71" t="s">
        <v>365</v>
      </c>
      <c r="F136" s="71"/>
      <c r="G136" s="73" t="s">
        <v>442</v>
      </c>
    </row>
    <row r="137" spans="2:7" x14ac:dyDescent="0.15">
      <c r="B137" s="299"/>
      <c r="C137" s="69" t="s">
        <v>387</v>
      </c>
      <c r="D137" s="70">
        <f>VLOOKUP(C137,基本字段定义!$B$3:$C$3013,2,FALSE)</f>
        <v>599</v>
      </c>
      <c r="E137" s="71" t="s">
        <v>365</v>
      </c>
      <c r="F137" s="71"/>
      <c r="G137" s="73" t="s">
        <v>389</v>
      </c>
    </row>
    <row r="138" spans="2:7" x14ac:dyDescent="0.15">
      <c r="B138" s="299"/>
      <c r="C138" s="69" t="s">
        <v>428</v>
      </c>
      <c r="D138" s="70">
        <f>VLOOKUP(C138,基本字段定义!$B$3:$C$3013,2,FALSE)</f>
        <v>605</v>
      </c>
      <c r="E138" s="71" t="s">
        <v>365</v>
      </c>
      <c r="F138" s="71"/>
      <c r="G138" s="73" t="s">
        <v>430</v>
      </c>
    </row>
    <row r="139" spans="2:7" x14ac:dyDescent="0.15">
      <c r="B139" s="299"/>
      <c r="C139" s="69" t="s">
        <v>443</v>
      </c>
      <c r="D139" s="70">
        <f>VLOOKUP(C139,基本字段定义!$B$3:$C$3013,2,FALSE)</f>
        <v>610</v>
      </c>
      <c r="E139" s="71" t="s">
        <v>365</v>
      </c>
      <c r="F139" s="71"/>
      <c r="G139" s="73" t="s">
        <v>444</v>
      </c>
    </row>
    <row r="140" spans="2:7" x14ac:dyDescent="0.15">
      <c r="B140" s="299"/>
      <c r="C140" s="69" t="s">
        <v>399</v>
      </c>
      <c r="D140" s="70">
        <f>VLOOKUP(C140,基本字段定义!$B$3:$C$3013,2,FALSE)</f>
        <v>697</v>
      </c>
      <c r="E140" s="71" t="s">
        <v>365</v>
      </c>
      <c r="F140" s="71"/>
      <c r="G140" s="73" t="s">
        <v>400</v>
      </c>
    </row>
    <row r="141" spans="2:7" x14ac:dyDescent="0.15">
      <c r="B141" s="299"/>
      <c r="C141" s="69" t="s">
        <v>368</v>
      </c>
      <c r="D141" s="70">
        <f>VLOOKUP(C141,基本字段定义!$B$3:$C$3013,2,FALSE)</f>
        <v>1555</v>
      </c>
      <c r="E141" s="71" t="s">
        <v>363</v>
      </c>
      <c r="F141" s="71"/>
      <c r="G141" s="73" t="s">
        <v>445</v>
      </c>
    </row>
    <row r="142" spans="2:7" x14ac:dyDescent="0.15">
      <c r="B142" s="299"/>
      <c r="C142" s="69" t="s">
        <v>446</v>
      </c>
      <c r="D142" s="70">
        <f>VLOOKUP(C142,基本字段定义!$B$3:$C$3013,2,FALSE)</f>
        <v>613</v>
      </c>
      <c r="E142" s="71" t="s">
        <v>365</v>
      </c>
      <c r="F142" s="71"/>
      <c r="G142" s="73" t="s">
        <v>447</v>
      </c>
    </row>
    <row r="143" spans="2:7" x14ac:dyDescent="0.15">
      <c r="B143" s="299"/>
      <c r="C143" s="69" t="s">
        <v>448</v>
      </c>
      <c r="D143" s="70">
        <f>VLOOKUP(C143,基本字段定义!$B$3:$C$3013,2,FALSE)</f>
        <v>9107</v>
      </c>
      <c r="E143" s="71" t="s">
        <v>363</v>
      </c>
      <c r="F143" s="71"/>
      <c r="G143" s="73" t="s">
        <v>449</v>
      </c>
    </row>
    <row r="144" spans="2:7" x14ac:dyDescent="0.15">
      <c r="B144" s="299"/>
      <c r="C144" s="69" t="s">
        <v>450</v>
      </c>
      <c r="D144" s="70">
        <f>VLOOKUP(C144,基本字段定义!$B$3:$C$3013,2,FALSE)</f>
        <v>1780</v>
      </c>
      <c r="E144" s="71" t="s">
        <v>365</v>
      </c>
      <c r="F144" s="71"/>
      <c r="G144" s="73" t="s">
        <v>451</v>
      </c>
    </row>
    <row r="145" spans="2:7" ht="14.25" thickBot="1" x14ac:dyDescent="0.2">
      <c r="B145" s="304"/>
      <c r="C145" s="75"/>
      <c r="D145" s="83"/>
      <c r="E145" s="77"/>
      <c r="F145" s="77"/>
      <c r="G145" s="78"/>
    </row>
    <row r="147" spans="2:7" x14ac:dyDescent="0.15">
      <c r="B147" s="57" t="s">
        <v>163</v>
      </c>
      <c r="C147" s="291">
        <v>190102</v>
      </c>
      <c r="D147" s="291"/>
      <c r="E147" s="291"/>
      <c r="F147" s="58" t="s">
        <v>352</v>
      </c>
      <c r="G147" s="59"/>
    </row>
    <row r="148" spans="2:7" x14ac:dyDescent="0.15">
      <c r="B148" s="60" t="s">
        <v>353</v>
      </c>
      <c r="C148" s="290" t="str">
        <f>VLOOKUP(C147,功能索引!$C$3:$D$278,2,FALSE)</f>
        <v>资金密码效验</v>
      </c>
      <c r="D148" s="290"/>
      <c r="E148" s="290"/>
      <c r="F148" s="61" t="s">
        <v>165</v>
      </c>
      <c r="G148" s="62">
        <f>VLOOKUP(C147,功能索引!$C$3:$E367,3,FALSE)</f>
        <v>0</v>
      </c>
    </row>
    <row r="149" spans="2:7" x14ac:dyDescent="0.15">
      <c r="B149" s="299" t="s">
        <v>354</v>
      </c>
      <c r="C149" s="284"/>
      <c r="D149" s="285"/>
      <c r="E149" s="285"/>
      <c r="F149" s="285"/>
      <c r="G149" s="286"/>
    </row>
    <row r="150" spans="2:7" ht="14.25" thickBot="1" x14ac:dyDescent="0.2">
      <c r="B150" s="304"/>
      <c r="C150" s="287"/>
      <c r="D150" s="288"/>
      <c r="E150" s="288"/>
      <c r="F150" s="288"/>
      <c r="G150" s="289"/>
    </row>
    <row r="151" spans="2:7" x14ac:dyDescent="0.15">
      <c r="B151" s="298" t="s">
        <v>355</v>
      </c>
      <c r="C151" s="58" t="s">
        <v>356</v>
      </c>
      <c r="D151" s="58" t="s">
        <v>357</v>
      </c>
      <c r="E151" s="58" t="s">
        <v>358</v>
      </c>
      <c r="F151" s="58" t="s">
        <v>359</v>
      </c>
      <c r="G151" s="64" t="s">
        <v>360</v>
      </c>
    </row>
    <row r="152" spans="2:7" x14ac:dyDescent="0.15">
      <c r="B152" s="299"/>
      <c r="C152" s="65" t="s">
        <v>428</v>
      </c>
      <c r="D152" s="66">
        <f>VLOOKUP(C152,基本字段定义!$B$3:$C$3013,2,FALSE)</f>
        <v>605</v>
      </c>
      <c r="E152" s="67" t="s">
        <v>429</v>
      </c>
      <c r="F152" s="67" t="s">
        <v>169</v>
      </c>
      <c r="G152" s="68" t="s">
        <v>430</v>
      </c>
    </row>
    <row r="153" spans="2:7" x14ac:dyDescent="0.15">
      <c r="B153" s="299"/>
      <c r="C153" s="65" t="s">
        <v>452</v>
      </c>
      <c r="D153" s="66">
        <f>VLOOKUP(C153,基本字段定义!$B$3:$C$3013,2,FALSE)</f>
        <v>714</v>
      </c>
      <c r="E153" s="67" t="s">
        <v>438</v>
      </c>
      <c r="F153" s="67" t="s">
        <v>169</v>
      </c>
      <c r="G153" s="68" t="s">
        <v>439</v>
      </c>
    </row>
    <row r="154" spans="2:7" x14ac:dyDescent="0.15">
      <c r="B154" s="299"/>
      <c r="C154" s="65" t="s">
        <v>440</v>
      </c>
      <c r="D154" s="66">
        <f>VLOOKUP(C154,基本字段定义!$B$3:$C$3013,2,FALSE)</f>
        <v>781</v>
      </c>
      <c r="E154" s="67" t="s">
        <v>363</v>
      </c>
      <c r="F154" s="67" t="s">
        <v>169</v>
      </c>
      <c r="G154" s="68" t="s">
        <v>441</v>
      </c>
    </row>
    <row r="155" spans="2:7" x14ac:dyDescent="0.15">
      <c r="B155" s="299" t="s">
        <v>361</v>
      </c>
      <c r="C155" s="69" t="s">
        <v>362</v>
      </c>
      <c r="D155" s="70">
        <f>VLOOKUP(C155,基本字段定义!$B$3:$C$3013,2,FALSE)</f>
        <v>507</v>
      </c>
      <c r="E155" s="71" t="s">
        <v>363</v>
      </c>
      <c r="F155" s="71"/>
      <c r="G155" s="72"/>
    </row>
    <row r="156" spans="2:7" x14ac:dyDescent="0.15">
      <c r="B156" s="299"/>
      <c r="C156" s="69" t="s">
        <v>364</v>
      </c>
      <c r="D156" s="70">
        <f>VLOOKUP(C156,基本字段定义!$B$3:$C$3013,2,FALSE)</f>
        <v>508</v>
      </c>
      <c r="E156" s="71" t="s">
        <v>365</v>
      </c>
      <c r="F156" s="71"/>
      <c r="G156" s="73"/>
    </row>
    <row r="157" spans="2:7" ht="14.25" thickBot="1" x14ac:dyDescent="0.2">
      <c r="B157" s="304"/>
      <c r="C157" s="75"/>
      <c r="D157" s="83"/>
      <c r="E157" s="77"/>
      <c r="F157" s="77"/>
      <c r="G157" s="78"/>
    </row>
    <row r="159" spans="2:7" x14ac:dyDescent="0.15">
      <c r="B159" s="57" t="s">
        <v>163</v>
      </c>
      <c r="C159" s="291">
        <v>202010</v>
      </c>
      <c r="D159" s="291"/>
      <c r="E159" s="291"/>
      <c r="F159" s="58" t="s">
        <v>352</v>
      </c>
      <c r="G159" s="59"/>
    </row>
    <row r="160" spans="2:7" x14ac:dyDescent="0.15">
      <c r="B160" s="60" t="s">
        <v>353</v>
      </c>
      <c r="C160" s="290" t="str">
        <f>VLOOKUP(C159,功能索引!$C$3:$D$278,2,FALSE)</f>
        <v>交易密码修改</v>
      </c>
      <c r="D160" s="290"/>
      <c r="E160" s="290"/>
      <c r="F160" s="61" t="s">
        <v>165</v>
      </c>
      <c r="G160" s="62">
        <f>VLOOKUP(C159,功能索引!$C$3:$E390,3,FALSE)</f>
        <v>0</v>
      </c>
    </row>
    <row r="161" spans="2:7" x14ac:dyDescent="0.15">
      <c r="B161" s="299" t="s">
        <v>354</v>
      </c>
      <c r="C161" s="284"/>
      <c r="D161" s="285"/>
      <c r="E161" s="285"/>
      <c r="F161" s="285"/>
      <c r="G161" s="286"/>
    </row>
    <row r="162" spans="2:7" ht="14.25" thickBot="1" x14ac:dyDescent="0.2">
      <c r="B162" s="304"/>
      <c r="C162" s="287"/>
      <c r="D162" s="288"/>
      <c r="E162" s="288"/>
      <c r="F162" s="288"/>
      <c r="G162" s="289"/>
    </row>
    <row r="163" spans="2:7" x14ac:dyDescent="0.15">
      <c r="B163" s="298" t="s">
        <v>355</v>
      </c>
      <c r="C163" s="58" t="s">
        <v>356</v>
      </c>
      <c r="D163" s="58" t="s">
        <v>357</v>
      </c>
      <c r="E163" s="58" t="s">
        <v>358</v>
      </c>
      <c r="F163" s="58" t="s">
        <v>359</v>
      </c>
      <c r="G163" s="64" t="s">
        <v>360</v>
      </c>
    </row>
    <row r="164" spans="2:7" x14ac:dyDescent="0.15">
      <c r="B164" s="299"/>
      <c r="C164" s="65" t="s">
        <v>428</v>
      </c>
      <c r="D164" s="66">
        <f>VLOOKUP(C164,基本字段定义!$B$3:$C$3013,2,FALSE)</f>
        <v>605</v>
      </c>
      <c r="E164" s="67" t="s">
        <v>429</v>
      </c>
      <c r="F164" s="67" t="s">
        <v>169</v>
      </c>
      <c r="G164" s="68" t="s">
        <v>430</v>
      </c>
    </row>
    <row r="165" spans="2:7" x14ac:dyDescent="0.15">
      <c r="B165" s="299"/>
      <c r="C165" s="65" t="s">
        <v>453</v>
      </c>
      <c r="D165" s="66">
        <f>VLOOKUP(C165,基本字段定义!$B$3:$C$3013,2,FALSE)</f>
        <v>631</v>
      </c>
      <c r="E165" s="67" t="s">
        <v>438</v>
      </c>
      <c r="F165" s="67" t="s">
        <v>169</v>
      </c>
      <c r="G165" s="68" t="s">
        <v>454</v>
      </c>
    </row>
    <row r="166" spans="2:7" x14ac:dyDescent="0.15">
      <c r="B166" s="299"/>
      <c r="C166" s="65" t="s">
        <v>455</v>
      </c>
      <c r="D166" s="66">
        <f>VLOOKUP(C166,基本字段定义!$B$3:$C$3013,2,FALSE)</f>
        <v>640</v>
      </c>
      <c r="E166" s="67" t="s">
        <v>438</v>
      </c>
      <c r="F166" s="67" t="s">
        <v>169</v>
      </c>
      <c r="G166" s="68" t="s">
        <v>456</v>
      </c>
    </row>
    <row r="167" spans="2:7" x14ac:dyDescent="0.15">
      <c r="B167" s="299"/>
      <c r="C167" s="65" t="s">
        <v>440</v>
      </c>
      <c r="D167" s="66">
        <f>VLOOKUP(C167,基本字段定义!$B$3:$C$3013,2,FALSE)</f>
        <v>781</v>
      </c>
      <c r="E167" s="67" t="s">
        <v>363</v>
      </c>
      <c r="F167" s="67" t="s">
        <v>169</v>
      </c>
      <c r="G167" s="68" t="s">
        <v>441</v>
      </c>
    </row>
    <row r="168" spans="2:7" x14ac:dyDescent="0.15">
      <c r="B168" s="299" t="s">
        <v>361</v>
      </c>
      <c r="C168" s="69" t="s">
        <v>362</v>
      </c>
      <c r="D168" s="70">
        <f>VLOOKUP(C168,基本字段定义!$B$3:$C$3013,2,FALSE)</f>
        <v>507</v>
      </c>
      <c r="E168" s="71" t="s">
        <v>363</v>
      </c>
      <c r="F168" s="71"/>
      <c r="G168" s="72"/>
    </row>
    <row r="169" spans="2:7" x14ac:dyDescent="0.15">
      <c r="B169" s="299"/>
      <c r="C169" s="69" t="s">
        <v>364</v>
      </c>
      <c r="D169" s="70">
        <f>VLOOKUP(C169,基本字段定义!$B$3:$C$3013,2,FALSE)</f>
        <v>508</v>
      </c>
      <c r="E169" s="71" t="s">
        <v>365</v>
      </c>
      <c r="F169" s="71"/>
      <c r="G169" s="73"/>
    </row>
    <row r="170" spans="2:7" ht="14.25" thickBot="1" x14ac:dyDescent="0.2">
      <c r="B170" s="304"/>
      <c r="C170" s="75"/>
      <c r="D170" s="83"/>
      <c r="E170" s="77"/>
      <c r="F170" s="77"/>
      <c r="G170" s="78"/>
    </row>
    <row r="172" spans="2:7" x14ac:dyDescent="0.15">
      <c r="B172" s="57" t="s">
        <v>163</v>
      </c>
      <c r="C172" s="291">
        <v>202012</v>
      </c>
      <c r="D172" s="291"/>
      <c r="E172" s="291"/>
      <c r="F172" s="58" t="s">
        <v>352</v>
      </c>
      <c r="G172" s="59"/>
    </row>
    <row r="173" spans="2:7" x14ac:dyDescent="0.15">
      <c r="B173" s="60" t="s">
        <v>353</v>
      </c>
      <c r="C173" s="290" t="str">
        <f>VLOOKUP(C172,功能索引!$C$3:$D$278,2,FALSE)</f>
        <v>资金密码修改</v>
      </c>
      <c r="D173" s="290"/>
      <c r="E173" s="290"/>
      <c r="F173" s="61" t="s">
        <v>165</v>
      </c>
      <c r="G173" s="62">
        <f>VLOOKUP(C172,功能索引!$C$3:$E409,3,FALSE)</f>
        <v>0</v>
      </c>
    </row>
    <row r="174" spans="2:7" x14ac:dyDescent="0.15">
      <c r="B174" s="299" t="s">
        <v>354</v>
      </c>
      <c r="C174" s="284"/>
      <c r="D174" s="285"/>
      <c r="E174" s="285"/>
      <c r="F174" s="285"/>
      <c r="G174" s="286"/>
    </row>
    <row r="175" spans="2:7" ht="14.25" thickBot="1" x14ac:dyDescent="0.2">
      <c r="B175" s="304"/>
      <c r="C175" s="287"/>
      <c r="D175" s="288"/>
      <c r="E175" s="288"/>
      <c r="F175" s="288"/>
      <c r="G175" s="289"/>
    </row>
    <row r="176" spans="2:7" x14ac:dyDescent="0.15">
      <c r="B176" s="298" t="s">
        <v>355</v>
      </c>
      <c r="C176" s="58" t="s">
        <v>356</v>
      </c>
      <c r="D176" s="58" t="s">
        <v>357</v>
      </c>
      <c r="E176" s="58" t="s">
        <v>358</v>
      </c>
      <c r="F176" s="58" t="s">
        <v>359</v>
      </c>
      <c r="G176" s="64" t="s">
        <v>360</v>
      </c>
    </row>
    <row r="177" spans="2:7" x14ac:dyDescent="0.15">
      <c r="B177" s="299"/>
      <c r="C177" s="65" t="s">
        <v>428</v>
      </c>
      <c r="D177" s="66">
        <f>VLOOKUP(C177,基本字段定义!$B$3:$C$3013,2,FALSE)</f>
        <v>605</v>
      </c>
      <c r="E177" s="67" t="s">
        <v>429</v>
      </c>
      <c r="F177" s="67" t="s">
        <v>169</v>
      </c>
      <c r="G177" s="68" t="s">
        <v>430</v>
      </c>
    </row>
    <row r="178" spans="2:7" x14ac:dyDescent="0.15">
      <c r="B178" s="299"/>
      <c r="C178" s="65" t="s">
        <v>453</v>
      </c>
      <c r="D178" s="66">
        <f>VLOOKUP(C178,基本字段定义!$B$3:$C$3013,2,FALSE)</f>
        <v>631</v>
      </c>
      <c r="E178" s="67" t="s">
        <v>438</v>
      </c>
      <c r="F178" s="67" t="s">
        <v>169</v>
      </c>
      <c r="G178" s="68" t="s">
        <v>454</v>
      </c>
    </row>
    <row r="179" spans="2:7" x14ac:dyDescent="0.15">
      <c r="B179" s="299"/>
      <c r="C179" s="65" t="s">
        <v>455</v>
      </c>
      <c r="D179" s="66">
        <f>VLOOKUP(C179,基本字段定义!$B$3:$C$3013,2,FALSE)</f>
        <v>640</v>
      </c>
      <c r="E179" s="67" t="s">
        <v>438</v>
      </c>
      <c r="F179" s="67" t="s">
        <v>169</v>
      </c>
      <c r="G179" s="68" t="s">
        <v>456</v>
      </c>
    </row>
    <row r="180" spans="2:7" x14ac:dyDescent="0.15">
      <c r="B180" s="299"/>
      <c r="C180" s="65" t="s">
        <v>440</v>
      </c>
      <c r="D180" s="66">
        <f>VLOOKUP(C180,基本字段定义!$B$3:$C$3013,2,FALSE)</f>
        <v>781</v>
      </c>
      <c r="E180" s="67" t="s">
        <v>363</v>
      </c>
      <c r="F180" s="67" t="s">
        <v>169</v>
      </c>
      <c r="G180" s="68" t="s">
        <v>441</v>
      </c>
    </row>
    <row r="181" spans="2:7" x14ac:dyDescent="0.15">
      <c r="B181" s="299" t="s">
        <v>361</v>
      </c>
      <c r="C181" s="69" t="s">
        <v>362</v>
      </c>
      <c r="D181" s="70">
        <f>VLOOKUP(C181,基本字段定义!$B$3:$C$3013,2,FALSE)</f>
        <v>507</v>
      </c>
      <c r="E181" s="71" t="s">
        <v>363</v>
      </c>
      <c r="F181" s="71"/>
      <c r="G181" s="72"/>
    </row>
    <row r="182" spans="2:7" x14ac:dyDescent="0.15">
      <c r="B182" s="299"/>
      <c r="C182" s="69" t="s">
        <v>364</v>
      </c>
      <c r="D182" s="70">
        <f>VLOOKUP(C182,基本字段定义!$B$3:$C$3013,2,FALSE)</f>
        <v>508</v>
      </c>
      <c r="E182" s="71" t="s">
        <v>365</v>
      </c>
      <c r="F182" s="71"/>
      <c r="G182" s="73" t="s">
        <v>457</v>
      </c>
    </row>
    <row r="183" spans="2:7" ht="14.25" thickBot="1" x14ac:dyDescent="0.2">
      <c r="B183" s="304"/>
      <c r="C183" s="75"/>
      <c r="D183" s="83"/>
      <c r="E183" s="77"/>
      <c r="F183" s="77"/>
      <c r="G183" s="78"/>
    </row>
    <row r="185" spans="2:7" x14ac:dyDescent="0.15">
      <c r="B185" s="57" t="s">
        <v>163</v>
      </c>
      <c r="C185" s="291">
        <v>302001</v>
      </c>
      <c r="D185" s="291"/>
      <c r="E185" s="291"/>
      <c r="F185" s="58" t="s">
        <v>352</v>
      </c>
      <c r="G185" s="59"/>
    </row>
    <row r="186" spans="2:7" x14ac:dyDescent="0.15">
      <c r="B186" s="60" t="s">
        <v>353</v>
      </c>
      <c r="C186" s="290" t="str">
        <f>VLOOKUP(C185,功能索引!$C$3:$D$278,2,FALSE)</f>
        <v>客户基本信息查询</v>
      </c>
      <c r="D186" s="290"/>
      <c r="E186" s="290"/>
      <c r="F186" s="61" t="s">
        <v>165</v>
      </c>
      <c r="G186" s="62">
        <f>VLOOKUP(C185,功能索引!$C$3:$E427,3,FALSE)</f>
        <v>0</v>
      </c>
    </row>
    <row r="187" spans="2:7" x14ac:dyDescent="0.15">
      <c r="B187" s="299" t="s">
        <v>354</v>
      </c>
      <c r="C187" s="284"/>
      <c r="D187" s="285"/>
      <c r="E187" s="285"/>
      <c r="F187" s="285"/>
      <c r="G187" s="286"/>
    </row>
    <row r="188" spans="2:7" ht="14.25" thickBot="1" x14ac:dyDescent="0.2">
      <c r="B188" s="304"/>
      <c r="C188" s="287"/>
      <c r="D188" s="288"/>
      <c r="E188" s="288"/>
      <c r="F188" s="288"/>
      <c r="G188" s="289"/>
    </row>
    <row r="189" spans="2:7" x14ac:dyDescent="0.15">
      <c r="B189" s="298" t="s">
        <v>355</v>
      </c>
      <c r="C189" s="58" t="s">
        <v>356</v>
      </c>
      <c r="D189" s="58" t="s">
        <v>357</v>
      </c>
      <c r="E189" s="58" t="s">
        <v>358</v>
      </c>
      <c r="F189" s="58" t="s">
        <v>359</v>
      </c>
      <c r="G189" s="64" t="s">
        <v>360</v>
      </c>
    </row>
    <row r="190" spans="2:7" x14ac:dyDescent="0.15">
      <c r="B190" s="299"/>
      <c r="C190" s="65" t="s">
        <v>428</v>
      </c>
      <c r="D190" s="66">
        <f>VLOOKUP(C190,基本字段定义!$B$3:$C$3013,2,FALSE)</f>
        <v>605</v>
      </c>
      <c r="E190" s="67" t="s">
        <v>429</v>
      </c>
      <c r="F190" s="67" t="s">
        <v>169</v>
      </c>
      <c r="G190" s="68" t="s">
        <v>430</v>
      </c>
    </row>
    <row r="191" spans="2:7" x14ac:dyDescent="0.15">
      <c r="B191" s="299"/>
      <c r="C191" s="65" t="s">
        <v>458</v>
      </c>
      <c r="D191" s="66">
        <f>VLOOKUP(C191,基本字段定义!$B$3:$C$3013,2,FALSE)</f>
        <v>988</v>
      </c>
      <c r="E191" s="67" t="s">
        <v>363</v>
      </c>
      <c r="F191" s="67"/>
      <c r="G191" s="68" t="s">
        <v>459</v>
      </c>
    </row>
    <row r="192" spans="2:7" x14ac:dyDescent="0.15">
      <c r="B192" s="300" t="s">
        <v>361</v>
      </c>
      <c r="C192" s="69" t="s">
        <v>362</v>
      </c>
      <c r="D192" s="70">
        <f>VLOOKUP(C192,基本字段定义!$B$3:$C$3013,2,FALSE)</f>
        <v>507</v>
      </c>
      <c r="E192" s="71" t="s">
        <v>363</v>
      </c>
      <c r="F192" s="71"/>
      <c r="G192" s="73" t="s">
        <v>460</v>
      </c>
    </row>
    <row r="193" spans="2:7" x14ac:dyDescent="0.15">
      <c r="B193" s="301"/>
      <c r="C193" s="69" t="s">
        <v>364</v>
      </c>
      <c r="D193" s="70">
        <f>VLOOKUP(C193,基本字段定义!$B$3:$C$3013,2,FALSE)</f>
        <v>508</v>
      </c>
      <c r="E193" s="71" t="s">
        <v>365</v>
      </c>
      <c r="F193" s="71"/>
      <c r="G193" s="73"/>
    </row>
    <row r="194" spans="2:7" x14ac:dyDescent="0.15">
      <c r="B194" s="301"/>
      <c r="C194" s="69" t="s">
        <v>461</v>
      </c>
      <c r="D194" s="70">
        <f>VLOOKUP(C194,基本字段定义!$B$3:$C$3013,2,FALSE)</f>
        <v>570</v>
      </c>
      <c r="E194" s="71" t="s">
        <v>363</v>
      </c>
      <c r="F194" s="71"/>
      <c r="G194" s="73" t="s">
        <v>462</v>
      </c>
    </row>
    <row r="195" spans="2:7" x14ac:dyDescent="0.15">
      <c r="B195" s="301"/>
      <c r="C195" s="69" t="s">
        <v>463</v>
      </c>
      <c r="D195" s="70">
        <f>VLOOKUP(C195,基本字段定义!$B$3:$C$3013,2,FALSE)</f>
        <v>680</v>
      </c>
      <c r="E195" s="71" t="s">
        <v>363</v>
      </c>
      <c r="F195" s="71"/>
      <c r="G195" s="81" t="s">
        <v>464</v>
      </c>
    </row>
    <row r="196" spans="2:7" x14ac:dyDescent="0.15">
      <c r="B196" s="301"/>
      <c r="C196" s="69" t="s">
        <v>465</v>
      </c>
      <c r="D196" s="70">
        <f>VLOOKUP(C196,基本字段定义!$B$3:$C$3013,2,FALSE)</f>
        <v>711</v>
      </c>
      <c r="E196" s="71" t="s">
        <v>365</v>
      </c>
      <c r="F196" s="71"/>
      <c r="G196" s="73" t="s">
        <v>466</v>
      </c>
    </row>
    <row r="197" spans="2:7" x14ac:dyDescent="0.15">
      <c r="B197" s="301"/>
      <c r="C197" s="69" t="s">
        <v>399</v>
      </c>
      <c r="D197" s="70">
        <f>VLOOKUP(C197,基本字段定义!$B$3:$C$3013,2,FALSE)</f>
        <v>697</v>
      </c>
      <c r="E197" s="71" t="s">
        <v>365</v>
      </c>
      <c r="F197" s="71"/>
      <c r="G197" s="73" t="s">
        <v>400</v>
      </c>
    </row>
    <row r="198" spans="2:7" x14ac:dyDescent="0.15">
      <c r="B198" s="301"/>
      <c r="C198" s="69" t="s">
        <v>443</v>
      </c>
      <c r="D198" s="70">
        <f>VLOOKUP(C198,基本字段定义!$B$3:$C$3013,2,FALSE)</f>
        <v>610</v>
      </c>
      <c r="E198" s="71" t="s">
        <v>365</v>
      </c>
      <c r="F198" s="71"/>
      <c r="G198" s="73" t="s">
        <v>444</v>
      </c>
    </row>
    <row r="199" spans="2:7" x14ac:dyDescent="0.15">
      <c r="B199" s="301"/>
      <c r="C199" s="69" t="s">
        <v>434</v>
      </c>
      <c r="D199" s="70">
        <f>VLOOKUP(C199,基本字段定义!$B$3:$C$3013,2,FALSE)</f>
        <v>1778</v>
      </c>
      <c r="E199" s="71" t="s">
        <v>365</v>
      </c>
      <c r="F199" s="71"/>
      <c r="G199" s="73" t="s">
        <v>467</v>
      </c>
    </row>
    <row r="200" spans="2:7" x14ac:dyDescent="0.15">
      <c r="B200" s="301"/>
      <c r="C200" s="69" t="s">
        <v>446</v>
      </c>
      <c r="D200" s="70">
        <f>VLOOKUP(C200,基本字段定义!$B$3:$C$3013,2,FALSE)</f>
        <v>613</v>
      </c>
      <c r="E200" s="71" t="s">
        <v>365</v>
      </c>
      <c r="F200" s="71"/>
      <c r="G200" s="73" t="s">
        <v>447</v>
      </c>
    </row>
    <row r="201" spans="2:7" x14ac:dyDescent="0.15">
      <c r="B201" s="301"/>
      <c r="C201" s="69" t="s">
        <v>448</v>
      </c>
      <c r="D201" s="70">
        <f>VLOOKUP(C201,基本字段定义!$B$3:$C$3013,2,FALSE)</f>
        <v>9107</v>
      </c>
      <c r="E201" s="71" t="s">
        <v>363</v>
      </c>
      <c r="F201" s="71"/>
      <c r="G201" s="73" t="s">
        <v>468</v>
      </c>
    </row>
    <row r="202" spans="2:7" x14ac:dyDescent="0.15">
      <c r="B202" s="301"/>
      <c r="C202" s="69" t="s">
        <v>450</v>
      </c>
      <c r="D202" s="70">
        <f>VLOOKUP(C202,基本字段定义!$B$3:$C$3013,2,FALSE)</f>
        <v>1780</v>
      </c>
      <c r="E202" s="71" t="s">
        <v>363</v>
      </c>
      <c r="F202" s="71"/>
      <c r="G202" s="73" t="s">
        <v>469</v>
      </c>
    </row>
    <row r="203" spans="2:7" x14ac:dyDescent="0.15">
      <c r="B203" s="301"/>
      <c r="C203" s="69" t="s">
        <v>470</v>
      </c>
      <c r="D203" s="70">
        <f>VLOOKUP(C203,基本字段定义!$B$3:$C$3013,2,FALSE)</f>
        <v>1777</v>
      </c>
      <c r="E203" s="71" t="s">
        <v>363</v>
      </c>
      <c r="F203" s="71"/>
      <c r="G203" s="73" t="s">
        <v>471</v>
      </c>
    </row>
    <row r="204" spans="2:7" x14ac:dyDescent="0.15">
      <c r="B204" s="301"/>
      <c r="C204" s="69" t="s">
        <v>472</v>
      </c>
      <c r="D204" s="70">
        <f>VLOOKUP(C204,基本字段定义!$B$3:$C$3013,2,FALSE)</f>
        <v>550</v>
      </c>
      <c r="E204" s="71" t="s">
        <v>365</v>
      </c>
      <c r="F204" s="71"/>
      <c r="G204" s="73" t="s">
        <v>473</v>
      </c>
    </row>
    <row r="205" spans="2:7" x14ac:dyDescent="0.15">
      <c r="B205" s="301"/>
      <c r="C205" s="69" t="s">
        <v>474</v>
      </c>
      <c r="D205" s="70">
        <f>VLOOKUP(C205,基本字段定义!$B$3:$C$3013,2,FALSE)</f>
        <v>532</v>
      </c>
      <c r="E205" s="71" t="s">
        <v>365</v>
      </c>
      <c r="F205" s="71"/>
      <c r="G205" s="73" t="s">
        <v>475</v>
      </c>
    </row>
    <row r="206" spans="2:7" x14ac:dyDescent="0.15">
      <c r="B206" s="301"/>
      <c r="C206" s="69" t="s">
        <v>476</v>
      </c>
      <c r="D206" s="70">
        <f>VLOOKUP(C206,基本字段定义!$B$3:$C$3013,2,FALSE)</f>
        <v>796</v>
      </c>
      <c r="E206" s="71" t="s">
        <v>365</v>
      </c>
      <c r="F206" s="71"/>
      <c r="G206" s="73" t="s">
        <v>477</v>
      </c>
    </row>
    <row r="207" spans="2:7" x14ac:dyDescent="0.15">
      <c r="B207" s="301"/>
      <c r="C207" s="69" t="s">
        <v>478</v>
      </c>
      <c r="D207" s="70">
        <f>VLOOKUP(C207,基本字段定义!$B$3:$C$3013,2,FALSE)</f>
        <v>552</v>
      </c>
      <c r="E207" s="71" t="s">
        <v>365</v>
      </c>
      <c r="F207" s="71"/>
      <c r="G207" s="73" t="s">
        <v>479</v>
      </c>
    </row>
    <row r="208" spans="2:7" x14ac:dyDescent="0.15">
      <c r="B208" s="301"/>
      <c r="C208" s="69" t="s">
        <v>480</v>
      </c>
      <c r="D208" s="70">
        <f>VLOOKUP(C208,基本字段定义!$B$3:$C$3013,2,FALSE)</f>
        <v>1779</v>
      </c>
      <c r="E208" s="71" t="s">
        <v>365</v>
      </c>
      <c r="F208" s="71"/>
      <c r="G208" s="73" t="s">
        <v>481</v>
      </c>
    </row>
    <row r="209" spans="2:7" ht="14.25" thickBot="1" x14ac:dyDescent="0.2">
      <c r="B209" s="305"/>
      <c r="C209" s="75"/>
      <c r="D209" s="83"/>
      <c r="E209" s="77"/>
      <c r="F209" s="77"/>
      <c r="G209" s="78"/>
    </row>
    <row r="211" spans="2:7" x14ac:dyDescent="0.15">
      <c r="B211" s="57" t="s">
        <v>163</v>
      </c>
      <c r="C211" s="291">
        <v>202002</v>
      </c>
      <c r="D211" s="291"/>
      <c r="E211" s="291"/>
      <c r="F211" s="58" t="s">
        <v>352</v>
      </c>
      <c r="G211" s="59"/>
    </row>
    <row r="212" spans="2:7" x14ac:dyDescent="0.15">
      <c r="B212" s="60" t="s">
        <v>353</v>
      </c>
      <c r="C212" s="290" t="str">
        <f>VLOOKUP(C211,功能索引!$C$3:$D$278,2,FALSE)</f>
        <v>客户基本信息修改</v>
      </c>
      <c r="D212" s="290"/>
      <c r="E212" s="290"/>
      <c r="F212" s="61" t="s">
        <v>165</v>
      </c>
      <c r="G212" s="62">
        <f>VLOOKUP(C211,功能索引!$C$3:$E477,3,FALSE)</f>
        <v>0</v>
      </c>
    </row>
    <row r="213" spans="2:7" x14ac:dyDescent="0.15">
      <c r="B213" s="299" t="s">
        <v>354</v>
      </c>
      <c r="C213" s="284"/>
      <c r="D213" s="285"/>
      <c r="E213" s="285"/>
      <c r="F213" s="285"/>
      <c r="G213" s="286"/>
    </row>
    <row r="214" spans="2:7" ht="14.25" thickBot="1" x14ac:dyDescent="0.2">
      <c r="B214" s="304"/>
      <c r="C214" s="287"/>
      <c r="D214" s="288"/>
      <c r="E214" s="288"/>
      <c r="F214" s="288"/>
      <c r="G214" s="289"/>
    </row>
    <row r="215" spans="2:7" x14ac:dyDescent="0.15">
      <c r="B215" s="298" t="s">
        <v>355</v>
      </c>
      <c r="C215" s="58" t="s">
        <v>356</v>
      </c>
      <c r="D215" s="58" t="s">
        <v>357</v>
      </c>
      <c r="E215" s="58" t="s">
        <v>358</v>
      </c>
      <c r="F215" s="58" t="s">
        <v>359</v>
      </c>
      <c r="G215" s="64" t="s">
        <v>360</v>
      </c>
    </row>
    <row r="216" spans="2:7" x14ac:dyDescent="0.15">
      <c r="B216" s="299"/>
      <c r="C216" s="65" t="s">
        <v>428</v>
      </c>
      <c r="D216" s="66">
        <f>VLOOKUP(C216,基本字段定义!$B$3:$C$3013,2,FALSE)</f>
        <v>605</v>
      </c>
      <c r="E216" s="67" t="s">
        <v>429</v>
      </c>
      <c r="F216" s="67" t="s">
        <v>169</v>
      </c>
      <c r="G216" s="68" t="s">
        <v>430</v>
      </c>
    </row>
    <row r="217" spans="2:7" x14ac:dyDescent="0.15">
      <c r="B217" s="299"/>
      <c r="C217" s="65" t="s">
        <v>437</v>
      </c>
      <c r="D217" s="66">
        <f>VLOOKUP(C217,基本字段定义!$B$3:$C$3013,2,FALSE)</f>
        <v>598</v>
      </c>
      <c r="E217" s="67" t="s">
        <v>438</v>
      </c>
      <c r="F217" s="67" t="s">
        <v>169</v>
      </c>
      <c r="G217" s="68" t="s">
        <v>482</v>
      </c>
    </row>
    <row r="218" spans="2:7" x14ac:dyDescent="0.15">
      <c r="B218" s="299"/>
      <c r="C218" s="65" t="s">
        <v>440</v>
      </c>
      <c r="D218" s="66">
        <f>VLOOKUP(C218,基本字段定义!$B$3:$C$3013,2,FALSE)</f>
        <v>781</v>
      </c>
      <c r="E218" s="67" t="s">
        <v>363</v>
      </c>
      <c r="F218" s="67" t="s">
        <v>169</v>
      </c>
      <c r="G218" s="68" t="s">
        <v>441</v>
      </c>
    </row>
    <row r="219" spans="2:7" x14ac:dyDescent="0.15">
      <c r="B219" s="299"/>
      <c r="C219" s="65" t="s">
        <v>450</v>
      </c>
      <c r="D219" s="66">
        <f>VLOOKUP(C219,基本字段定义!$B$3:$C$3013,2,FALSE)</f>
        <v>1780</v>
      </c>
      <c r="E219" s="67" t="s">
        <v>363</v>
      </c>
      <c r="F219" s="310" t="s">
        <v>169</v>
      </c>
      <c r="G219" s="68" t="s">
        <v>483</v>
      </c>
    </row>
    <row r="220" spans="2:7" x14ac:dyDescent="0.15">
      <c r="B220" s="299"/>
      <c r="C220" s="65" t="s">
        <v>470</v>
      </c>
      <c r="D220" s="66">
        <f>VLOOKUP(C220,基本字段定义!$B$3:$C$3013,2,FALSE)</f>
        <v>1777</v>
      </c>
      <c r="E220" s="67" t="s">
        <v>363</v>
      </c>
      <c r="F220" s="310"/>
      <c r="G220" s="68" t="s">
        <v>484</v>
      </c>
    </row>
    <row r="221" spans="2:7" x14ac:dyDescent="0.15">
      <c r="B221" s="299"/>
      <c r="C221" s="65" t="s">
        <v>472</v>
      </c>
      <c r="D221" s="66">
        <f>VLOOKUP(C221,基本字段定义!$B$3:$C$3013,2,FALSE)</f>
        <v>550</v>
      </c>
      <c r="E221" s="67" t="s">
        <v>485</v>
      </c>
      <c r="F221" s="310"/>
      <c r="G221" s="68" t="s">
        <v>486</v>
      </c>
    </row>
    <row r="222" spans="2:7" x14ac:dyDescent="0.15">
      <c r="B222" s="299"/>
      <c r="C222" s="65" t="s">
        <v>474</v>
      </c>
      <c r="D222" s="66">
        <f>VLOOKUP(C222,基本字段定义!$B$3:$C$3013,2,FALSE)</f>
        <v>532</v>
      </c>
      <c r="E222" s="67" t="s">
        <v>487</v>
      </c>
      <c r="F222" s="310"/>
      <c r="G222" s="68" t="s">
        <v>488</v>
      </c>
    </row>
    <row r="223" spans="2:7" x14ac:dyDescent="0.15">
      <c r="B223" s="299"/>
      <c r="C223" s="65" t="s">
        <v>476</v>
      </c>
      <c r="D223" s="66">
        <f>VLOOKUP(C223,基本字段定义!$B$3:$C$3013,2,FALSE)</f>
        <v>796</v>
      </c>
      <c r="E223" s="67" t="s">
        <v>487</v>
      </c>
      <c r="F223" s="310"/>
      <c r="G223" s="68" t="s">
        <v>489</v>
      </c>
    </row>
    <row r="224" spans="2:7" x14ac:dyDescent="0.15">
      <c r="B224" s="299"/>
      <c r="C224" s="65" t="s">
        <v>478</v>
      </c>
      <c r="D224" s="66">
        <f>VLOOKUP(C224,基本字段定义!$B$3:$C$3013,2,FALSE)</f>
        <v>552</v>
      </c>
      <c r="E224" s="67" t="s">
        <v>490</v>
      </c>
      <c r="F224" s="310"/>
      <c r="G224" s="68" t="s">
        <v>491</v>
      </c>
    </row>
    <row r="225" spans="2:7" x14ac:dyDescent="0.15">
      <c r="B225" s="299"/>
      <c r="C225" s="65" t="s">
        <v>480</v>
      </c>
      <c r="D225" s="66">
        <f>VLOOKUP(C225,基本字段定义!$B$3:$C$3013,2,FALSE)</f>
        <v>1779</v>
      </c>
      <c r="E225" s="67" t="s">
        <v>487</v>
      </c>
      <c r="F225" s="310"/>
      <c r="G225" s="68" t="s">
        <v>492</v>
      </c>
    </row>
    <row r="226" spans="2:7" x14ac:dyDescent="0.15">
      <c r="B226" s="299"/>
      <c r="C226" s="65" t="s">
        <v>493</v>
      </c>
      <c r="D226" s="66">
        <f>VLOOKUP(C226,基本字段定义!$B$3:$C$3013,2,FALSE)</f>
        <v>891</v>
      </c>
      <c r="E226" s="67" t="s">
        <v>363</v>
      </c>
      <c r="F226" s="67" t="s">
        <v>169</v>
      </c>
      <c r="G226" s="68" t="s">
        <v>494</v>
      </c>
    </row>
    <row r="227" spans="2:7" x14ac:dyDescent="0.15">
      <c r="B227" s="299" t="s">
        <v>361</v>
      </c>
      <c r="C227" s="69" t="s">
        <v>362</v>
      </c>
      <c r="D227" s="70">
        <f>VLOOKUP(C227,基本字段定义!$B$3:$C$3013,2,FALSE)</f>
        <v>507</v>
      </c>
      <c r="E227" s="71" t="s">
        <v>363</v>
      </c>
      <c r="F227" s="71"/>
      <c r="G227" s="72"/>
    </row>
    <row r="228" spans="2:7" x14ac:dyDescent="0.15">
      <c r="B228" s="299"/>
      <c r="C228" s="69" t="s">
        <v>364</v>
      </c>
      <c r="D228" s="70">
        <f>VLOOKUP(C228,基本字段定义!$B$3:$C$3013,2,FALSE)</f>
        <v>508</v>
      </c>
      <c r="E228" s="71" t="s">
        <v>365</v>
      </c>
      <c r="F228" s="71"/>
      <c r="G228" s="73"/>
    </row>
    <row r="229" spans="2:7" ht="14.25" thickBot="1" x14ac:dyDescent="0.2">
      <c r="B229" s="304"/>
      <c r="C229" s="75"/>
      <c r="D229" s="83"/>
      <c r="E229" s="77"/>
      <c r="F229" s="77"/>
      <c r="G229" s="78"/>
    </row>
    <row r="231" spans="2:7" x14ac:dyDescent="0.15">
      <c r="B231" s="57" t="s">
        <v>163</v>
      </c>
      <c r="C231" s="323">
        <v>202018</v>
      </c>
      <c r="D231" s="324"/>
      <c r="E231" s="325"/>
      <c r="F231" s="58" t="s">
        <v>352</v>
      </c>
      <c r="G231" s="59"/>
    </row>
    <row r="232" spans="2:7" x14ac:dyDescent="0.15">
      <c r="B232" s="60" t="s">
        <v>353</v>
      </c>
      <c r="C232" s="320" t="str">
        <f>VLOOKUP(C231,功能索引!$C$3:$D$278,2,FALSE)</f>
        <v>客户委托方式变更</v>
      </c>
      <c r="D232" s="321"/>
      <c r="E232" s="322"/>
      <c r="F232" s="61" t="s">
        <v>165</v>
      </c>
      <c r="G232" s="62">
        <f>VLOOKUP(C231,功能索引!$C$3:$E498,3,FALSE)</f>
        <v>0</v>
      </c>
    </row>
    <row r="233" spans="2:7" x14ac:dyDescent="0.15">
      <c r="B233" s="300" t="s">
        <v>354</v>
      </c>
      <c r="C233" s="284"/>
      <c r="D233" s="285"/>
      <c r="E233" s="285"/>
      <c r="F233" s="285"/>
      <c r="G233" s="286"/>
    </row>
    <row r="234" spans="2:7" ht="14.25" thickBot="1" x14ac:dyDescent="0.2">
      <c r="B234" s="305"/>
      <c r="C234" s="287"/>
      <c r="D234" s="288"/>
      <c r="E234" s="288"/>
      <c r="F234" s="288"/>
      <c r="G234" s="289"/>
    </row>
    <row r="235" spans="2:7" x14ac:dyDescent="0.15">
      <c r="B235" s="315" t="s">
        <v>355</v>
      </c>
      <c r="C235" s="58" t="s">
        <v>356</v>
      </c>
      <c r="D235" s="58" t="s">
        <v>357</v>
      </c>
      <c r="E235" s="58" t="s">
        <v>358</v>
      </c>
      <c r="F235" s="58" t="s">
        <v>359</v>
      </c>
      <c r="G235" s="64" t="s">
        <v>360</v>
      </c>
    </row>
    <row r="236" spans="2:7" x14ac:dyDescent="0.15">
      <c r="B236" s="301"/>
      <c r="C236" s="65" t="s">
        <v>428</v>
      </c>
      <c r="D236" s="66">
        <f>VLOOKUP(C236,基本字段定义!$B$3:$C$3013,2,FALSE)</f>
        <v>605</v>
      </c>
      <c r="E236" s="67" t="s">
        <v>429</v>
      </c>
      <c r="F236" s="67" t="s">
        <v>169</v>
      </c>
      <c r="G236" s="68" t="s">
        <v>430</v>
      </c>
    </row>
    <row r="237" spans="2:7" x14ac:dyDescent="0.15">
      <c r="B237" s="301"/>
      <c r="C237" s="65" t="s">
        <v>463</v>
      </c>
      <c r="D237" s="66">
        <f>VLOOKUP(C237,基本字段定义!$B$3:$C$3013,2,FALSE)</f>
        <v>680</v>
      </c>
      <c r="E237" s="67" t="s">
        <v>363</v>
      </c>
      <c r="F237" s="67" t="s">
        <v>169</v>
      </c>
      <c r="G237" s="68" t="s">
        <v>495</v>
      </c>
    </row>
    <row r="238" spans="2:7" x14ac:dyDescent="0.15">
      <c r="B238" s="301"/>
      <c r="C238" s="65" t="s">
        <v>496</v>
      </c>
      <c r="D238" s="66">
        <f>VLOOKUP(C238,基本字段定义!$B$3:$C$3013,2,FALSE)</f>
        <v>730</v>
      </c>
      <c r="E238" s="67" t="s">
        <v>497</v>
      </c>
      <c r="F238" s="67" t="s">
        <v>169</v>
      </c>
      <c r="G238" s="68" t="s">
        <v>498</v>
      </c>
    </row>
    <row r="239" spans="2:7" x14ac:dyDescent="0.15">
      <c r="B239" s="306"/>
      <c r="C239" s="65" t="s">
        <v>493</v>
      </c>
      <c r="D239" s="66">
        <f>VLOOKUP(C239,基本字段定义!$B$3:$C$3013,2,FALSE)</f>
        <v>891</v>
      </c>
      <c r="E239" s="67" t="s">
        <v>363</v>
      </c>
      <c r="F239" s="67" t="s">
        <v>169</v>
      </c>
      <c r="G239" s="68" t="s">
        <v>499</v>
      </c>
    </row>
    <row r="240" spans="2:7" x14ac:dyDescent="0.15">
      <c r="B240" s="299" t="s">
        <v>361</v>
      </c>
      <c r="C240" s="69" t="s">
        <v>362</v>
      </c>
      <c r="D240" s="70">
        <f>VLOOKUP(C240,基本字段定义!$B$3:$C$3013,2,FALSE)</f>
        <v>507</v>
      </c>
      <c r="E240" s="71" t="s">
        <v>500</v>
      </c>
      <c r="F240" s="71"/>
      <c r="G240" s="72"/>
    </row>
    <row r="241" spans="2:7" x14ac:dyDescent="0.15">
      <c r="B241" s="299"/>
      <c r="C241" s="69" t="s">
        <v>364</v>
      </c>
      <c r="D241" s="70">
        <f>VLOOKUP(C241,基本字段定义!$B$3:$C$3013,2,FALSE)</f>
        <v>508</v>
      </c>
      <c r="E241" s="71" t="s">
        <v>365</v>
      </c>
      <c r="F241" s="71"/>
      <c r="G241" s="73"/>
    </row>
    <row r="242" spans="2:7" ht="14.25" thickBot="1" x14ac:dyDescent="0.2">
      <c r="B242" s="304"/>
      <c r="C242" s="75"/>
      <c r="D242" s="83"/>
      <c r="E242" s="77"/>
      <c r="F242" s="77"/>
      <c r="G242" s="78"/>
    </row>
    <row r="244" spans="2:7" x14ac:dyDescent="0.15">
      <c r="B244" s="57" t="s">
        <v>163</v>
      </c>
      <c r="C244" s="291">
        <v>302003</v>
      </c>
      <c r="D244" s="291"/>
      <c r="E244" s="291"/>
      <c r="F244" s="58" t="s">
        <v>352</v>
      </c>
      <c r="G244" s="59"/>
    </row>
    <row r="245" spans="2:7" x14ac:dyDescent="0.15">
      <c r="B245" s="60" t="s">
        <v>353</v>
      </c>
      <c r="C245" s="290" t="str">
        <f>VLOOKUP(C244,功能索引!$C$3:$D$278,2,FALSE)</f>
        <v>邮寄对帐单业务查询</v>
      </c>
      <c r="D245" s="290"/>
      <c r="E245" s="290"/>
      <c r="F245" s="61" t="s">
        <v>165</v>
      </c>
      <c r="G245" s="62" t="str">
        <f>VLOOKUP(C244,功能索引!$C$3:$E512,3,FALSE)</f>
        <v>Y</v>
      </c>
    </row>
    <row r="246" spans="2:7" x14ac:dyDescent="0.15">
      <c r="B246" s="299" t="s">
        <v>354</v>
      </c>
      <c r="C246" s="284"/>
      <c r="D246" s="285"/>
      <c r="E246" s="285"/>
      <c r="F246" s="285"/>
      <c r="G246" s="286"/>
    </row>
    <row r="247" spans="2:7" ht="14.25" thickBot="1" x14ac:dyDescent="0.2">
      <c r="B247" s="304"/>
      <c r="C247" s="287"/>
      <c r="D247" s="288"/>
      <c r="E247" s="288"/>
      <c r="F247" s="288"/>
      <c r="G247" s="289"/>
    </row>
    <row r="248" spans="2:7" x14ac:dyDescent="0.15">
      <c r="B248" s="298" t="s">
        <v>355</v>
      </c>
      <c r="C248" s="58" t="s">
        <v>356</v>
      </c>
      <c r="D248" s="58" t="s">
        <v>357</v>
      </c>
      <c r="E248" s="58" t="s">
        <v>358</v>
      </c>
      <c r="F248" s="58" t="s">
        <v>359</v>
      </c>
      <c r="G248" s="64" t="s">
        <v>360</v>
      </c>
    </row>
    <row r="249" spans="2:7" x14ac:dyDescent="0.15">
      <c r="B249" s="299"/>
      <c r="C249" s="65" t="s">
        <v>428</v>
      </c>
      <c r="D249" s="66">
        <f>VLOOKUP(C249,基本字段定义!$B$3:$C$3013,2,FALSE)</f>
        <v>605</v>
      </c>
      <c r="E249" s="67" t="s">
        <v>429</v>
      </c>
      <c r="F249" s="67" t="s">
        <v>169</v>
      </c>
      <c r="G249" s="68" t="s">
        <v>430</v>
      </c>
    </row>
    <row r="250" spans="2:7" x14ac:dyDescent="0.15">
      <c r="B250" s="299" t="s">
        <v>361</v>
      </c>
      <c r="C250" s="69" t="s">
        <v>501</v>
      </c>
      <c r="D250" s="70">
        <f>VLOOKUP(C250,基本字段定义!$B$3:$C$3013,2,FALSE)</f>
        <v>702</v>
      </c>
      <c r="E250" s="71" t="s">
        <v>365</v>
      </c>
      <c r="F250" s="71"/>
      <c r="G250" s="72" t="s">
        <v>502</v>
      </c>
    </row>
    <row r="251" spans="2:7" x14ac:dyDescent="0.15">
      <c r="B251" s="299"/>
      <c r="C251" s="69" t="s">
        <v>503</v>
      </c>
      <c r="D251" s="70">
        <f>VLOOKUP(C251,基本字段定义!$B$3:$C$3013,2,FALSE)</f>
        <v>1782</v>
      </c>
      <c r="E251" s="71" t="s">
        <v>363</v>
      </c>
      <c r="F251" s="71"/>
      <c r="G251" s="73" t="s">
        <v>504</v>
      </c>
    </row>
    <row r="252" spans="2:7" x14ac:dyDescent="0.15">
      <c r="B252" s="299"/>
      <c r="C252" s="69" t="s">
        <v>472</v>
      </c>
      <c r="D252" s="70">
        <f>VLOOKUP(C252,基本字段定义!$B$3:$C$3013,2,FALSE)</f>
        <v>550</v>
      </c>
      <c r="E252" s="71" t="s">
        <v>365</v>
      </c>
      <c r="F252" s="71"/>
      <c r="G252" s="73" t="s">
        <v>505</v>
      </c>
    </row>
    <row r="253" spans="2:7" ht="14.25" thickBot="1" x14ac:dyDescent="0.2">
      <c r="B253" s="304"/>
      <c r="C253" s="75"/>
      <c r="D253" s="83"/>
      <c r="E253" s="77"/>
      <c r="F253" s="77"/>
      <c r="G253" s="78"/>
    </row>
    <row r="255" spans="2:7" x14ac:dyDescent="0.15">
      <c r="B255" s="57" t="s">
        <v>163</v>
      </c>
      <c r="C255" s="291">
        <v>202046</v>
      </c>
      <c r="D255" s="291"/>
      <c r="E255" s="291"/>
      <c r="F255" s="58" t="s">
        <v>352</v>
      </c>
      <c r="G255" s="59"/>
    </row>
    <row r="256" spans="2:7" x14ac:dyDescent="0.15">
      <c r="B256" s="60" t="s">
        <v>353</v>
      </c>
      <c r="C256" s="290" t="str">
        <f>VLOOKUP(C255,功能索引!$C$3:$D$278,2,FALSE)</f>
        <v>邮寄对帐单服务开通</v>
      </c>
      <c r="D256" s="290"/>
      <c r="E256" s="290"/>
      <c r="F256" s="61" t="s">
        <v>165</v>
      </c>
      <c r="G256" s="62">
        <f>VLOOKUP(C255,功能索引!$C$3:$E528,3,FALSE)</f>
        <v>0</v>
      </c>
    </row>
    <row r="257" spans="2:7" x14ac:dyDescent="0.15">
      <c r="B257" s="299" t="s">
        <v>354</v>
      </c>
      <c r="C257" s="284"/>
      <c r="D257" s="285"/>
      <c r="E257" s="285"/>
      <c r="F257" s="285"/>
      <c r="G257" s="286"/>
    </row>
    <row r="258" spans="2:7" ht="14.25" thickBot="1" x14ac:dyDescent="0.2">
      <c r="B258" s="304"/>
      <c r="C258" s="287"/>
      <c r="D258" s="288"/>
      <c r="E258" s="288"/>
      <c r="F258" s="288"/>
      <c r="G258" s="289"/>
    </row>
    <row r="259" spans="2:7" x14ac:dyDescent="0.15">
      <c r="B259" s="315" t="s">
        <v>355</v>
      </c>
      <c r="C259" s="58" t="s">
        <v>356</v>
      </c>
      <c r="D259" s="58" t="s">
        <v>357</v>
      </c>
      <c r="E259" s="58" t="s">
        <v>358</v>
      </c>
      <c r="F259" s="58" t="s">
        <v>359</v>
      </c>
      <c r="G259" s="64" t="s">
        <v>360</v>
      </c>
    </row>
    <row r="260" spans="2:7" x14ac:dyDescent="0.15">
      <c r="B260" s="301"/>
      <c r="C260" s="65" t="s">
        <v>428</v>
      </c>
      <c r="D260" s="66">
        <f>VLOOKUP(C260,基本字段定义!$B$3:$C$3013,2,FALSE)</f>
        <v>605</v>
      </c>
      <c r="E260" s="67" t="s">
        <v>429</v>
      </c>
      <c r="F260" s="67" t="s">
        <v>169</v>
      </c>
      <c r="G260" s="68" t="s">
        <v>430</v>
      </c>
    </row>
    <row r="261" spans="2:7" x14ac:dyDescent="0.15">
      <c r="B261" s="301"/>
      <c r="C261" s="65" t="s">
        <v>501</v>
      </c>
      <c r="D261" s="66">
        <f>VLOOKUP(C261,基本字段定义!$B$3:$C$3013,2,FALSE)</f>
        <v>702</v>
      </c>
      <c r="E261" s="67" t="s">
        <v>506</v>
      </c>
      <c r="F261" s="67" t="s">
        <v>169</v>
      </c>
      <c r="G261" s="68" t="s">
        <v>502</v>
      </c>
    </row>
    <row r="262" spans="2:7" x14ac:dyDescent="0.15">
      <c r="B262" s="301"/>
      <c r="C262" s="65" t="s">
        <v>503</v>
      </c>
      <c r="D262" s="66">
        <f>VLOOKUP(C262,基本字段定义!$B$3:$C$3013,2,FALSE)</f>
        <v>1782</v>
      </c>
      <c r="E262" s="67" t="s">
        <v>363</v>
      </c>
      <c r="F262" s="67" t="s">
        <v>169</v>
      </c>
      <c r="G262" s="68" t="s">
        <v>507</v>
      </c>
    </row>
    <row r="263" spans="2:7" x14ac:dyDescent="0.15">
      <c r="B263" s="301"/>
      <c r="C263" s="65" t="s">
        <v>508</v>
      </c>
      <c r="D263" s="66">
        <f>VLOOKUP(C263,基本字段定义!$B$3:$C$3013,2,FALSE)</f>
        <v>1783</v>
      </c>
      <c r="E263" s="67" t="s">
        <v>429</v>
      </c>
      <c r="F263" s="67" t="s">
        <v>169</v>
      </c>
      <c r="G263" s="68" t="s">
        <v>509</v>
      </c>
    </row>
    <row r="264" spans="2:7" x14ac:dyDescent="0.15">
      <c r="B264" s="301"/>
      <c r="C264" s="65" t="s">
        <v>472</v>
      </c>
      <c r="D264" s="66">
        <f>VLOOKUP(C264,基本字段定义!$B$3:$C$3013,2,FALSE)</f>
        <v>550</v>
      </c>
      <c r="E264" s="67" t="s">
        <v>485</v>
      </c>
      <c r="F264" s="67" t="s">
        <v>169</v>
      </c>
      <c r="G264" s="68" t="s">
        <v>505</v>
      </c>
    </row>
    <row r="265" spans="2:7" x14ac:dyDescent="0.15">
      <c r="B265" s="301"/>
      <c r="C265" s="65" t="s">
        <v>510</v>
      </c>
      <c r="D265" s="66">
        <f>VLOOKUP(C265,基本字段定义!$B$3:$C$3013,2,FALSE)</f>
        <v>618</v>
      </c>
      <c r="E265" s="67" t="s">
        <v>363</v>
      </c>
      <c r="F265" s="67" t="s">
        <v>169</v>
      </c>
      <c r="G265" s="68" t="s">
        <v>511</v>
      </c>
    </row>
    <row r="266" spans="2:7" x14ac:dyDescent="0.15">
      <c r="B266" s="301"/>
      <c r="C266" s="65" t="s">
        <v>512</v>
      </c>
      <c r="D266" s="66">
        <f>VLOOKUP(C266,基本字段定义!$B$3:$C$3013,2,FALSE)</f>
        <v>590</v>
      </c>
      <c r="E266" s="67" t="s">
        <v>363</v>
      </c>
      <c r="F266" s="67" t="s">
        <v>169</v>
      </c>
      <c r="G266" s="68" t="s">
        <v>513</v>
      </c>
    </row>
    <row r="267" spans="2:7" x14ac:dyDescent="0.15">
      <c r="B267" s="301"/>
      <c r="C267" s="65" t="s">
        <v>496</v>
      </c>
      <c r="D267" s="66">
        <f>VLOOKUP(C267,基本字段定义!$B$3:$C$3013,2,FALSE)</f>
        <v>730</v>
      </c>
      <c r="E267" s="67" t="s">
        <v>497</v>
      </c>
      <c r="F267" s="67" t="s">
        <v>169</v>
      </c>
      <c r="G267" s="68" t="s">
        <v>360</v>
      </c>
    </row>
    <row r="268" spans="2:7" x14ac:dyDescent="0.15">
      <c r="B268" s="306"/>
      <c r="C268" s="65" t="s">
        <v>493</v>
      </c>
      <c r="D268" s="66">
        <f>VLOOKUP(C268,基本字段定义!$B$3:$C$3013,2,FALSE)</f>
        <v>891</v>
      </c>
      <c r="E268" s="67" t="s">
        <v>363</v>
      </c>
      <c r="F268" s="67" t="s">
        <v>169</v>
      </c>
      <c r="G268" s="68" t="s">
        <v>499</v>
      </c>
    </row>
    <row r="269" spans="2:7" x14ac:dyDescent="0.15">
      <c r="B269" s="299" t="s">
        <v>361</v>
      </c>
      <c r="C269" s="69" t="s">
        <v>362</v>
      </c>
      <c r="D269" s="70">
        <f>VLOOKUP(C269,基本字段定义!$B$3:$C$3013,2,FALSE)</f>
        <v>507</v>
      </c>
      <c r="E269" s="71" t="s">
        <v>363</v>
      </c>
      <c r="F269" s="71"/>
      <c r="G269" s="72"/>
    </row>
    <row r="270" spans="2:7" x14ac:dyDescent="0.15">
      <c r="B270" s="299"/>
      <c r="C270" s="69" t="s">
        <v>364</v>
      </c>
      <c r="D270" s="70">
        <f>VLOOKUP(C270,基本字段定义!$B$3:$C$3013,2,FALSE)</f>
        <v>508</v>
      </c>
      <c r="E270" s="71" t="s">
        <v>365</v>
      </c>
      <c r="F270" s="71"/>
      <c r="G270" s="73"/>
    </row>
    <row r="271" spans="2:7" ht="14.25" thickBot="1" x14ac:dyDescent="0.2">
      <c r="B271" s="304"/>
      <c r="C271" s="75"/>
      <c r="D271" s="83"/>
      <c r="E271" s="77"/>
      <c r="F271" s="77"/>
      <c r="G271" s="78"/>
    </row>
    <row r="273" spans="2:7" x14ac:dyDescent="0.15">
      <c r="B273" s="57" t="s">
        <v>163</v>
      </c>
      <c r="C273" s="291">
        <v>202047</v>
      </c>
      <c r="D273" s="291"/>
      <c r="E273" s="291"/>
      <c r="F273" s="58" t="s">
        <v>352</v>
      </c>
      <c r="G273" s="59"/>
    </row>
    <row r="274" spans="2:7" x14ac:dyDescent="0.15">
      <c r="B274" s="60" t="s">
        <v>353</v>
      </c>
      <c r="C274" s="290" t="str">
        <f>VLOOKUP(C273,功能索引!$C$3:$D$278,2,FALSE)</f>
        <v>邮寄对帐单服务变更</v>
      </c>
      <c r="D274" s="290"/>
      <c r="E274" s="290"/>
      <c r="F274" s="61" t="s">
        <v>165</v>
      </c>
      <c r="G274" s="62">
        <f>VLOOKUP(C273,功能索引!$C$3:$E547,3,FALSE)</f>
        <v>0</v>
      </c>
    </row>
    <row r="275" spans="2:7" x14ac:dyDescent="0.15">
      <c r="B275" s="299" t="s">
        <v>354</v>
      </c>
      <c r="C275" s="284"/>
      <c r="D275" s="285"/>
      <c r="E275" s="285"/>
      <c r="F275" s="285"/>
      <c r="G275" s="286"/>
    </row>
    <row r="276" spans="2:7" ht="14.25" thickBot="1" x14ac:dyDescent="0.2">
      <c r="B276" s="304"/>
      <c r="C276" s="287"/>
      <c r="D276" s="288"/>
      <c r="E276" s="288"/>
      <c r="F276" s="288"/>
      <c r="G276" s="289"/>
    </row>
    <row r="277" spans="2:7" x14ac:dyDescent="0.15">
      <c r="B277" s="315" t="s">
        <v>355</v>
      </c>
      <c r="C277" s="58" t="s">
        <v>356</v>
      </c>
      <c r="D277" s="58" t="s">
        <v>357</v>
      </c>
      <c r="E277" s="58" t="s">
        <v>358</v>
      </c>
      <c r="F277" s="58" t="s">
        <v>359</v>
      </c>
      <c r="G277" s="79" t="s">
        <v>360</v>
      </c>
    </row>
    <row r="278" spans="2:7" x14ac:dyDescent="0.15">
      <c r="B278" s="301"/>
      <c r="C278" s="65" t="s">
        <v>428</v>
      </c>
      <c r="D278" s="66">
        <f>VLOOKUP(C278,基本字段定义!$B$3:$C$3013,2,FALSE)</f>
        <v>605</v>
      </c>
      <c r="E278" s="67" t="s">
        <v>429</v>
      </c>
      <c r="F278" s="67" t="s">
        <v>169</v>
      </c>
      <c r="G278" s="68" t="s">
        <v>430</v>
      </c>
    </row>
    <row r="279" spans="2:7" x14ac:dyDescent="0.15">
      <c r="B279" s="301"/>
      <c r="C279" s="65" t="s">
        <v>501</v>
      </c>
      <c r="D279" s="66">
        <f>VLOOKUP(C279,基本字段定义!$B$3:$C$3013,2,FALSE)</f>
        <v>702</v>
      </c>
      <c r="E279" s="67" t="s">
        <v>506</v>
      </c>
      <c r="F279" s="67" t="s">
        <v>169</v>
      </c>
      <c r="G279" s="68" t="s">
        <v>502</v>
      </c>
    </row>
    <row r="280" spans="2:7" x14ac:dyDescent="0.15">
      <c r="B280" s="301"/>
      <c r="C280" s="65" t="s">
        <v>472</v>
      </c>
      <c r="D280" s="66">
        <f>VLOOKUP(C280,基本字段定义!$B$3:$C$3013,2,FALSE)</f>
        <v>550</v>
      </c>
      <c r="E280" s="67" t="s">
        <v>485</v>
      </c>
      <c r="F280" s="67" t="s">
        <v>169</v>
      </c>
      <c r="G280" s="68" t="s">
        <v>505</v>
      </c>
    </row>
    <row r="281" spans="2:7" x14ac:dyDescent="0.15">
      <c r="B281" s="301"/>
      <c r="C281" s="65" t="s">
        <v>510</v>
      </c>
      <c r="D281" s="66">
        <f>VLOOKUP(C281,基本字段定义!$B$3:$C$3013,2,FALSE)</f>
        <v>618</v>
      </c>
      <c r="E281" s="67" t="s">
        <v>363</v>
      </c>
      <c r="F281" s="67" t="s">
        <v>169</v>
      </c>
      <c r="G281" s="68" t="s">
        <v>511</v>
      </c>
    </row>
    <row r="282" spans="2:7" x14ac:dyDescent="0.15">
      <c r="B282" s="301"/>
      <c r="C282" s="65" t="s">
        <v>496</v>
      </c>
      <c r="D282" s="66">
        <f>VLOOKUP(C282,基本字段定义!$B$3:$C$3013,2,FALSE)</f>
        <v>730</v>
      </c>
      <c r="E282" s="67" t="s">
        <v>497</v>
      </c>
      <c r="F282" s="67" t="s">
        <v>169</v>
      </c>
      <c r="G282" s="68" t="s">
        <v>360</v>
      </c>
    </row>
    <row r="283" spans="2:7" x14ac:dyDescent="0.15">
      <c r="B283" s="301"/>
      <c r="C283" s="65" t="s">
        <v>493</v>
      </c>
      <c r="D283" s="66">
        <f>VLOOKUP(C283,基本字段定义!$B$3:$C$3013,2,FALSE)</f>
        <v>891</v>
      </c>
      <c r="E283" s="67" t="s">
        <v>363</v>
      </c>
      <c r="F283" s="67" t="s">
        <v>169</v>
      </c>
      <c r="G283" s="68" t="s">
        <v>499</v>
      </c>
    </row>
    <row r="284" spans="2:7" x14ac:dyDescent="0.15">
      <c r="B284" s="299" t="s">
        <v>361</v>
      </c>
      <c r="C284" s="69" t="s">
        <v>362</v>
      </c>
      <c r="D284" s="70">
        <f>VLOOKUP(C284,基本字段定义!$B$3:$C$3013,2,FALSE)</f>
        <v>507</v>
      </c>
      <c r="E284" s="71" t="s">
        <v>363</v>
      </c>
      <c r="F284" s="71"/>
      <c r="G284" s="72"/>
    </row>
    <row r="285" spans="2:7" x14ac:dyDescent="0.15">
      <c r="B285" s="299"/>
      <c r="C285" s="69" t="s">
        <v>364</v>
      </c>
      <c r="D285" s="70">
        <f>VLOOKUP(C285,基本字段定义!$B$3:$C$3013,2,FALSE)</f>
        <v>508</v>
      </c>
      <c r="E285" s="71" t="s">
        <v>365</v>
      </c>
      <c r="F285" s="71"/>
      <c r="G285" s="73"/>
    </row>
    <row r="286" spans="2:7" ht="14.25" thickBot="1" x14ac:dyDescent="0.2">
      <c r="B286" s="304"/>
      <c r="C286" s="75"/>
      <c r="D286" s="83"/>
      <c r="E286" s="77"/>
      <c r="F286" s="77"/>
      <c r="G286" s="78"/>
    </row>
    <row r="287" spans="2:7" ht="14.25" thickBot="1" x14ac:dyDescent="0.2"/>
    <row r="288" spans="2:7" x14ac:dyDescent="0.15">
      <c r="B288" s="57" t="s">
        <v>163</v>
      </c>
      <c r="C288" s="291">
        <v>202048</v>
      </c>
      <c r="D288" s="291"/>
      <c r="E288" s="291"/>
      <c r="F288" s="58" t="s">
        <v>352</v>
      </c>
      <c r="G288" s="59"/>
    </row>
    <row r="289" spans="2:7" x14ac:dyDescent="0.15">
      <c r="B289" s="60" t="s">
        <v>353</v>
      </c>
      <c r="C289" s="290" t="str">
        <f>VLOOKUP(C288,功能索引!$C$3:$D$278,2,FALSE)</f>
        <v>邮寄对帐单服务中止</v>
      </c>
      <c r="D289" s="290"/>
      <c r="E289" s="290"/>
      <c r="F289" s="61" t="s">
        <v>165</v>
      </c>
      <c r="G289" s="62">
        <f>VLOOKUP(C288,功能索引!$C$3:$E568,3,FALSE)</f>
        <v>0</v>
      </c>
    </row>
    <row r="290" spans="2:7" x14ac:dyDescent="0.15">
      <c r="B290" s="299" t="s">
        <v>354</v>
      </c>
      <c r="C290" s="284"/>
      <c r="D290" s="285"/>
      <c r="E290" s="285"/>
      <c r="F290" s="285"/>
      <c r="G290" s="286"/>
    </row>
    <row r="291" spans="2:7" ht="14.25" thickBot="1" x14ac:dyDescent="0.2">
      <c r="B291" s="304"/>
      <c r="C291" s="287"/>
      <c r="D291" s="288"/>
      <c r="E291" s="288"/>
      <c r="F291" s="288"/>
      <c r="G291" s="289"/>
    </row>
    <row r="292" spans="2:7" x14ac:dyDescent="0.15">
      <c r="B292" s="315" t="s">
        <v>355</v>
      </c>
      <c r="C292" s="58" t="s">
        <v>356</v>
      </c>
      <c r="D292" s="58" t="s">
        <v>357</v>
      </c>
      <c r="E292" s="58" t="s">
        <v>358</v>
      </c>
      <c r="F292" s="58" t="s">
        <v>359</v>
      </c>
      <c r="G292" s="79" t="s">
        <v>360</v>
      </c>
    </row>
    <row r="293" spans="2:7" x14ac:dyDescent="0.15">
      <c r="B293" s="301"/>
      <c r="C293" s="65" t="s">
        <v>428</v>
      </c>
      <c r="D293" s="66">
        <f>VLOOKUP(C293,基本字段定义!$B$3:$C$3013,2,FALSE)</f>
        <v>605</v>
      </c>
      <c r="E293" s="67" t="s">
        <v>429</v>
      </c>
      <c r="F293" s="67" t="s">
        <v>169</v>
      </c>
      <c r="G293" s="68" t="s">
        <v>430</v>
      </c>
    </row>
    <row r="294" spans="2:7" x14ac:dyDescent="0.15">
      <c r="B294" s="301"/>
      <c r="C294" s="65" t="s">
        <v>493</v>
      </c>
      <c r="D294" s="66">
        <f>VLOOKUP(C294,基本字段定义!$B$3:$C$3013,2,FALSE)</f>
        <v>891</v>
      </c>
      <c r="E294" s="67" t="s">
        <v>363</v>
      </c>
      <c r="F294" s="67" t="s">
        <v>169</v>
      </c>
      <c r="G294" s="68" t="s">
        <v>499</v>
      </c>
    </row>
    <row r="295" spans="2:7" x14ac:dyDescent="0.15">
      <c r="B295" s="299" t="s">
        <v>361</v>
      </c>
      <c r="C295" s="69" t="s">
        <v>362</v>
      </c>
      <c r="D295" s="70">
        <f>VLOOKUP(C295,基本字段定义!$B$3:$C$3013,2,FALSE)</f>
        <v>507</v>
      </c>
      <c r="E295" s="71" t="s">
        <v>363</v>
      </c>
      <c r="F295" s="71"/>
      <c r="G295" s="72"/>
    </row>
    <row r="296" spans="2:7" x14ac:dyDescent="0.15">
      <c r="B296" s="299"/>
      <c r="C296" s="69" t="s">
        <v>364</v>
      </c>
      <c r="D296" s="70">
        <f>VLOOKUP(C296,基本字段定义!$B$3:$C$3013,2,FALSE)</f>
        <v>508</v>
      </c>
      <c r="E296" s="71" t="s">
        <v>365</v>
      </c>
      <c r="F296" s="71"/>
      <c r="G296" s="73"/>
    </row>
    <row r="297" spans="2:7" ht="14.25" thickBot="1" x14ac:dyDescent="0.2">
      <c r="B297" s="304"/>
      <c r="C297" s="75"/>
      <c r="D297" s="83"/>
      <c r="E297" s="77"/>
      <c r="F297" s="77"/>
      <c r="G297" s="78"/>
    </row>
    <row r="299" spans="2:7" x14ac:dyDescent="0.15">
      <c r="B299" s="57" t="s">
        <v>163</v>
      </c>
      <c r="C299" s="291">
        <v>302005</v>
      </c>
      <c r="D299" s="291"/>
      <c r="E299" s="291"/>
      <c r="F299" s="58" t="s">
        <v>352</v>
      </c>
      <c r="G299" s="59"/>
    </row>
    <row r="300" spans="2:7" x14ac:dyDescent="0.15">
      <c r="B300" s="60" t="s">
        <v>353</v>
      </c>
      <c r="C300" s="290" t="str">
        <f>VLOOKUP(C299,功能索引!$C$3:$D$278,2,FALSE)</f>
        <v>客户提示信息查询</v>
      </c>
      <c r="D300" s="290"/>
      <c r="E300" s="290"/>
      <c r="F300" s="61" t="s">
        <v>165</v>
      </c>
      <c r="G300" s="62" t="str">
        <f>VLOOKUP(C299,功能索引!$C$3:$E586,3,FALSE)</f>
        <v>Y</v>
      </c>
    </row>
    <row r="301" spans="2:7" x14ac:dyDescent="0.15">
      <c r="B301" s="299" t="s">
        <v>354</v>
      </c>
      <c r="C301" s="284"/>
      <c r="D301" s="285"/>
      <c r="E301" s="285"/>
      <c r="F301" s="285"/>
      <c r="G301" s="286"/>
    </row>
    <row r="302" spans="2:7" ht="14.25" thickBot="1" x14ac:dyDescent="0.2">
      <c r="B302" s="304"/>
      <c r="C302" s="287"/>
      <c r="D302" s="288"/>
      <c r="E302" s="288"/>
      <c r="F302" s="288"/>
      <c r="G302" s="289"/>
    </row>
    <row r="303" spans="2:7" x14ac:dyDescent="0.15">
      <c r="B303" s="298" t="s">
        <v>355</v>
      </c>
      <c r="C303" s="58" t="s">
        <v>356</v>
      </c>
      <c r="D303" s="58" t="s">
        <v>357</v>
      </c>
      <c r="E303" s="58" t="s">
        <v>358</v>
      </c>
      <c r="F303" s="58" t="s">
        <v>359</v>
      </c>
      <c r="G303" s="64" t="s">
        <v>360</v>
      </c>
    </row>
    <row r="304" spans="2:7" x14ac:dyDescent="0.15">
      <c r="B304" s="299"/>
      <c r="C304" s="65" t="s">
        <v>428</v>
      </c>
      <c r="D304" s="66">
        <f>VLOOKUP(C304,基本字段定义!$B$3:$C$3013,2,FALSE)</f>
        <v>605</v>
      </c>
      <c r="E304" s="67" t="s">
        <v>429</v>
      </c>
      <c r="F304" s="67" t="s">
        <v>169</v>
      </c>
      <c r="G304" s="68" t="s">
        <v>430</v>
      </c>
    </row>
    <row r="305" spans="2:7" x14ac:dyDescent="0.15">
      <c r="B305" s="299"/>
      <c r="C305" s="65" t="s">
        <v>376</v>
      </c>
      <c r="D305" s="66">
        <f>VLOOKUP(C305,基本字段定义!$B$3:$C$3013,2,FALSE)</f>
        <v>1785</v>
      </c>
      <c r="E305" s="67" t="s">
        <v>429</v>
      </c>
      <c r="F305" s="67"/>
      <c r="G305" s="68" t="s">
        <v>514</v>
      </c>
    </row>
    <row r="306" spans="2:7" x14ac:dyDescent="0.15">
      <c r="B306" s="299" t="s">
        <v>361</v>
      </c>
      <c r="C306" s="69" t="s">
        <v>376</v>
      </c>
      <c r="D306" s="70">
        <f>VLOOKUP(C306,基本字段定义!$B$3:$C$3013,2,FALSE)</f>
        <v>1785</v>
      </c>
      <c r="E306" s="71" t="s">
        <v>365</v>
      </c>
      <c r="F306" s="71"/>
      <c r="G306" s="72" t="s">
        <v>515</v>
      </c>
    </row>
    <row r="307" spans="2:7" x14ac:dyDescent="0.15">
      <c r="B307" s="299"/>
      <c r="C307" s="69" t="s">
        <v>516</v>
      </c>
      <c r="D307" s="70">
        <f>VLOOKUP(C307,基本字段定义!$B$3:$C$3013,2,FALSE)</f>
        <v>901</v>
      </c>
      <c r="E307" s="71" t="s">
        <v>365</v>
      </c>
      <c r="F307" s="71"/>
      <c r="G307" s="73" t="s">
        <v>517</v>
      </c>
    </row>
    <row r="308" spans="2:7" x14ac:dyDescent="0.15">
      <c r="B308" s="299"/>
      <c r="C308" s="69" t="s">
        <v>518</v>
      </c>
      <c r="D308" s="70">
        <f>VLOOKUP(C308,基本字段定义!$B$3:$C$3013,2,FALSE)</f>
        <v>981</v>
      </c>
      <c r="E308" s="71" t="s">
        <v>363</v>
      </c>
      <c r="F308" s="71"/>
      <c r="G308" s="73" t="s">
        <v>519</v>
      </c>
    </row>
    <row r="309" spans="2:7" ht="14.25" thickBot="1" x14ac:dyDescent="0.2">
      <c r="B309" s="304"/>
      <c r="C309" s="75"/>
      <c r="D309" s="83"/>
      <c r="E309" s="77"/>
      <c r="F309" s="77"/>
      <c r="G309" s="78"/>
    </row>
    <row r="311" spans="2:7" x14ac:dyDescent="0.15">
      <c r="B311" s="57" t="s">
        <v>163</v>
      </c>
      <c r="C311" s="291">
        <v>202004</v>
      </c>
      <c r="D311" s="291"/>
      <c r="E311" s="291"/>
      <c r="F311" s="58" t="s">
        <v>352</v>
      </c>
      <c r="G311" s="59"/>
    </row>
    <row r="312" spans="2:7" x14ac:dyDescent="0.15">
      <c r="B312" s="60" t="s">
        <v>353</v>
      </c>
      <c r="C312" s="290" t="str">
        <f>VLOOKUP(C311,功能索引!$C$3:$D$278,2,FALSE)</f>
        <v>客户提示信息登记</v>
      </c>
      <c r="D312" s="290"/>
      <c r="E312" s="290"/>
      <c r="F312" s="61" t="s">
        <v>165</v>
      </c>
      <c r="G312" s="62">
        <f>VLOOKUP(C311,功能索引!$C$3:$E600,3,FALSE)</f>
        <v>0</v>
      </c>
    </row>
    <row r="313" spans="2:7" x14ac:dyDescent="0.15">
      <c r="B313" s="299" t="s">
        <v>354</v>
      </c>
      <c r="C313" s="284"/>
      <c r="D313" s="285"/>
      <c r="E313" s="285"/>
      <c r="F313" s="285"/>
      <c r="G313" s="286"/>
    </row>
    <row r="314" spans="2:7" ht="14.25" thickBot="1" x14ac:dyDescent="0.2">
      <c r="B314" s="304"/>
      <c r="C314" s="287"/>
      <c r="D314" s="288"/>
      <c r="E314" s="288"/>
      <c r="F314" s="288"/>
      <c r="G314" s="289"/>
    </row>
    <row r="315" spans="2:7" x14ac:dyDescent="0.15">
      <c r="B315" s="298" t="s">
        <v>355</v>
      </c>
      <c r="C315" s="58" t="s">
        <v>356</v>
      </c>
      <c r="D315" s="58" t="s">
        <v>357</v>
      </c>
      <c r="E315" s="58" t="s">
        <v>358</v>
      </c>
      <c r="F315" s="58" t="s">
        <v>359</v>
      </c>
      <c r="G315" s="64" t="s">
        <v>360</v>
      </c>
    </row>
    <row r="316" spans="2:7" x14ac:dyDescent="0.15">
      <c r="B316" s="299"/>
      <c r="C316" s="65" t="s">
        <v>428</v>
      </c>
      <c r="D316" s="66">
        <f>VLOOKUP(C316,基本字段定义!$B$3:$C$3013,2,FALSE)</f>
        <v>605</v>
      </c>
      <c r="E316" s="67" t="s">
        <v>429</v>
      </c>
      <c r="F316" s="67" t="s">
        <v>169</v>
      </c>
      <c r="G316" s="68" t="s">
        <v>430</v>
      </c>
    </row>
    <row r="317" spans="2:7" x14ac:dyDescent="0.15">
      <c r="B317" s="299"/>
      <c r="C317" s="65" t="s">
        <v>376</v>
      </c>
      <c r="D317" s="66">
        <f>VLOOKUP(C317,基本字段定义!$B$3:$C$3013,2,FALSE)</f>
        <v>1785</v>
      </c>
      <c r="E317" s="67" t="s">
        <v>429</v>
      </c>
      <c r="F317" s="67" t="s">
        <v>169</v>
      </c>
      <c r="G317" s="68" t="s">
        <v>514</v>
      </c>
    </row>
    <row r="318" spans="2:7" x14ac:dyDescent="0.15">
      <c r="B318" s="299"/>
      <c r="C318" s="65" t="s">
        <v>516</v>
      </c>
      <c r="D318" s="66">
        <f>VLOOKUP(C318,基本字段定义!$B$3:$C$3013,2,FALSE)</f>
        <v>901</v>
      </c>
      <c r="E318" s="67" t="s">
        <v>485</v>
      </c>
      <c r="F318" s="67" t="s">
        <v>169</v>
      </c>
      <c r="G318" s="68" t="s">
        <v>517</v>
      </c>
    </row>
    <row r="319" spans="2:7" x14ac:dyDescent="0.15">
      <c r="B319" s="299"/>
      <c r="C319" s="65" t="s">
        <v>496</v>
      </c>
      <c r="D319" s="66">
        <f>VLOOKUP(C319,基本字段定义!$B$3:$C$3013,2,FALSE)</f>
        <v>730</v>
      </c>
      <c r="E319" s="67" t="s">
        <v>497</v>
      </c>
      <c r="F319" s="67" t="s">
        <v>169</v>
      </c>
      <c r="G319" s="68" t="s">
        <v>360</v>
      </c>
    </row>
    <row r="320" spans="2:7" x14ac:dyDescent="0.15">
      <c r="B320" s="299" t="s">
        <v>361</v>
      </c>
      <c r="C320" s="69" t="s">
        <v>362</v>
      </c>
      <c r="D320" s="70">
        <f>VLOOKUP(C320,基本字段定义!$B$3:$C$3013,2,FALSE)</f>
        <v>507</v>
      </c>
      <c r="E320" s="71" t="s">
        <v>363</v>
      </c>
      <c r="F320" s="71"/>
      <c r="G320" s="72"/>
    </row>
    <row r="321" spans="2:7" x14ac:dyDescent="0.15">
      <c r="B321" s="299"/>
      <c r="C321" s="69" t="s">
        <v>364</v>
      </c>
      <c r="D321" s="70">
        <f>VLOOKUP(C321,基本字段定义!$B$3:$C$3013,2,FALSE)</f>
        <v>508</v>
      </c>
      <c r="E321" s="71" t="s">
        <v>365</v>
      </c>
      <c r="F321" s="71"/>
      <c r="G321" s="73"/>
    </row>
    <row r="322" spans="2:7" ht="14.25" thickBot="1" x14ac:dyDescent="0.2">
      <c r="B322" s="304"/>
      <c r="C322" s="75"/>
      <c r="D322" s="83"/>
      <c r="E322" s="77"/>
      <c r="F322" s="77"/>
      <c r="G322" s="78"/>
    </row>
    <row r="324" spans="2:7" x14ac:dyDescent="0.15">
      <c r="B324" s="57" t="s">
        <v>163</v>
      </c>
      <c r="C324" s="291">
        <v>202005</v>
      </c>
      <c r="D324" s="291"/>
      <c r="E324" s="291"/>
      <c r="F324" s="58" t="s">
        <v>352</v>
      </c>
      <c r="G324" s="59"/>
    </row>
    <row r="325" spans="2:7" x14ac:dyDescent="0.15">
      <c r="B325" s="60" t="s">
        <v>353</v>
      </c>
      <c r="C325" s="290" t="str">
        <f>VLOOKUP(C324,功能索引!$C$3:$D$278,2,FALSE)</f>
        <v>客户提示信息变更</v>
      </c>
      <c r="D325" s="290"/>
      <c r="E325" s="290"/>
      <c r="F325" s="61" t="s">
        <v>165</v>
      </c>
      <c r="G325" s="62">
        <f>VLOOKUP(C324,功能索引!$C$3:$E614,3,FALSE)</f>
        <v>0</v>
      </c>
    </row>
    <row r="326" spans="2:7" x14ac:dyDescent="0.15">
      <c r="B326" s="299" t="s">
        <v>354</v>
      </c>
      <c r="C326" s="284"/>
      <c r="D326" s="285"/>
      <c r="E326" s="285"/>
      <c r="F326" s="285"/>
      <c r="G326" s="286"/>
    </row>
    <row r="327" spans="2:7" ht="14.25" thickBot="1" x14ac:dyDescent="0.2">
      <c r="B327" s="304"/>
      <c r="C327" s="287"/>
      <c r="D327" s="288"/>
      <c r="E327" s="288"/>
      <c r="F327" s="288"/>
      <c r="G327" s="289"/>
    </row>
    <row r="328" spans="2:7" x14ac:dyDescent="0.15">
      <c r="B328" s="298" t="s">
        <v>355</v>
      </c>
      <c r="C328" s="58" t="s">
        <v>356</v>
      </c>
      <c r="D328" s="58" t="s">
        <v>357</v>
      </c>
      <c r="E328" s="58" t="s">
        <v>358</v>
      </c>
      <c r="F328" s="58" t="s">
        <v>359</v>
      </c>
      <c r="G328" s="64" t="s">
        <v>360</v>
      </c>
    </row>
    <row r="329" spans="2:7" x14ac:dyDescent="0.15">
      <c r="B329" s="299"/>
      <c r="C329" s="65" t="s">
        <v>428</v>
      </c>
      <c r="D329" s="66">
        <f>VLOOKUP(C329,基本字段定义!$B$3:$C$3013,2,FALSE)</f>
        <v>605</v>
      </c>
      <c r="E329" s="67" t="s">
        <v>429</v>
      </c>
      <c r="F329" s="67" t="s">
        <v>169</v>
      </c>
      <c r="G329" s="68" t="s">
        <v>430</v>
      </c>
    </row>
    <row r="330" spans="2:7" x14ac:dyDescent="0.15">
      <c r="B330" s="299"/>
      <c r="C330" s="65" t="s">
        <v>376</v>
      </c>
      <c r="D330" s="66">
        <f>VLOOKUP(C330,基本字段定义!$B$3:$C$3013,2,FALSE)</f>
        <v>1785</v>
      </c>
      <c r="E330" s="67" t="s">
        <v>429</v>
      </c>
      <c r="F330" s="67" t="s">
        <v>169</v>
      </c>
      <c r="G330" s="68" t="s">
        <v>514</v>
      </c>
    </row>
    <row r="331" spans="2:7" x14ac:dyDescent="0.15">
      <c r="B331" s="299"/>
      <c r="C331" s="65" t="s">
        <v>516</v>
      </c>
      <c r="D331" s="66">
        <f>VLOOKUP(C331,基本字段定义!$B$3:$C$3013,2,FALSE)</f>
        <v>901</v>
      </c>
      <c r="E331" s="67" t="s">
        <v>485</v>
      </c>
      <c r="F331" s="67" t="s">
        <v>169</v>
      </c>
      <c r="G331" s="68" t="s">
        <v>517</v>
      </c>
    </row>
    <row r="332" spans="2:7" x14ac:dyDescent="0.15">
      <c r="B332" s="299"/>
      <c r="C332" s="65" t="s">
        <v>520</v>
      </c>
      <c r="D332" s="66">
        <f>VLOOKUP(C332,基本字段定义!$B$3:$C$3013,2,FALSE)</f>
        <v>1909</v>
      </c>
      <c r="E332" s="67" t="s">
        <v>485</v>
      </c>
      <c r="F332" s="67" t="s">
        <v>169</v>
      </c>
      <c r="G332" s="68" t="s">
        <v>521</v>
      </c>
    </row>
    <row r="333" spans="2:7" x14ac:dyDescent="0.15">
      <c r="B333" s="299"/>
      <c r="C333" s="65" t="s">
        <v>496</v>
      </c>
      <c r="D333" s="66">
        <f>VLOOKUP(C333,基本字段定义!$B$3:$C$3013,2,FALSE)</f>
        <v>730</v>
      </c>
      <c r="E333" s="67" t="s">
        <v>497</v>
      </c>
      <c r="F333" s="67" t="s">
        <v>169</v>
      </c>
      <c r="G333" s="68" t="s">
        <v>360</v>
      </c>
    </row>
    <row r="334" spans="2:7" x14ac:dyDescent="0.15">
      <c r="B334" s="299" t="s">
        <v>361</v>
      </c>
      <c r="C334" s="69" t="s">
        <v>362</v>
      </c>
      <c r="D334" s="70">
        <f>VLOOKUP(C334,基本字段定义!$B$3:$C$3013,2,FALSE)</f>
        <v>507</v>
      </c>
      <c r="E334" s="71" t="s">
        <v>363</v>
      </c>
      <c r="F334" s="71"/>
      <c r="G334" s="72"/>
    </row>
    <row r="335" spans="2:7" x14ac:dyDescent="0.15">
      <c r="B335" s="299"/>
      <c r="C335" s="69" t="s">
        <v>364</v>
      </c>
      <c r="D335" s="70">
        <f>VLOOKUP(C335,基本字段定义!$B$3:$C$3013,2,FALSE)</f>
        <v>508</v>
      </c>
      <c r="E335" s="71" t="s">
        <v>365</v>
      </c>
      <c r="F335" s="71"/>
      <c r="G335" s="73"/>
    </row>
    <row r="336" spans="2:7" ht="14.25" thickBot="1" x14ac:dyDescent="0.2">
      <c r="B336" s="304"/>
      <c r="C336" s="75"/>
      <c r="D336" s="83"/>
      <c r="E336" s="77"/>
      <c r="F336" s="77"/>
      <c r="G336" s="78"/>
    </row>
    <row r="338" spans="2:7" x14ac:dyDescent="0.15">
      <c r="B338" s="57" t="s">
        <v>163</v>
      </c>
      <c r="C338" s="291">
        <v>202006</v>
      </c>
      <c r="D338" s="291"/>
      <c r="E338" s="291"/>
      <c r="F338" s="58" t="s">
        <v>352</v>
      </c>
      <c r="G338" s="59"/>
    </row>
    <row r="339" spans="2:7" x14ac:dyDescent="0.15">
      <c r="B339" s="60" t="s">
        <v>353</v>
      </c>
      <c r="C339" s="290" t="str">
        <f>VLOOKUP(C338,功能索引!$C$3:$D$278,2,FALSE)</f>
        <v>客户提示信息删除</v>
      </c>
      <c r="D339" s="290"/>
      <c r="E339" s="290"/>
      <c r="F339" s="61" t="s">
        <v>165</v>
      </c>
      <c r="G339" s="62">
        <f>VLOOKUP(C338,功能索引!$C$3:$E629,3,FALSE)</f>
        <v>0</v>
      </c>
    </row>
    <row r="340" spans="2:7" x14ac:dyDescent="0.15">
      <c r="B340" s="299" t="s">
        <v>354</v>
      </c>
      <c r="C340" s="284"/>
      <c r="D340" s="285"/>
      <c r="E340" s="285"/>
      <c r="F340" s="285"/>
      <c r="G340" s="286"/>
    </row>
    <row r="341" spans="2:7" ht="14.25" thickBot="1" x14ac:dyDescent="0.2">
      <c r="B341" s="304"/>
      <c r="C341" s="287"/>
      <c r="D341" s="288"/>
      <c r="E341" s="288"/>
      <c r="F341" s="288"/>
      <c r="G341" s="289"/>
    </row>
    <row r="342" spans="2:7" x14ac:dyDescent="0.15">
      <c r="B342" s="298" t="s">
        <v>355</v>
      </c>
      <c r="C342" s="58" t="s">
        <v>356</v>
      </c>
      <c r="D342" s="58" t="s">
        <v>357</v>
      </c>
      <c r="E342" s="58" t="s">
        <v>358</v>
      </c>
      <c r="F342" s="58" t="s">
        <v>359</v>
      </c>
      <c r="G342" s="64" t="s">
        <v>360</v>
      </c>
    </row>
    <row r="343" spans="2:7" x14ac:dyDescent="0.15">
      <c r="B343" s="299"/>
      <c r="C343" s="65" t="s">
        <v>428</v>
      </c>
      <c r="D343" s="66">
        <f>VLOOKUP(C343,基本字段定义!$B$3:$C$3013,2,FALSE)</f>
        <v>605</v>
      </c>
      <c r="E343" s="67" t="s">
        <v>429</v>
      </c>
      <c r="F343" s="67" t="s">
        <v>169</v>
      </c>
      <c r="G343" s="68" t="s">
        <v>430</v>
      </c>
    </row>
    <row r="344" spans="2:7" x14ac:dyDescent="0.15">
      <c r="B344" s="299"/>
      <c r="C344" s="65" t="s">
        <v>376</v>
      </c>
      <c r="D344" s="66">
        <f>VLOOKUP(C344,基本字段定义!$B$3:$C$3013,2,FALSE)</f>
        <v>1785</v>
      </c>
      <c r="E344" s="67" t="s">
        <v>429</v>
      </c>
      <c r="F344" s="67" t="s">
        <v>169</v>
      </c>
      <c r="G344" s="68" t="s">
        <v>514</v>
      </c>
    </row>
    <row r="345" spans="2:7" x14ac:dyDescent="0.15">
      <c r="B345" s="299"/>
      <c r="C345" s="65" t="s">
        <v>516</v>
      </c>
      <c r="D345" s="66">
        <f>VLOOKUP(C345,基本字段定义!$B$3:$C$3013,2,FALSE)</f>
        <v>901</v>
      </c>
      <c r="E345" s="67" t="s">
        <v>429</v>
      </c>
      <c r="F345" s="67" t="s">
        <v>169</v>
      </c>
      <c r="G345" s="68" t="s">
        <v>517</v>
      </c>
    </row>
    <row r="346" spans="2:7" x14ac:dyDescent="0.15">
      <c r="B346" s="299"/>
      <c r="C346" s="65" t="s">
        <v>496</v>
      </c>
      <c r="D346" s="66">
        <f>VLOOKUP(C346,基本字段定义!$B$3:$C$3013,2,FALSE)</f>
        <v>730</v>
      </c>
      <c r="E346" s="67" t="s">
        <v>497</v>
      </c>
      <c r="F346" s="67" t="s">
        <v>169</v>
      </c>
      <c r="G346" s="68" t="s">
        <v>360</v>
      </c>
    </row>
    <row r="347" spans="2:7" x14ac:dyDescent="0.15">
      <c r="B347" s="299" t="s">
        <v>361</v>
      </c>
      <c r="C347" s="69" t="s">
        <v>362</v>
      </c>
      <c r="D347" s="70">
        <f>VLOOKUP(C347,基本字段定义!$B$3:$C$3013,2,FALSE)</f>
        <v>507</v>
      </c>
      <c r="E347" s="71" t="s">
        <v>363</v>
      </c>
      <c r="F347" s="71"/>
      <c r="G347" s="72"/>
    </row>
    <row r="348" spans="2:7" x14ac:dyDescent="0.15">
      <c r="B348" s="299"/>
      <c r="C348" s="69" t="s">
        <v>364</v>
      </c>
      <c r="D348" s="70">
        <f>VLOOKUP(C348,基本字段定义!$B$3:$C$3013,2,FALSE)</f>
        <v>508</v>
      </c>
      <c r="E348" s="71" t="s">
        <v>365</v>
      </c>
      <c r="F348" s="71"/>
      <c r="G348" s="73"/>
    </row>
    <row r="349" spans="2:7" ht="14.25" thickBot="1" x14ac:dyDescent="0.2">
      <c r="B349" s="304"/>
      <c r="C349" s="75"/>
      <c r="D349" s="83"/>
      <c r="E349" s="77"/>
      <c r="F349" s="77"/>
      <c r="G349" s="78"/>
    </row>
    <row r="351" spans="2:7" x14ac:dyDescent="0.15">
      <c r="B351" s="57" t="s">
        <v>163</v>
      </c>
      <c r="C351" s="291">
        <v>202022</v>
      </c>
      <c r="D351" s="291"/>
      <c r="E351" s="291"/>
      <c r="F351" s="58" t="s">
        <v>352</v>
      </c>
      <c r="G351" s="59"/>
    </row>
    <row r="352" spans="2:7" x14ac:dyDescent="0.15">
      <c r="B352" s="60" t="s">
        <v>353</v>
      </c>
      <c r="C352" s="290" t="str">
        <f>VLOOKUP(C351,功能索引!$C$3:$D$278,2,FALSE)</f>
        <v>记录资料变更信息</v>
      </c>
      <c r="D352" s="290"/>
      <c r="E352" s="290"/>
      <c r="F352" s="61" t="s">
        <v>165</v>
      </c>
      <c r="G352" s="62">
        <f>VLOOKUP(C351,功能索引!$C$3:$E643,3,FALSE)</f>
        <v>0</v>
      </c>
    </row>
    <row r="353" spans="2:7" x14ac:dyDescent="0.15">
      <c r="B353" s="299" t="s">
        <v>354</v>
      </c>
      <c r="C353" s="284"/>
      <c r="D353" s="285"/>
      <c r="E353" s="285"/>
      <c r="F353" s="285"/>
      <c r="G353" s="286"/>
    </row>
    <row r="354" spans="2:7" ht="14.25" thickBot="1" x14ac:dyDescent="0.2">
      <c r="B354" s="304"/>
      <c r="C354" s="287"/>
      <c r="D354" s="288"/>
      <c r="E354" s="288"/>
      <c r="F354" s="288"/>
      <c r="G354" s="289"/>
    </row>
    <row r="355" spans="2:7" x14ac:dyDescent="0.15">
      <c r="B355" s="298" t="s">
        <v>355</v>
      </c>
      <c r="C355" s="58" t="s">
        <v>356</v>
      </c>
      <c r="D355" s="58" t="s">
        <v>357</v>
      </c>
      <c r="E355" s="58" t="s">
        <v>358</v>
      </c>
      <c r="F355" s="58" t="s">
        <v>359</v>
      </c>
      <c r="G355" s="64" t="s">
        <v>360</v>
      </c>
    </row>
    <row r="356" spans="2:7" x14ac:dyDescent="0.15">
      <c r="B356" s="299"/>
      <c r="C356" s="65" t="s">
        <v>428</v>
      </c>
      <c r="D356" s="66">
        <f>VLOOKUP(C356,基本字段定义!$B$3:$C$3013,2,FALSE)</f>
        <v>605</v>
      </c>
      <c r="E356" s="67" t="s">
        <v>429</v>
      </c>
      <c r="F356" s="67" t="s">
        <v>169</v>
      </c>
      <c r="G356" s="68" t="s">
        <v>430</v>
      </c>
    </row>
    <row r="357" spans="2:7" x14ac:dyDescent="0.15">
      <c r="B357" s="299"/>
      <c r="C357" s="65" t="s">
        <v>522</v>
      </c>
      <c r="D357" s="66">
        <f>VLOOKUP(C357,基本字段定义!$B$3:$C$3013,2,FALSE)</f>
        <v>694</v>
      </c>
      <c r="E357" s="67" t="s">
        <v>523</v>
      </c>
      <c r="F357" s="67" t="s">
        <v>169</v>
      </c>
      <c r="G357" s="68" t="s">
        <v>524</v>
      </c>
    </row>
    <row r="358" spans="2:7" x14ac:dyDescent="0.15">
      <c r="B358" s="299"/>
      <c r="C358" s="65" t="s">
        <v>525</v>
      </c>
      <c r="D358" s="66">
        <f>VLOOKUP(C358,基本字段定义!$B$3:$C$3013,2,FALSE)</f>
        <v>793</v>
      </c>
      <c r="E358" s="67" t="s">
        <v>526</v>
      </c>
      <c r="F358" s="67" t="s">
        <v>169</v>
      </c>
      <c r="G358" s="68" t="s">
        <v>527</v>
      </c>
    </row>
    <row r="359" spans="2:7" x14ac:dyDescent="0.15">
      <c r="B359" s="299"/>
      <c r="C359" s="65" t="s">
        <v>496</v>
      </c>
      <c r="D359" s="66">
        <f>VLOOKUP(C359,基本字段定义!$B$3:$C$3013,2,FALSE)</f>
        <v>730</v>
      </c>
      <c r="E359" s="67" t="s">
        <v>497</v>
      </c>
      <c r="F359" s="67" t="s">
        <v>169</v>
      </c>
      <c r="G359" s="68" t="s">
        <v>360</v>
      </c>
    </row>
    <row r="360" spans="2:7" x14ac:dyDescent="0.15">
      <c r="B360" s="299" t="s">
        <v>361</v>
      </c>
      <c r="C360" s="69" t="s">
        <v>362</v>
      </c>
      <c r="D360" s="70">
        <f>VLOOKUP(C360,基本字段定义!$B$3:$C$3013,2,FALSE)</f>
        <v>507</v>
      </c>
      <c r="E360" s="71" t="s">
        <v>363</v>
      </c>
      <c r="F360" s="71"/>
      <c r="G360" s="72"/>
    </row>
    <row r="361" spans="2:7" x14ac:dyDescent="0.15">
      <c r="B361" s="299"/>
      <c r="C361" s="69" t="s">
        <v>364</v>
      </c>
      <c r="D361" s="70">
        <f>VLOOKUP(C361,基本字段定义!$B$3:$C$3013,2,FALSE)</f>
        <v>508</v>
      </c>
      <c r="E361" s="71" t="s">
        <v>365</v>
      </c>
      <c r="F361" s="71"/>
      <c r="G361" s="73"/>
    </row>
    <row r="362" spans="2:7" ht="14.25" thickBot="1" x14ac:dyDescent="0.2">
      <c r="B362" s="304"/>
      <c r="C362" s="75"/>
      <c r="D362" s="83"/>
      <c r="E362" s="77"/>
      <c r="F362" s="77"/>
      <c r="G362" s="78"/>
    </row>
    <row r="364" spans="2:7" x14ac:dyDescent="0.15">
      <c r="B364" s="57" t="s">
        <v>163</v>
      </c>
      <c r="C364" s="291">
        <v>202067</v>
      </c>
      <c r="D364" s="291"/>
      <c r="E364" s="291"/>
      <c r="F364" s="58" t="s">
        <v>352</v>
      </c>
      <c r="G364" s="59"/>
    </row>
    <row r="365" spans="2:7" x14ac:dyDescent="0.15">
      <c r="B365" s="60" t="s">
        <v>353</v>
      </c>
      <c r="C365" s="290" t="str">
        <f>VLOOKUP(C364,功能索引!$C$3:$D$278,2,FALSE)</f>
        <v>交易风险确认</v>
      </c>
      <c r="D365" s="290"/>
      <c r="E365" s="290"/>
      <c r="F365" s="61" t="s">
        <v>165</v>
      </c>
      <c r="G365" s="62">
        <f>VLOOKUP(C364,功能索引!$C$3:$E657,3,FALSE)</f>
        <v>0</v>
      </c>
    </row>
    <row r="366" spans="2:7" ht="13.5" customHeight="1" x14ac:dyDescent="0.15">
      <c r="B366" s="299" t="s">
        <v>354</v>
      </c>
      <c r="C366" s="284" t="s">
        <v>528</v>
      </c>
      <c r="D366" s="285"/>
      <c r="E366" s="285"/>
      <c r="F366" s="285"/>
      <c r="G366" s="286"/>
    </row>
    <row r="367" spans="2:7" ht="14.25" thickBot="1" x14ac:dyDescent="0.2">
      <c r="B367" s="304"/>
      <c r="C367" s="287"/>
      <c r="D367" s="288"/>
      <c r="E367" s="288"/>
      <c r="F367" s="288"/>
      <c r="G367" s="289"/>
    </row>
    <row r="368" spans="2:7" x14ac:dyDescent="0.15">
      <c r="B368" s="298" t="s">
        <v>355</v>
      </c>
      <c r="C368" s="58" t="s">
        <v>356</v>
      </c>
      <c r="D368" s="58" t="s">
        <v>357</v>
      </c>
      <c r="E368" s="58" t="s">
        <v>358</v>
      </c>
      <c r="F368" s="58" t="s">
        <v>359</v>
      </c>
      <c r="G368" s="64" t="s">
        <v>360</v>
      </c>
    </row>
    <row r="369" spans="2:7" x14ac:dyDescent="0.15">
      <c r="B369" s="299"/>
      <c r="C369" s="65" t="s">
        <v>428</v>
      </c>
      <c r="D369" s="66">
        <f>VLOOKUP(C369,基本字段定义!$B$3:$C$3013,2,FALSE)</f>
        <v>605</v>
      </c>
      <c r="E369" s="67" t="s">
        <v>429</v>
      </c>
      <c r="F369" s="67" t="s">
        <v>169</v>
      </c>
      <c r="G369" s="68"/>
    </row>
    <row r="370" spans="2:7" x14ac:dyDescent="0.15">
      <c r="B370" s="299"/>
      <c r="C370" s="65" t="s">
        <v>529</v>
      </c>
      <c r="D370" s="66">
        <f>VLOOKUP(C370,基本字段定义!$B$3:$C$3013,2,FALSE)</f>
        <v>1332</v>
      </c>
      <c r="E370" s="67" t="s">
        <v>363</v>
      </c>
      <c r="F370" s="67" t="s">
        <v>169</v>
      </c>
      <c r="G370" s="68" t="s">
        <v>530</v>
      </c>
    </row>
    <row r="371" spans="2:7" x14ac:dyDescent="0.15">
      <c r="B371" s="299" t="s">
        <v>361</v>
      </c>
      <c r="C371" s="69" t="s">
        <v>362</v>
      </c>
      <c r="D371" s="70">
        <f>VLOOKUP(C371,基本字段定义!$B$3:$C$3013,2,FALSE)</f>
        <v>507</v>
      </c>
      <c r="E371" s="71" t="s">
        <v>363</v>
      </c>
      <c r="F371" s="71"/>
      <c r="G371" s="72"/>
    </row>
    <row r="372" spans="2:7" x14ac:dyDescent="0.15">
      <c r="B372" s="299"/>
      <c r="C372" s="69" t="s">
        <v>364</v>
      </c>
      <c r="D372" s="70">
        <f>VLOOKUP(C372,基本字段定义!$B$3:$C$3013,2,FALSE)</f>
        <v>508</v>
      </c>
      <c r="E372" s="71" t="s">
        <v>365</v>
      </c>
      <c r="F372" s="71"/>
      <c r="G372" s="73"/>
    </row>
    <row r="373" spans="2:7" ht="14.25" thickBot="1" x14ac:dyDescent="0.2">
      <c r="B373" s="304"/>
      <c r="C373" s="75"/>
      <c r="D373" s="83"/>
      <c r="E373" s="77"/>
      <c r="F373" s="77"/>
      <c r="G373" s="78"/>
    </row>
    <row r="375" spans="2:7" x14ac:dyDescent="0.15">
      <c r="B375" s="57" t="s">
        <v>163</v>
      </c>
      <c r="C375" s="291">
        <v>202068</v>
      </c>
      <c r="D375" s="291"/>
      <c r="E375" s="291"/>
      <c r="F375" s="58" t="s">
        <v>352</v>
      </c>
      <c r="G375" s="59"/>
    </row>
    <row r="376" spans="2:7" x14ac:dyDescent="0.15">
      <c r="B376" s="60" t="s">
        <v>353</v>
      </c>
      <c r="C376" s="290" t="str">
        <f>VLOOKUP(C375,功能索引!$C$3:$D$278,2,FALSE)</f>
        <v>交易风险确认结果查询</v>
      </c>
      <c r="D376" s="290"/>
      <c r="E376" s="290"/>
      <c r="F376" s="61" t="s">
        <v>165</v>
      </c>
      <c r="G376" s="62" t="str">
        <f>VLOOKUP(C375,功能索引!$C$3:$E668,3,FALSE)</f>
        <v>Y</v>
      </c>
    </row>
    <row r="377" spans="2:7" ht="13.5" customHeight="1" x14ac:dyDescent="0.15">
      <c r="B377" s="299" t="s">
        <v>354</v>
      </c>
      <c r="C377" s="284" t="s">
        <v>531</v>
      </c>
      <c r="D377" s="285"/>
      <c r="E377" s="285"/>
      <c r="F377" s="285"/>
      <c r="G377" s="286"/>
    </row>
    <row r="378" spans="2:7" ht="14.25" thickBot="1" x14ac:dyDescent="0.2">
      <c r="B378" s="304"/>
      <c r="C378" s="287"/>
      <c r="D378" s="288"/>
      <c r="E378" s="288"/>
      <c r="F378" s="288"/>
      <c r="G378" s="289"/>
    </row>
    <row r="379" spans="2:7" x14ac:dyDescent="0.15">
      <c r="B379" s="298" t="s">
        <v>355</v>
      </c>
      <c r="C379" s="58" t="s">
        <v>356</v>
      </c>
      <c r="D379" s="58" t="s">
        <v>357</v>
      </c>
      <c r="E379" s="58" t="s">
        <v>358</v>
      </c>
      <c r="F379" s="58" t="s">
        <v>359</v>
      </c>
      <c r="G379" s="64" t="s">
        <v>360</v>
      </c>
    </row>
    <row r="380" spans="2:7" x14ac:dyDescent="0.15">
      <c r="B380" s="299"/>
      <c r="C380" s="65" t="s">
        <v>428</v>
      </c>
      <c r="D380" s="66">
        <f>VLOOKUP(C380,基本字段定义!$B$3:$C$3013,2,FALSE)</f>
        <v>605</v>
      </c>
      <c r="E380" s="67" t="s">
        <v>429</v>
      </c>
      <c r="F380" s="67" t="s">
        <v>169</v>
      </c>
      <c r="G380" s="68"/>
    </row>
    <row r="381" spans="2:7" x14ac:dyDescent="0.15">
      <c r="B381" s="299"/>
      <c r="C381" s="65" t="s">
        <v>529</v>
      </c>
      <c r="D381" s="66">
        <f>VLOOKUP(C381,基本字段定义!$B$3:$C$3013,2,FALSE)</f>
        <v>1332</v>
      </c>
      <c r="E381" s="67" t="s">
        <v>363</v>
      </c>
      <c r="F381" s="67"/>
      <c r="G381" s="68" t="s">
        <v>532</v>
      </c>
    </row>
    <row r="382" spans="2:7" x14ac:dyDescent="0.15">
      <c r="B382" s="299" t="s">
        <v>361</v>
      </c>
      <c r="C382" s="69" t="s">
        <v>529</v>
      </c>
      <c r="D382" s="70">
        <f>VLOOKUP(C382,基本字段定义!$B$3:$C$3013,2,FALSE)</f>
        <v>1332</v>
      </c>
      <c r="E382" s="71" t="s">
        <v>363</v>
      </c>
      <c r="F382" s="71"/>
      <c r="G382" s="73" t="s">
        <v>532</v>
      </c>
    </row>
    <row r="383" spans="2:7" x14ac:dyDescent="0.15">
      <c r="B383" s="299"/>
      <c r="C383" s="69" t="s">
        <v>533</v>
      </c>
      <c r="D383" s="70">
        <f>VLOOKUP(C383,基本字段定义!$B$3:$C$3013,2,FALSE)</f>
        <v>812</v>
      </c>
      <c r="E383" s="71" t="s">
        <v>363</v>
      </c>
      <c r="F383" s="71"/>
      <c r="G383" s="72" t="s">
        <v>534</v>
      </c>
    </row>
    <row r="384" spans="2:7" x14ac:dyDescent="0.15">
      <c r="B384" s="299"/>
      <c r="C384" s="69" t="s">
        <v>535</v>
      </c>
      <c r="D384" s="70">
        <f>VLOOKUP(C384,基本字段定义!$B$3:$C$3013,2,FALSE)</f>
        <v>1850</v>
      </c>
      <c r="E384" s="71" t="s">
        <v>363</v>
      </c>
      <c r="F384" s="71"/>
      <c r="G384" s="73" t="s">
        <v>536</v>
      </c>
    </row>
    <row r="385" spans="2:7" ht="14.25" thickBot="1" x14ac:dyDescent="0.2">
      <c r="B385" s="304"/>
      <c r="C385" s="75"/>
      <c r="D385" s="83"/>
      <c r="E385" s="77"/>
      <c r="F385" s="77"/>
      <c r="G385" s="78"/>
    </row>
    <row r="387" spans="2:7" x14ac:dyDescent="0.15">
      <c r="B387" s="57" t="s">
        <v>163</v>
      </c>
      <c r="C387" s="291">
        <v>202039</v>
      </c>
      <c r="D387" s="291"/>
      <c r="E387" s="291"/>
      <c r="F387" s="58" t="s">
        <v>352</v>
      </c>
      <c r="G387" s="59"/>
    </row>
    <row r="388" spans="2:7" x14ac:dyDescent="0.15">
      <c r="B388" s="60" t="s">
        <v>353</v>
      </c>
      <c r="C388" s="290" t="str">
        <f>VLOOKUP(C387,功能索引!$C$3:$D$278,2,FALSE)</f>
        <v>自助登入信息</v>
      </c>
      <c r="D388" s="290"/>
      <c r="E388" s="290"/>
      <c r="F388" s="61" t="s">
        <v>165</v>
      </c>
      <c r="G388" s="62">
        <f>VLOOKUP(C387,功能索引!$C$3:$E679,3,FALSE)</f>
        <v>0</v>
      </c>
    </row>
    <row r="389" spans="2:7" ht="13.5" customHeight="1" x14ac:dyDescent="0.15">
      <c r="B389" s="299" t="s">
        <v>354</v>
      </c>
      <c r="C389" s="284" t="s">
        <v>537</v>
      </c>
      <c r="D389" s="285"/>
      <c r="E389" s="285"/>
      <c r="F389" s="285"/>
      <c r="G389" s="286"/>
    </row>
    <row r="390" spans="2:7" ht="14.25" thickBot="1" x14ac:dyDescent="0.2">
      <c r="B390" s="304"/>
      <c r="C390" s="287"/>
      <c r="D390" s="288"/>
      <c r="E390" s="288"/>
      <c r="F390" s="288"/>
      <c r="G390" s="289"/>
    </row>
    <row r="391" spans="2:7" x14ac:dyDescent="0.15">
      <c r="B391" s="315" t="s">
        <v>355</v>
      </c>
      <c r="C391" s="58" t="s">
        <v>356</v>
      </c>
      <c r="D391" s="58" t="s">
        <v>357</v>
      </c>
      <c r="E391" s="58" t="s">
        <v>358</v>
      </c>
      <c r="F391" s="58" t="s">
        <v>359</v>
      </c>
      <c r="G391" s="64" t="s">
        <v>360</v>
      </c>
    </row>
    <row r="392" spans="2:7" x14ac:dyDescent="0.15">
      <c r="B392" s="301"/>
      <c r="C392" s="65" t="s">
        <v>428</v>
      </c>
      <c r="D392" s="66">
        <f>VLOOKUP(C392,基本字段定义!$B$3:$C$3013,2,FALSE)</f>
        <v>605</v>
      </c>
      <c r="E392" s="67" t="s">
        <v>429</v>
      </c>
      <c r="F392" s="67" t="s">
        <v>169</v>
      </c>
      <c r="G392" s="68" t="s">
        <v>430</v>
      </c>
    </row>
    <row r="393" spans="2:7" x14ac:dyDescent="0.15">
      <c r="B393" s="301"/>
      <c r="C393" s="65" t="s">
        <v>496</v>
      </c>
      <c r="D393" s="66">
        <f>VLOOKUP(C393,基本字段定义!$B$3:$C$3013,2,FALSE)</f>
        <v>730</v>
      </c>
      <c r="E393" s="67" t="s">
        <v>497</v>
      </c>
      <c r="F393" s="67" t="s">
        <v>169</v>
      </c>
      <c r="G393" s="68" t="s">
        <v>538</v>
      </c>
    </row>
    <row r="394" spans="2:7" x14ac:dyDescent="0.15">
      <c r="B394" s="301"/>
      <c r="C394" s="65" t="s">
        <v>525</v>
      </c>
      <c r="D394" s="66">
        <f>VLOOKUP(C394,基本字段定义!$B$3:$C$3013,2,FALSE)</f>
        <v>793</v>
      </c>
      <c r="E394" s="67" t="s">
        <v>526</v>
      </c>
      <c r="F394" s="67" t="s">
        <v>169</v>
      </c>
      <c r="G394" s="68" t="s">
        <v>527</v>
      </c>
    </row>
    <row r="395" spans="2:7" x14ac:dyDescent="0.15">
      <c r="B395" s="301"/>
      <c r="C395" s="65" t="s">
        <v>539</v>
      </c>
      <c r="D395" s="66">
        <f>VLOOKUP(C395,基本字段定义!$B$3:$C$3013,2,FALSE)</f>
        <v>1464</v>
      </c>
      <c r="E395" s="67" t="s">
        <v>540</v>
      </c>
      <c r="F395" s="67"/>
      <c r="G395" s="68" t="s">
        <v>541</v>
      </c>
    </row>
    <row r="396" spans="2:7" x14ac:dyDescent="0.15">
      <c r="B396" s="301"/>
      <c r="C396" s="65" t="s">
        <v>542</v>
      </c>
      <c r="D396" s="66">
        <f>VLOOKUP(C396,基本字段定义!$B$3:$C$3013,2,FALSE)</f>
        <v>756</v>
      </c>
      <c r="E396" s="67" t="s">
        <v>363</v>
      </c>
      <c r="F396" s="67"/>
      <c r="G396" s="68" t="s">
        <v>543</v>
      </c>
    </row>
    <row r="397" spans="2:7" x14ac:dyDescent="0.15">
      <c r="B397" s="306"/>
      <c r="C397" s="65" t="s">
        <v>544</v>
      </c>
      <c r="D397" s="66">
        <f>VLOOKUP(C397,基本字段定义!$B$3:$C$3013,2,FALSE)</f>
        <v>1055</v>
      </c>
      <c r="E397" s="67" t="s">
        <v>526</v>
      </c>
      <c r="F397" s="67"/>
      <c r="G397" s="68" t="s">
        <v>545</v>
      </c>
    </row>
    <row r="398" spans="2:7" x14ac:dyDescent="0.15">
      <c r="B398" s="299" t="s">
        <v>361</v>
      </c>
      <c r="C398" s="69" t="s">
        <v>362</v>
      </c>
      <c r="D398" s="70">
        <f>VLOOKUP(C398,基本字段定义!$B$3:$C$3013,2,FALSE)</f>
        <v>507</v>
      </c>
      <c r="E398" s="71" t="s">
        <v>363</v>
      </c>
      <c r="F398" s="71"/>
      <c r="G398" s="72"/>
    </row>
    <row r="399" spans="2:7" x14ac:dyDescent="0.15">
      <c r="B399" s="299"/>
      <c r="C399" s="69" t="s">
        <v>364</v>
      </c>
      <c r="D399" s="70">
        <f>VLOOKUP(C399,基本字段定义!$B$3:$C$3013,2,FALSE)</f>
        <v>508</v>
      </c>
      <c r="E399" s="71" t="s">
        <v>365</v>
      </c>
      <c r="F399" s="71"/>
      <c r="G399" s="73"/>
    </row>
    <row r="400" spans="2:7" ht="14.25" thickBot="1" x14ac:dyDescent="0.2">
      <c r="B400" s="304"/>
      <c r="C400" s="65"/>
      <c r="D400" s="66"/>
      <c r="E400" s="67"/>
      <c r="F400" s="67"/>
      <c r="G400" s="68"/>
    </row>
    <row r="402" spans="2:7" x14ac:dyDescent="0.15">
      <c r="B402" s="57" t="s">
        <v>163</v>
      </c>
      <c r="C402" s="291">
        <v>203019</v>
      </c>
      <c r="D402" s="291"/>
      <c r="E402" s="291"/>
      <c r="F402" s="58" t="s">
        <v>352</v>
      </c>
      <c r="G402" s="59"/>
    </row>
    <row r="403" spans="2:7" x14ac:dyDescent="0.15">
      <c r="B403" s="60" t="s">
        <v>353</v>
      </c>
      <c r="C403" s="290" t="str">
        <f>VLOOKUP(C402,功能索引!$C$3:$D$278,2,FALSE)</f>
        <v>变更主资金帐户检查</v>
      </c>
      <c r="D403" s="290"/>
      <c r="E403" s="290"/>
      <c r="F403" s="61" t="s">
        <v>165</v>
      </c>
      <c r="G403" s="62">
        <f>VLOOKUP(C402,功能索引!$C$3:$E694,3,FALSE)</f>
        <v>0</v>
      </c>
    </row>
    <row r="404" spans="2:7" x14ac:dyDescent="0.15">
      <c r="B404" s="299" t="s">
        <v>354</v>
      </c>
      <c r="C404" s="284" t="s">
        <v>198</v>
      </c>
      <c r="D404" s="285"/>
      <c r="E404" s="285"/>
      <c r="F404" s="285"/>
      <c r="G404" s="286"/>
    </row>
    <row r="405" spans="2:7" ht="14.25" thickBot="1" x14ac:dyDescent="0.2">
      <c r="B405" s="304"/>
      <c r="C405" s="287"/>
      <c r="D405" s="288"/>
      <c r="E405" s="288"/>
      <c r="F405" s="288"/>
      <c r="G405" s="289"/>
    </row>
    <row r="406" spans="2:7" x14ac:dyDescent="0.15">
      <c r="B406" s="315" t="s">
        <v>355</v>
      </c>
      <c r="C406" s="58" t="s">
        <v>356</v>
      </c>
      <c r="D406" s="58" t="s">
        <v>357</v>
      </c>
      <c r="E406" s="58" t="s">
        <v>358</v>
      </c>
      <c r="F406" s="58" t="s">
        <v>359</v>
      </c>
      <c r="G406" s="64" t="s">
        <v>360</v>
      </c>
    </row>
    <row r="407" spans="2:7" x14ac:dyDescent="0.15">
      <c r="B407" s="301"/>
      <c r="C407" s="65" t="s">
        <v>546</v>
      </c>
      <c r="D407" s="66">
        <f>VLOOKUP(C407,基本字段定义!$B$3:$C$3013,2,FALSE)</f>
        <v>645</v>
      </c>
      <c r="E407" s="67" t="s">
        <v>429</v>
      </c>
      <c r="F407" s="67" t="s">
        <v>169</v>
      </c>
      <c r="G407" s="68" t="s">
        <v>547</v>
      </c>
    </row>
    <row r="408" spans="2:7" x14ac:dyDescent="0.15">
      <c r="B408" s="301"/>
      <c r="C408" s="65" t="s">
        <v>548</v>
      </c>
      <c r="D408" s="66">
        <f>VLOOKUP(C408,基本字段定义!$B$3:$C$3013,2,FALSE)</f>
        <v>716</v>
      </c>
      <c r="E408" s="67" t="s">
        <v>497</v>
      </c>
      <c r="F408" s="67" t="s">
        <v>169</v>
      </c>
      <c r="G408" s="68" t="s">
        <v>549</v>
      </c>
    </row>
    <row r="409" spans="2:7" x14ac:dyDescent="0.15">
      <c r="B409" s="301"/>
      <c r="C409" s="65" t="s">
        <v>428</v>
      </c>
      <c r="D409" s="66">
        <f>VLOOKUP(C409,基本字段定义!$B$3:$C$3013,2,FALSE)</f>
        <v>605</v>
      </c>
      <c r="E409" s="67" t="s">
        <v>526</v>
      </c>
      <c r="F409" s="67" t="s">
        <v>169</v>
      </c>
      <c r="G409" s="68" t="s">
        <v>430</v>
      </c>
    </row>
    <row r="410" spans="2:7" x14ac:dyDescent="0.15">
      <c r="B410" s="301"/>
      <c r="C410" s="65" t="s">
        <v>550</v>
      </c>
      <c r="D410" s="66">
        <f>VLOOKUP(C410,基本字段定义!$B$3:$C$3013,2,FALSE)</f>
        <v>511</v>
      </c>
      <c r="E410" s="67" t="s">
        <v>540</v>
      </c>
      <c r="F410" s="67"/>
      <c r="G410" s="68" t="s">
        <v>551</v>
      </c>
    </row>
    <row r="411" spans="2:7" x14ac:dyDescent="0.15">
      <c r="B411" s="299" t="s">
        <v>361</v>
      </c>
      <c r="C411" s="69" t="s">
        <v>362</v>
      </c>
      <c r="D411" s="70">
        <f>VLOOKUP(C411,基本字段定义!$B$3:$C$3013,2,FALSE)</f>
        <v>507</v>
      </c>
      <c r="E411" s="71" t="s">
        <v>363</v>
      </c>
      <c r="F411" s="71"/>
      <c r="G411" s="72"/>
    </row>
    <row r="412" spans="2:7" x14ac:dyDescent="0.15">
      <c r="B412" s="299"/>
      <c r="C412" s="69" t="s">
        <v>364</v>
      </c>
      <c r="D412" s="70">
        <f>VLOOKUP(C412,基本字段定义!$B$3:$C$3013,2,FALSE)</f>
        <v>508</v>
      </c>
      <c r="E412" s="71" t="s">
        <v>365</v>
      </c>
      <c r="F412" s="71"/>
      <c r="G412" s="73"/>
    </row>
    <row r="413" spans="2:7" ht="14.25" thickBot="1" x14ac:dyDescent="0.2">
      <c r="B413" s="304"/>
      <c r="C413" s="65"/>
      <c r="D413" s="66"/>
      <c r="E413" s="67"/>
      <c r="F413" s="67"/>
      <c r="G413" s="68"/>
    </row>
    <row r="415" spans="2:7" x14ac:dyDescent="0.15">
      <c r="B415" s="57" t="s">
        <v>163</v>
      </c>
      <c r="C415" s="323">
        <v>303002</v>
      </c>
      <c r="D415" s="324"/>
      <c r="E415" s="325"/>
      <c r="F415" s="58" t="s">
        <v>352</v>
      </c>
      <c r="G415" s="59"/>
    </row>
    <row r="416" spans="2:7" x14ac:dyDescent="0.15">
      <c r="B416" s="60" t="s">
        <v>353</v>
      </c>
      <c r="C416" s="320" t="str">
        <f>VLOOKUP(C415,功能索引!$C$3:$D$278,2,FALSE)</f>
        <v>资金账户查询</v>
      </c>
      <c r="D416" s="321"/>
      <c r="E416" s="322"/>
      <c r="F416" s="61" t="s">
        <v>165</v>
      </c>
      <c r="G416" s="62" t="str">
        <f>VLOOKUP(C415,功能索引!$C$3:$E680,3,FALSE)</f>
        <v>Y</v>
      </c>
    </row>
    <row r="417" spans="2:7" x14ac:dyDescent="0.15">
      <c r="B417" s="300" t="s">
        <v>354</v>
      </c>
      <c r="C417" s="284"/>
      <c r="D417" s="285"/>
      <c r="E417" s="285"/>
      <c r="F417" s="285"/>
      <c r="G417" s="286"/>
    </row>
    <row r="418" spans="2:7" ht="14.25" thickBot="1" x14ac:dyDescent="0.2">
      <c r="B418" s="305"/>
      <c r="C418" s="287"/>
      <c r="D418" s="288"/>
      <c r="E418" s="288"/>
      <c r="F418" s="288"/>
      <c r="G418" s="289"/>
    </row>
    <row r="419" spans="2:7" x14ac:dyDescent="0.15">
      <c r="B419" s="315" t="s">
        <v>355</v>
      </c>
      <c r="C419" s="58" t="s">
        <v>356</v>
      </c>
      <c r="D419" s="58" t="s">
        <v>357</v>
      </c>
      <c r="E419" s="58" t="s">
        <v>358</v>
      </c>
      <c r="F419" s="58" t="s">
        <v>359</v>
      </c>
      <c r="G419" s="64" t="s">
        <v>360</v>
      </c>
    </row>
    <row r="420" spans="2:7" x14ac:dyDescent="0.15">
      <c r="B420" s="301"/>
      <c r="C420" s="65" t="s">
        <v>428</v>
      </c>
      <c r="D420" s="66">
        <f>VLOOKUP(C420,基本字段定义!$B$3:$C$3013,2,FALSE)</f>
        <v>605</v>
      </c>
      <c r="E420" s="67" t="s">
        <v>429</v>
      </c>
      <c r="F420" s="67" t="s">
        <v>169</v>
      </c>
      <c r="G420" s="68" t="s">
        <v>430</v>
      </c>
    </row>
    <row r="421" spans="2:7" x14ac:dyDescent="0.15">
      <c r="B421" s="301"/>
      <c r="C421" s="65" t="s">
        <v>458</v>
      </c>
      <c r="D421" s="66">
        <f>VLOOKUP(C421,基本字段定义!$B$3:$C$3013,2,FALSE)</f>
        <v>988</v>
      </c>
      <c r="E421" s="67" t="s">
        <v>363</v>
      </c>
      <c r="F421" s="67"/>
      <c r="G421" s="68" t="s">
        <v>552</v>
      </c>
    </row>
    <row r="422" spans="2:7" x14ac:dyDescent="0.15">
      <c r="B422" s="306"/>
      <c r="C422" s="65" t="s">
        <v>550</v>
      </c>
      <c r="D422" s="66">
        <f>VLOOKUP(C422,基本字段定义!$B$3:$C$3013,2,FALSE)</f>
        <v>511</v>
      </c>
      <c r="E422" s="67" t="s">
        <v>553</v>
      </c>
      <c r="F422" s="67"/>
      <c r="G422" s="68" t="s">
        <v>554</v>
      </c>
    </row>
    <row r="423" spans="2:7" x14ac:dyDescent="0.15">
      <c r="B423" s="299" t="s">
        <v>361</v>
      </c>
      <c r="C423" s="69" t="s">
        <v>548</v>
      </c>
      <c r="D423" s="70">
        <f>VLOOKUP(C423,基本字段定义!$B$3:$C$3013,2,FALSE)</f>
        <v>716</v>
      </c>
      <c r="E423" s="71" t="s">
        <v>365</v>
      </c>
      <c r="F423" s="71"/>
      <c r="G423" s="72" t="s">
        <v>555</v>
      </c>
    </row>
    <row r="424" spans="2:7" x14ac:dyDescent="0.15">
      <c r="B424" s="299"/>
      <c r="C424" s="69" t="s">
        <v>550</v>
      </c>
      <c r="D424" s="70">
        <f>VLOOKUP(C424,基本字段定义!$B$3:$C$3013,2,FALSE)</f>
        <v>511</v>
      </c>
      <c r="E424" s="71" t="s">
        <v>365</v>
      </c>
      <c r="F424" s="71"/>
      <c r="G424" s="73" t="s">
        <v>551</v>
      </c>
    </row>
    <row r="425" spans="2:7" x14ac:dyDescent="0.15">
      <c r="B425" s="299"/>
      <c r="C425" s="69" t="s">
        <v>556</v>
      </c>
      <c r="D425" s="70">
        <f>VLOOKUP(C425,基本字段定义!$B$3:$C$3013,2,FALSE)</f>
        <v>727</v>
      </c>
      <c r="E425" s="71" t="s">
        <v>363</v>
      </c>
      <c r="F425" s="71"/>
      <c r="G425" s="73" t="s">
        <v>557</v>
      </c>
    </row>
    <row r="426" spans="2:7" x14ac:dyDescent="0.15">
      <c r="B426" s="299"/>
      <c r="C426" s="69" t="s">
        <v>558</v>
      </c>
      <c r="D426" s="70">
        <f>VLOOKUP(C426,基本字段定义!$B$3:$C$3013,2,FALSE)</f>
        <v>929</v>
      </c>
      <c r="E426" s="71" t="s">
        <v>363</v>
      </c>
      <c r="F426" s="71"/>
      <c r="G426" s="73" t="s">
        <v>559</v>
      </c>
    </row>
    <row r="427" spans="2:7" x14ac:dyDescent="0.15">
      <c r="B427" s="299"/>
      <c r="C427" s="69" t="s">
        <v>560</v>
      </c>
      <c r="D427" s="70">
        <f>VLOOKUP(C427,基本字段定义!$B$3:$C$3013,2,FALSE)</f>
        <v>710</v>
      </c>
      <c r="E427" s="71" t="s">
        <v>363</v>
      </c>
      <c r="F427" s="71"/>
      <c r="G427" s="73" t="s">
        <v>561</v>
      </c>
    </row>
    <row r="428" spans="2:7" x14ac:dyDescent="0.15">
      <c r="B428" s="299"/>
      <c r="C428" s="69" t="s">
        <v>562</v>
      </c>
      <c r="D428" s="70">
        <f>VLOOKUP(C428,基本字段定义!$B$3:$C$3013,2,FALSE)</f>
        <v>709</v>
      </c>
      <c r="E428" s="71" t="s">
        <v>563</v>
      </c>
      <c r="F428" s="71"/>
      <c r="G428" s="73" t="s">
        <v>564</v>
      </c>
    </row>
    <row r="429" spans="2:7" x14ac:dyDescent="0.15">
      <c r="B429" s="299"/>
      <c r="C429" s="69" t="s">
        <v>565</v>
      </c>
      <c r="D429" s="70">
        <f>VLOOKUP(C429,基本字段定义!$B$3:$C$3013,2,FALSE)</f>
        <v>826</v>
      </c>
      <c r="E429" s="71" t="s">
        <v>563</v>
      </c>
      <c r="F429" s="71"/>
      <c r="G429" s="73" t="s">
        <v>566</v>
      </c>
    </row>
    <row r="430" spans="2:7" x14ac:dyDescent="0.15">
      <c r="B430" s="299"/>
      <c r="C430" s="69" t="s">
        <v>567</v>
      </c>
      <c r="D430" s="70">
        <f>VLOOKUP(C430,基本字段定义!$B$3:$C$3013,2,FALSE)</f>
        <v>619</v>
      </c>
      <c r="E430" s="71" t="s">
        <v>563</v>
      </c>
      <c r="F430" s="71"/>
      <c r="G430" s="73" t="s">
        <v>4112</v>
      </c>
    </row>
    <row r="431" spans="2:7" x14ac:dyDescent="0.15">
      <c r="B431" s="299"/>
      <c r="C431" s="69" t="s">
        <v>569</v>
      </c>
      <c r="D431" s="70">
        <f>VLOOKUP(C431,基本字段定义!$B$3:$C$3013,2,FALSE)</f>
        <v>617</v>
      </c>
      <c r="E431" s="71" t="s">
        <v>563</v>
      </c>
      <c r="F431" s="71"/>
      <c r="G431" s="73" t="s">
        <v>570</v>
      </c>
    </row>
    <row r="432" spans="2:7" x14ac:dyDescent="0.15">
      <c r="B432" s="299"/>
      <c r="C432" s="69" t="s">
        <v>571</v>
      </c>
      <c r="D432" s="70">
        <f>VLOOKUP(C432,基本字段定义!$B$3:$C$3013,2,FALSE)</f>
        <v>2100</v>
      </c>
      <c r="E432" s="71" t="s">
        <v>563</v>
      </c>
      <c r="F432" s="71"/>
      <c r="G432" s="73" t="s">
        <v>572</v>
      </c>
    </row>
    <row r="433" spans="2:7" x14ac:dyDescent="0.15">
      <c r="B433" s="299"/>
      <c r="C433" s="69" t="s">
        <v>573</v>
      </c>
      <c r="D433" s="70">
        <f>VLOOKUP(C433,基本字段定义!$B$3:$C$3013,2,FALSE)</f>
        <v>760</v>
      </c>
      <c r="E433" s="71" t="s">
        <v>563</v>
      </c>
      <c r="F433" s="71"/>
      <c r="G433" s="73" t="s">
        <v>574</v>
      </c>
    </row>
    <row r="434" spans="2:7" x14ac:dyDescent="0.15">
      <c r="B434" s="299"/>
      <c r="C434" s="69" t="s">
        <v>575</v>
      </c>
      <c r="D434" s="70">
        <f>VLOOKUP(C434,基本字段定义!$B$3:$C$3013,2,FALSE)</f>
        <v>1254</v>
      </c>
      <c r="E434" s="71" t="s">
        <v>563</v>
      </c>
      <c r="F434" s="71"/>
      <c r="G434" s="73" t="s">
        <v>576</v>
      </c>
    </row>
    <row r="435" spans="2:7" x14ac:dyDescent="0.15">
      <c r="B435" s="299"/>
      <c r="C435" s="69" t="s">
        <v>577</v>
      </c>
      <c r="D435" s="70">
        <f>VLOOKUP(C435,基本字段定义!$B$3:$C$3013,2,FALSE)</f>
        <v>1255</v>
      </c>
      <c r="E435" s="71" t="s">
        <v>563</v>
      </c>
      <c r="F435" s="71"/>
      <c r="G435" s="73" t="s">
        <v>578</v>
      </c>
    </row>
    <row r="436" spans="2:7" ht="14.25" thickBot="1" x14ac:dyDescent="0.2">
      <c r="B436" s="304"/>
      <c r="C436" s="75" t="s">
        <v>4110</v>
      </c>
      <c r="D436" s="83">
        <v>1656</v>
      </c>
      <c r="E436" s="77" t="s">
        <v>4111</v>
      </c>
      <c r="F436" s="77"/>
      <c r="G436" s="78" t="s">
        <v>4113</v>
      </c>
    </row>
    <row r="438" spans="2:7" x14ac:dyDescent="0.15">
      <c r="B438" s="57" t="s">
        <v>163</v>
      </c>
      <c r="C438" s="291">
        <v>303001</v>
      </c>
      <c r="D438" s="291"/>
      <c r="E438" s="291"/>
      <c r="F438" s="58" t="s">
        <v>352</v>
      </c>
      <c r="G438" s="59"/>
    </row>
    <row r="439" spans="2:7" x14ac:dyDescent="0.15">
      <c r="B439" s="60" t="s">
        <v>353</v>
      </c>
      <c r="C439" s="290" t="str">
        <f>VLOOKUP(C438,功能索引!$C$3:$D$278,2,FALSE)</f>
        <v>指定资金账户信息查询</v>
      </c>
      <c r="D439" s="290"/>
      <c r="E439" s="290"/>
      <c r="F439" s="61" t="s">
        <v>165</v>
      </c>
      <c r="G439" s="62">
        <f>VLOOKUP(C438,功能索引!$C$3:$E716,3,FALSE)</f>
        <v>0</v>
      </c>
    </row>
    <row r="440" spans="2:7" x14ac:dyDescent="0.15">
      <c r="B440" s="299" t="s">
        <v>354</v>
      </c>
      <c r="C440" s="284"/>
      <c r="D440" s="285"/>
      <c r="E440" s="285"/>
      <c r="F440" s="285"/>
      <c r="G440" s="286"/>
    </row>
    <row r="441" spans="2:7" ht="14.25" thickBot="1" x14ac:dyDescent="0.2">
      <c r="B441" s="304"/>
      <c r="C441" s="287"/>
      <c r="D441" s="288"/>
      <c r="E441" s="288"/>
      <c r="F441" s="288"/>
      <c r="G441" s="289"/>
    </row>
    <row r="442" spans="2:7" x14ac:dyDescent="0.15">
      <c r="B442" s="298" t="s">
        <v>355</v>
      </c>
      <c r="C442" s="58" t="s">
        <v>356</v>
      </c>
      <c r="D442" s="58" t="s">
        <v>357</v>
      </c>
      <c r="E442" s="58" t="s">
        <v>358</v>
      </c>
      <c r="F442" s="58" t="s">
        <v>359</v>
      </c>
      <c r="G442" s="64" t="s">
        <v>360</v>
      </c>
    </row>
    <row r="443" spans="2:7" x14ac:dyDescent="0.15">
      <c r="B443" s="299"/>
      <c r="C443" s="65" t="s">
        <v>548</v>
      </c>
      <c r="D443" s="66">
        <f>VLOOKUP(C443,基本字段定义!$B$3:$C$3013,2,FALSE)</f>
        <v>716</v>
      </c>
      <c r="E443" s="67" t="s">
        <v>579</v>
      </c>
      <c r="F443" s="67" t="s">
        <v>169</v>
      </c>
      <c r="G443" s="68"/>
    </row>
    <row r="444" spans="2:7" x14ac:dyDescent="0.15">
      <c r="B444" s="299"/>
      <c r="C444" s="65" t="s">
        <v>458</v>
      </c>
      <c r="D444" s="66">
        <f>VLOOKUP(C444,基本字段定义!$B$3:$C$3013,2,FALSE)</f>
        <v>988</v>
      </c>
      <c r="E444" s="67" t="s">
        <v>363</v>
      </c>
      <c r="F444" s="67"/>
      <c r="G444" s="68" t="s">
        <v>580</v>
      </c>
    </row>
    <row r="445" spans="2:7" x14ac:dyDescent="0.15">
      <c r="B445" s="299" t="s">
        <v>361</v>
      </c>
      <c r="C445" s="69" t="s">
        <v>362</v>
      </c>
      <c r="D445" s="70">
        <f>VLOOKUP(C445,基本字段定义!$B$3:$C$3013,2,FALSE)</f>
        <v>507</v>
      </c>
      <c r="E445" s="71" t="s">
        <v>363</v>
      </c>
      <c r="F445" s="71"/>
      <c r="G445" s="73"/>
    </row>
    <row r="446" spans="2:7" x14ac:dyDescent="0.15">
      <c r="B446" s="299"/>
      <c r="C446" s="69" t="s">
        <v>364</v>
      </c>
      <c r="D446" s="70">
        <f>VLOOKUP(C446,基本字段定义!$B$3:$C$3013,2,FALSE)</f>
        <v>508</v>
      </c>
      <c r="E446" s="71" t="s">
        <v>365</v>
      </c>
      <c r="F446" s="71"/>
      <c r="G446" s="73"/>
    </row>
    <row r="447" spans="2:7" x14ac:dyDescent="0.15">
      <c r="B447" s="299"/>
      <c r="C447" s="69" t="s">
        <v>550</v>
      </c>
      <c r="D447" s="70">
        <f>VLOOKUP(C447,基本字段定义!$B$3:$C$3013,2,FALSE)</f>
        <v>511</v>
      </c>
      <c r="E447" s="71" t="s">
        <v>365</v>
      </c>
      <c r="F447" s="71"/>
      <c r="G447" s="73" t="s">
        <v>551</v>
      </c>
    </row>
    <row r="448" spans="2:7" x14ac:dyDescent="0.15">
      <c r="B448" s="299"/>
      <c r="C448" s="69" t="s">
        <v>556</v>
      </c>
      <c r="D448" s="70">
        <f>VLOOKUP(C448,基本字段定义!$B$3:$C$3013,2,FALSE)</f>
        <v>727</v>
      </c>
      <c r="E448" s="71" t="s">
        <v>363</v>
      </c>
      <c r="F448" s="71"/>
      <c r="G448" s="73" t="s">
        <v>557</v>
      </c>
    </row>
    <row r="449" spans="2:7" x14ac:dyDescent="0.15">
      <c r="B449" s="299"/>
      <c r="C449" s="69" t="s">
        <v>558</v>
      </c>
      <c r="D449" s="70">
        <f>VLOOKUP(C449,基本字段定义!$B$3:$C$3013,2,FALSE)</f>
        <v>929</v>
      </c>
      <c r="E449" s="71" t="s">
        <v>363</v>
      </c>
      <c r="F449" s="71"/>
      <c r="G449" s="73" t="s">
        <v>559</v>
      </c>
    </row>
    <row r="450" spans="2:7" x14ac:dyDescent="0.15">
      <c r="B450" s="299"/>
      <c r="C450" s="69" t="s">
        <v>560</v>
      </c>
      <c r="D450" s="70">
        <f>VLOOKUP(C450,基本字段定义!$B$3:$C$3013,2,FALSE)</f>
        <v>710</v>
      </c>
      <c r="E450" s="71" t="s">
        <v>363</v>
      </c>
      <c r="F450" s="71"/>
      <c r="G450" s="73" t="s">
        <v>561</v>
      </c>
    </row>
    <row r="451" spans="2:7" x14ac:dyDescent="0.15">
      <c r="B451" s="299"/>
      <c r="C451" s="69" t="s">
        <v>562</v>
      </c>
      <c r="D451" s="70">
        <f>VLOOKUP(C451,基本字段定义!$B$3:$C$3013,2,FALSE)</f>
        <v>709</v>
      </c>
      <c r="E451" s="71" t="s">
        <v>563</v>
      </c>
      <c r="F451" s="71"/>
      <c r="G451" s="73" t="s">
        <v>564</v>
      </c>
    </row>
    <row r="452" spans="2:7" x14ac:dyDescent="0.15">
      <c r="B452" s="299"/>
      <c r="C452" s="69" t="s">
        <v>565</v>
      </c>
      <c r="D452" s="70">
        <f>VLOOKUP(C452,基本字段定义!$B$3:$C$3013,2,FALSE)</f>
        <v>826</v>
      </c>
      <c r="E452" s="71" t="s">
        <v>563</v>
      </c>
      <c r="F452" s="71"/>
      <c r="G452" s="73" t="s">
        <v>566</v>
      </c>
    </row>
    <row r="453" spans="2:7" x14ac:dyDescent="0.15">
      <c r="B453" s="299"/>
      <c r="C453" s="69" t="s">
        <v>567</v>
      </c>
      <c r="D453" s="70">
        <f>VLOOKUP(C453,基本字段定义!$B$3:$C$3013,2,FALSE)</f>
        <v>619</v>
      </c>
      <c r="E453" s="71" t="s">
        <v>563</v>
      </c>
      <c r="F453" s="71"/>
      <c r="G453" s="73" t="s">
        <v>568</v>
      </c>
    </row>
    <row r="454" spans="2:7" x14ac:dyDescent="0.15">
      <c r="B454" s="299"/>
      <c r="C454" s="69" t="s">
        <v>569</v>
      </c>
      <c r="D454" s="70">
        <f>VLOOKUP(C454,基本字段定义!$B$3:$C$3013,2,FALSE)</f>
        <v>617</v>
      </c>
      <c r="E454" s="71" t="s">
        <v>563</v>
      </c>
      <c r="F454" s="71"/>
      <c r="G454" s="73" t="s">
        <v>570</v>
      </c>
    </row>
    <row r="455" spans="2:7" x14ac:dyDescent="0.15">
      <c r="B455" s="299"/>
      <c r="C455" s="69" t="s">
        <v>571</v>
      </c>
      <c r="D455" s="70">
        <f>VLOOKUP(C455,基本字段定义!$B$3:$C$3013,2,FALSE)</f>
        <v>2100</v>
      </c>
      <c r="E455" s="71" t="s">
        <v>563</v>
      </c>
      <c r="F455" s="71"/>
      <c r="G455" s="73" t="s">
        <v>572</v>
      </c>
    </row>
    <row r="456" spans="2:7" x14ac:dyDescent="0.15">
      <c r="B456" s="299"/>
      <c r="C456" s="69" t="s">
        <v>573</v>
      </c>
      <c r="D456" s="70">
        <f>VLOOKUP(C456,基本字段定义!$B$3:$C$3013,2,FALSE)</f>
        <v>760</v>
      </c>
      <c r="E456" s="71" t="s">
        <v>563</v>
      </c>
      <c r="F456" s="71"/>
      <c r="G456" s="73" t="s">
        <v>574</v>
      </c>
    </row>
    <row r="457" spans="2:7" x14ac:dyDescent="0.15">
      <c r="B457" s="299"/>
      <c r="C457" s="69" t="s">
        <v>575</v>
      </c>
      <c r="D457" s="70">
        <f>VLOOKUP(C457,基本字段定义!$B$3:$C$3013,2,FALSE)</f>
        <v>1254</v>
      </c>
      <c r="E457" s="71" t="s">
        <v>563</v>
      </c>
      <c r="F457" s="71"/>
      <c r="G457" s="73" t="s">
        <v>576</v>
      </c>
    </row>
    <row r="458" spans="2:7" x14ac:dyDescent="0.15">
      <c r="B458" s="299"/>
      <c r="C458" s="69" t="s">
        <v>577</v>
      </c>
      <c r="D458" s="70">
        <f>VLOOKUP(C458,基本字段定义!$B$3:$C$3013,2,FALSE)</f>
        <v>1255</v>
      </c>
      <c r="E458" s="71" t="s">
        <v>563</v>
      </c>
      <c r="F458" s="71"/>
      <c r="G458" s="73" t="s">
        <v>578</v>
      </c>
    </row>
    <row r="459" spans="2:7" ht="14.25" thickBot="1" x14ac:dyDescent="0.2">
      <c r="B459" s="304"/>
      <c r="C459" s="75" t="s">
        <v>4110</v>
      </c>
      <c r="D459" s="83">
        <v>1656</v>
      </c>
      <c r="E459" s="77" t="s">
        <v>4111</v>
      </c>
      <c r="F459" s="77"/>
      <c r="G459" s="78" t="s">
        <v>4113</v>
      </c>
    </row>
    <row r="461" spans="2:7" x14ac:dyDescent="0.15">
      <c r="B461" s="57" t="s">
        <v>163</v>
      </c>
      <c r="C461" s="291">
        <v>203525</v>
      </c>
      <c r="D461" s="291"/>
      <c r="E461" s="291"/>
      <c r="F461" s="58" t="s">
        <v>352</v>
      </c>
      <c r="G461" s="59"/>
    </row>
    <row r="462" spans="2:7" x14ac:dyDescent="0.15">
      <c r="B462" s="60" t="s">
        <v>353</v>
      </c>
      <c r="C462" s="290" t="str">
        <f>VLOOKUP(C461,功能索引!$C$3:$D$278,2,FALSE)</f>
        <v>实际可取资金查询</v>
      </c>
      <c r="D462" s="290"/>
      <c r="E462" s="290"/>
      <c r="F462" s="61" t="s">
        <v>165</v>
      </c>
      <c r="G462" s="62">
        <f>VLOOKUP(C461,功能索引!$C$3:$E754,3,FALSE)</f>
        <v>0</v>
      </c>
    </row>
    <row r="463" spans="2:7" ht="13.5" customHeight="1" x14ac:dyDescent="0.15">
      <c r="B463" s="299" t="s">
        <v>354</v>
      </c>
      <c r="C463" s="284" t="s">
        <v>581</v>
      </c>
      <c r="D463" s="285"/>
      <c r="E463" s="285"/>
      <c r="F463" s="285"/>
      <c r="G463" s="286"/>
    </row>
    <row r="464" spans="2:7" ht="14.25" thickBot="1" x14ac:dyDescent="0.2">
      <c r="B464" s="304"/>
      <c r="C464" s="287"/>
      <c r="D464" s="288"/>
      <c r="E464" s="288"/>
      <c r="F464" s="288"/>
      <c r="G464" s="289"/>
    </row>
    <row r="465" spans="2:7" x14ac:dyDescent="0.15">
      <c r="B465" s="298" t="s">
        <v>355</v>
      </c>
      <c r="C465" s="58" t="s">
        <v>356</v>
      </c>
      <c r="D465" s="58" t="s">
        <v>357</v>
      </c>
      <c r="E465" s="58" t="s">
        <v>358</v>
      </c>
      <c r="F465" s="58" t="s">
        <v>359</v>
      </c>
      <c r="G465" s="64" t="s">
        <v>360</v>
      </c>
    </row>
    <row r="466" spans="2:7" x14ac:dyDescent="0.15">
      <c r="B466" s="299"/>
      <c r="C466" s="65" t="s">
        <v>428</v>
      </c>
      <c r="D466" s="66">
        <f>VLOOKUP(C466,基本字段定义!$B$3:$C$3013,2,FALSE)</f>
        <v>605</v>
      </c>
      <c r="E466" s="67" t="s">
        <v>429</v>
      </c>
      <c r="F466" s="67" t="s">
        <v>169</v>
      </c>
      <c r="G466" s="68"/>
    </row>
    <row r="467" spans="2:7" x14ac:dyDescent="0.15">
      <c r="B467" s="299"/>
      <c r="C467" s="65" t="s">
        <v>548</v>
      </c>
      <c r="D467" s="66">
        <f>VLOOKUP(C467,基本字段定义!$B$3:$C$3013,2,FALSE)</f>
        <v>716</v>
      </c>
      <c r="E467" s="67" t="s">
        <v>579</v>
      </c>
      <c r="F467" s="67" t="s">
        <v>169</v>
      </c>
      <c r="G467" s="68"/>
    </row>
    <row r="468" spans="2:7" x14ac:dyDescent="0.15">
      <c r="B468" s="299"/>
      <c r="C468" s="65" t="s">
        <v>550</v>
      </c>
      <c r="D468" s="66">
        <f>VLOOKUP(C468,基本字段定义!$B$3:$C$3013,2,FALSE)</f>
        <v>511</v>
      </c>
      <c r="E468" s="67" t="s">
        <v>553</v>
      </c>
      <c r="F468" s="67" t="s">
        <v>169</v>
      </c>
      <c r="G468" s="68"/>
    </row>
    <row r="469" spans="2:7" x14ac:dyDescent="0.15">
      <c r="B469" s="299"/>
      <c r="C469" s="65" t="s">
        <v>582</v>
      </c>
      <c r="D469" s="66">
        <f>VLOOKUP(C469,基本字段定义!$B$3:$C$3013,2,FALSE)</f>
        <v>692</v>
      </c>
      <c r="E469" s="67" t="s">
        <v>371</v>
      </c>
      <c r="F469" s="67" t="s">
        <v>169</v>
      </c>
      <c r="G469" s="68" t="s">
        <v>583</v>
      </c>
    </row>
    <row r="470" spans="2:7" x14ac:dyDescent="0.15">
      <c r="B470" s="299"/>
      <c r="C470" s="65" t="s">
        <v>529</v>
      </c>
      <c r="D470" s="66">
        <f>VLOOKUP(C470,基本字段定义!$B$3:$C$3013,2,FALSE)</f>
        <v>1332</v>
      </c>
      <c r="E470" s="67" t="s">
        <v>363</v>
      </c>
      <c r="F470" s="67" t="s">
        <v>169</v>
      </c>
      <c r="G470" s="68" t="s">
        <v>584</v>
      </c>
    </row>
    <row r="471" spans="2:7" x14ac:dyDescent="0.15">
      <c r="B471" s="299"/>
      <c r="C471" s="65" t="s">
        <v>585</v>
      </c>
      <c r="D471" s="66">
        <f>VLOOKUP(C471,基本字段定义!$B$3:$C$3013,2,FALSE)</f>
        <v>9020</v>
      </c>
      <c r="E471" s="67" t="s">
        <v>363</v>
      </c>
      <c r="F471" s="67"/>
      <c r="G471" s="68" t="s">
        <v>586</v>
      </c>
    </row>
    <row r="472" spans="2:7" x14ac:dyDescent="0.15">
      <c r="B472" s="299" t="s">
        <v>361</v>
      </c>
      <c r="C472" s="69" t="s">
        <v>362</v>
      </c>
      <c r="D472" s="70">
        <f>VLOOKUP(C472,基本字段定义!$B$3:$C$3013,2,FALSE)</f>
        <v>507</v>
      </c>
      <c r="E472" s="71" t="s">
        <v>363</v>
      </c>
      <c r="F472" s="71"/>
      <c r="G472" s="72" t="s">
        <v>587</v>
      </c>
    </row>
    <row r="473" spans="2:7" x14ac:dyDescent="0.15">
      <c r="B473" s="299"/>
      <c r="C473" s="69" t="s">
        <v>364</v>
      </c>
      <c r="D473" s="70">
        <f>VLOOKUP(C473,基本字段定义!$B$3:$C$3013,2,FALSE)</f>
        <v>508</v>
      </c>
      <c r="E473" s="71" t="s">
        <v>365</v>
      </c>
      <c r="F473" s="71"/>
      <c r="G473" s="73"/>
    </row>
    <row r="474" spans="2:7" x14ac:dyDescent="0.15">
      <c r="B474" s="299"/>
      <c r="C474" s="69" t="s">
        <v>569</v>
      </c>
      <c r="D474" s="70">
        <f>VLOOKUP(C474,基本字段定义!$B$3:$C$3013,2,FALSE)</f>
        <v>617</v>
      </c>
      <c r="E474" s="71" t="s">
        <v>563</v>
      </c>
      <c r="F474" s="71"/>
      <c r="G474" s="73"/>
    </row>
    <row r="475" spans="2:7" ht="14.25" thickBot="1" x14ac:dyDescent="0.2">
      <c r="B475" s="304"/>
      <c r="C475" s="75"/>
      <c r="D475" s="83"/>
      <c r="E475" s="77"/>
      <c r="F475" s="77"/>
      <c r="G475" s="78"/>
    </row>
    <row r="477" spans="2:7" x14ac:dyDescent="0.15">
      <c r="B477" s="57" t="s">
        <v>163</v>
      </c>
      <c r="C477" s="291">
        <v>203515</v>
      </c>
      <c r="D477" s="291"/>
      <c r="E477" s="291"/>
      <c r="F477" s="58" t="s">
        <v>352</v>
      </c>
      <c r="G477" s="59"/>
    </row>
    <row r="478" spans="2:7" x14ac:dyDescent="0.15">
      <c r="B478" s="60" t="s">
        <v>353</v>
      </c>
      <c r="C478" s="290" t="str">
        <f>VLOOKUP(C477,功能索引!$C$3:$D$278,2,FALSE)</f>
        <v>取款预约</v>
      </c>
      <c r="D478" s="290"/>
      <c r="E478" s="290"/>
      <c r="F478" s="61" t="s">
        <v>165</v>
      </c>
      <c r="G478" s="62">
        <f>VLOOKUP(C477,功能索引!$C$3:$E770,3,FALSE)</f>
        <v>0</v>
      </c>
    </row>
    <row r="479" spans="2:7" x14ac:dyDescent="0.15">
      <c r="B479" s="299" t="s">
        <v>354</v>
      </c>
      <c r="C479" s="284" t="s">
        <v>588</v>
      </c>
      <c r="D479" s="285"/>
      <c r="E479" s="285"/>
      <c r="F479" s="285"/>
      <c r="G479" s="286"/>
    </row>
    <row r="480" spans="2:7" ht="14.25" thickBot="1" x14ac:dyDescent="0.2">
      <c r="B480" s="304"/>
      <c r="C480" s="287"/>
      <c r="D480" s="288"/>
      <c r="E480" s="288"/>
      <c r="F480" s="288"/>
      <c r="G480" s="289"/>
    </row>
    <row r="481" spans="2:7" x14ac:dyDescent="0.15">
      <c r="B481" s="298" t="s">
        <v>355</v>
      </c>
      <c r="C481" s="58" t="s">
        <v>356</v>
      </c>
      <c r="D481" s="58" t="s">
        <v>357</v>
      </c>
      <c r="E481" s="58" t="s">
        <v>358</v>
      </c>
      <c r="F481" s="58" t="s">
        <v>359</v>
      </c>
      <c r="G481" s="64" t="s">
        <v>360</v>
      </c>
    </row>
    <row r="482" spans="2:7" x14ac:dyDescent="0.15">
      <c r="B482" s="299"/>
      <c r="C482" s="65" t="s">
        <v>428</v>
      </c>
      <c r="D482" s="66">
        <f>VLOOKUP(C482,基本字段定义!$B$3:$C$3013,2,FALSE)</f>
        <v>605</v>
      </c>
      <c r="E482" s="67" t="s">
        <v>429</v>
      </c>
      <c r="F482" s="67" t="s">
        <v>169</v>
      </c>
      <c r="G482" s="68" t="s">
        <v>430</v>
      </c>
    </row>
    <row r="483" spans="2:7" x14ac:dyDescent="0.15">
      <c r="B483" s="299"/>
      <c r="C483" s="65" t="s">
        <v>548</v>
      </c>
      <c r="D483" s="66">
        <f>VLOOKUP(C483,基本字段定义!$B$3:$C$3013,2,FALSE)</f>
        <v>716</v>
      </c>
      <c r="E483" s="67" t="s">
        <v>579</v>
      </c>
      <c r="F483" s="67" t="s">
        <v>169</v>
      </c>
      <c r="G483" s="68"/>
    </row>
    <row r="484" spans="2:7" x14ac:dyDescent="0.15">
      <c r="B484" s="299"/>
      <c r="C484" s="65" t="s">
        <v>589</v>
      </c>
      <c r="D484" s="66">
        <f>VLOOKUP(C484,基本字段定义!$B$3:$C$3013,2,FALSE)</f>
        <v>1991</v>
      </c>
      <c r="E484" s="67" t="s">
        <v>371</v>
      </c>
      <c r="F484" s="67" t="s">
        <v>169</v>
      </c>
      <c r="G484" s="68" t="s">
        <v>590</v>
      </c>
    </row>
    <row r="485" spans="2:7" x14ac:dyDescent="0.15">
      <c r="B485" s="299"/>
      <c r="C485" s="65" t="s">
        <v>443</v>
      </c>
      <c r="D485" s="66">
        <f>VLOOKUP(C485,基本字段定义!$B$3:$C$3013,2,FALSE)</f>
        <v>610</v>
      </c>
      <c r="E485" s="67" t="s">
        <v>388</v>
      </c>
      <c r="F485" s="67" t="s">
        <v>169</v>
      </c>
      <c r="G485" s="68" t="s">
        <v>591</v>
      </c>
    </row>
    <row r="486" spans="2:7" x14ac:dyDescent="0.15">
      <c r="B486" s="299"/>
      <c r="C486" s="65" t="s">
        <v>582</v>
      </c>
      <c r="D486" s="66">
        <f>VLOOKUP(C486,基本字段定义!$B$3:$C$3013,2,FALSE)</f>
        <v>692</v>
      </c>
      <c r="E486" s="67" t="s">
        <v>371</v>
      </c>
      <c r="F486" s="67" t="s">
        <v>169</v>
      </c>
      <c r="G486" s="68" t="s">
        <v>592</v>
      </c>
    </row>
    <row r="487" spans="2:7" x14ac:dyDescent="0.15">
      <c r="B487" s="299"/>
      <c r="C487" s="65" t="s">
        <v>550</v>
      </c>
      <c r="D487" s="66">
        <f>VLOOKUP(C487,基本字段定义!$B$3:$C$3013,2,FALSE)</f>
        <v>511</v>
      </c>
      <c r="E487" s="67" t="s">
        <v>553</v>
      </c>
      <c r="F487" s="67" t="s">
        <v>169</v>
      </c>
      <c r="G487" s="68" t="s">
        <v>551</v>
      </c>
    </row>
    <row r="488" spans="2:7" x14ac:dyDescent="0.15">
      <c r="B488" s="299"/>
      <c r="C488" s="65" t="s">
        <v>593</v>
      </c>
      <c r="D488" s="66">
        <f>VLOOKUP(C488,基本字段定义!$B$3:$C$3013,2,FALSE)</f>
        <v>746</v>
      </c>
      <c r="E488" s="67" t="s">
        <v>563</v>
      </c>
      <c r="F488" s="67" t="s">
        <v>169</v>
      </c>
      <c r="G488" s="68" t="s">
        <v>594</v>
      </c>
    </row>
    <row r="489" spans="2:7" x14ac:dyDescent="0.15">
      <c r="B489" s="299"/>
      <c r="C489" s="65" t="s">
        <v>595</v>
      </c>
      <c r="D489" s="66">
        <f>VLOOKUP(C489,基本字段定义!$B$3:$C$3013,2,FALSE)</f>
        <v>1458</v>
      </c>
      <c r="E489" s="67" t="s">
        <v>363</v>
      </c>
      <c r="F489" s="67" t="s">
        <v>169</v>
      </c>
      <c r="G489" s="68" t="s">
        <v>596</v>
      </c>
    </row>
    <row r="490" spans="2:7" x14ac:dyDescent="0.15">
      <c r="B490" s="316" t="s">
        <v>361</v>
      </c>
      <c r="C490" s="69" t="s">
        <v>362</v>
      </c>
      <c r="D490" s="70">
        <f>VLOOKUP(C490,基本字段定义!$B$3:$C$3013,2,FALSE)</f>
        <v>507</v>
      </c>
      <c r="E490" s="71" t="s">
        <v>363</v>
      </c>
      <c r="F490" s="71"/>
      <c r="G490" s="72" t="s">
        <v>597</v>
      </c>
    </row>
    <row r="491" spans="2:7" x14ac:dyDescent="0.15">
      <c r="B491" s="317"/>
      <c r="C491" s="69" t="s">
        <v>364</v>
      </c>
      <c r="D491" s="70">
        <f>VLOOKUP(C491,基本字段定义!$B$3:$C$3013,2,FALSE)</f>
        <v>508</v>
      </c>
      <c r="E491" s="71" t="s">
        <v>365</v>
      </c>
      <c r="F491" s="71"/>
      <c r="G491" s="73" t="s">
        <v>598</v>
      </c>
    </row>
    <row r="492" spans="2:7" x14ac:dyDescent="0.15">
      <c r="B492" s="317"/>
      <c r="C492" s="91" t="s">
        <v>599</v>
      </c>
      <c r="D492" s="70">
        <v>1682</v>
      </c>
      <c r="E492" s="71" t="s">
        <v>424</v>
      </c>
      <c r="F492" s="92"/>
      <c r="G492" s="73" t="s">
        <v>600</v>
      </c>
    </row>
    <row r="493" spans="2:7" ht="14.25" thickBot="1" x14ac:dyDescent="0.2">
      <c r="B493" s="317"/>
      <c r="C493" s="75" t="s">
        <v>601</v>
      </c>
      <c r="D493" s="70">
        <f>VLOOKUP(C493,基本字段定义!$B$3:$C$3013,2,FALSE)</f>
        <v>797</v>
      </c>
      <c r="E493" s="71" t="s">
        <v>365</v>
      </c>
      <c r="F493" s="77"/>
      <c r="G493" s="73" t="s">
        <v>602</v>
      </c>
    </row>
    <row r="494" spans="2:7" ht="14.25" thickBot="1" x14ac:dyDescent="0.2">
      <c r="B494" s="107"/>
      <c r="C494" s="107"/>
      <c r="D494" s="108"/>
      <c r="E494" s="109"/>
      <c r="F494" s="109"/>
      <c r="G494" s="110"/>
    </row>
    <row r="495" spans="2:7" x14ac:dyDescent="0.15">
      <c r="B495" s="57" t="s">
        <v>163</v>
      </c>
      <c r="C495" s="84">
        <v>203501</v>
      </c>
      <c r="D495" s="85"/>
      <c r="E495" s="86"/>
      <c r="F495" s="58" t="s">
        <v>352</v>
      </c>
      <c r="G495" s="59"/>
    </row>
    <row r="496" spans="2:7" x14ac:dyDescent="0.15">
      <c r="B496" s="60" t="s">
        <v>353</v>
      </c>
      <c r="C496" s="87" t="str">
        <f>VLOOKUP(C495,功能索引!$C$3:$D$278,2,FALSE)</f>
        <v>资金收费</v>
      </c>
      <c r="D496" s="88"/>
      <c r="E496" s="89"/>
      <c r="F496" s="61" t="s">
        <v>165</v>
      </c>
      <c r="G496" s="62">
        <f>VLOOKUP(C495,功能索引!$C$3:$E792,3,FALSE)</f>
        <v>0</v>
      </c>
    </row>
    <row r="497" spans="2:7" x14ac:dyDescent="0.15">
      <c r="B497" s="299" t="s">
        <v>354</v>
      </c>
      <c r="C497" s="99"/>
      <c r="D497" s="100"/>
      <c r="E497" s="100"/>
      <c r="F497" s="100"/>
      <c r="G497" s="101"/>
    </row>
    <row r="498" spans="2:7" ht="14.25" thickBot="1" x14ac:dyDescent="0.2">
      <c r="B498" s="304"/>
      <c r="C498" s="102"/>
      <c r="D498" s="103"/>
      <c r="E498" s="103"/>
      <c r="F498" s="103"/>
      <c r="G498" s="104"/>
    </row>
    <row r="499" spans="2:7" x14ac:dyDescent="0.15">
      <c r="B499" s="298" t="s">
        <v>355</v>
      </c>
      <c r="C499" s="58" t="s">
        <v>356</v>
      </c>
      <c r="D499" s="58" t="s">
        <v>357</v>
      </c>
      <c r="E499" s="58" t="s">
        <v>358</v>
      </c>
      <c r="F499" s="58" t="s">
        <v>359</v>
      </c>
      <c r="G499" s="64" t="s">
        <v>360</v>
      </c>
    </row>
    <row r="500" spans="2:7" x14ac:dyDescent="0.15">
      <c r="B500" s="299"/>
      <c r="C500" s="65" t="s">
        <v>428</v>
      </c>
      <c r="D500" s="66">
        <f>VLOOKUP(C500,基本字段定义!$B$3:$C$3013,2,FALSE)</f>
        <v>605</v>
      </c>
      <c r="E500" s="67" t="s">
        <v>429</v>
      </c>
      <c r="F500" s="67" t="s">
        <v>169</v>
      </c>
      <c r="G500" s="68" t="s">
        <v>430</v>
      </c>
    </row>
    <row r="501" spans="2:7" x14ac:dyDescent="0.15">
      <c r="B501" s="299"/>
      <c r="C501" s="65" t="s">
        <v>548</v>
      </c>
      <c r="D501" s="66">
        <f>VLOOKUP(C501,基本字段定义!$B$3:$C$3013,2,FALSE)</f>
        <v>716</v>
      </c>
      <c r="E501" s="67" t="s">
        <v>579</v>
      </c>
      <c r="F501" s="67" t="s">
        <v>169</v>
      </c>
      <c r="G501" s="68" t="s">
        <v>555</v>
      </c>
    </row>
    <row r="502" spans="2:7" x14ac:dyDescent="0.15">
      <c r="B502" s="299"/>
      <c r="C502" s="65" t="s">
        <v>550</v>
      </c>
      <c r="D502" s="66">
        <f>VLOOKUP(C502,基本字段定义!$B$3:$C$3013,2,FALSE)</f>
        <v>511</v>
      </c>
      <c r="E502" s="67" t="s">
        <v>553</v>
      </c>
      <c r="F502" s="67" t="s">
        <v>169</v>
      </c>
      <c r="G502" s="68" t="s">
        <v>551</v>
      </c>
    </row>
    <row r="503" spans="2:7" x14ac:dyDescent="0.15">
      <c r="B503" s="299"/>
      <c r="C503" s="65" t="s">
        <v>603</v>
      </c>
      <c r="D503" s="66">
        <f>VLOOKUP(C503,基本字段定义!$B$3:$C$3013,2,FALSE)</f>
        <v>806</v>
      </c>
      <c r="E503" s="67" t="s">
        <v>604</v>
      </c>
      <c r="F503" s="67" t="s">
        <v>169</v>
      </c>
      <c r="G503" s="68" t="s">
        <v>605</v>
      </c>
    </row>
    <row r="504" spans="2:7" x14ac:dyDescent="0.15">
      <c r="B504" s="299"/>
      <c r="C504" s="65" t="s">
        <v>582</v>
      </c>
      <c r="D504" s="66">
        <f>VLOOKUP(C504,基本字段定义!$B$3:$C$3013,2,FALSE)</f>
        <v>692</v>
      </c>
      <c r="E504" s="67" t="s">
        <v>371</v>
      </c>
      <c r="F504" s="67" t="s">
        <v>169</v>
      </c>
      <c r="G504" s="68" t="s">
        <v>606</v>
      </c>
    </row>
    <row r="505" spans="2:7" x14ac:dyDescent="0.15">
      <c r="B505" s="299"/>
      <c r="C505" s="65" t="s">
        <v>522</v>
      </c>
      <c r="D505" s="66">
        <f>VLOOKUP(C505,基本字段定义!$B$3:$C$3013,2,FALSE)</f>
        <v>694</v>
      </c>
      <c r="E505" s="67" t="s">
        <v>523</v>
      </c>
      <c r="F505" s="67" t="s">
        <v>169</v>
      </c>
      <c r="G505" s="68" t="s">
        <v>607</v>
      </c>
    </row>
    <row r="506" spans="2:7" x14ac:dyDescent="0.15">
      <c r="B506" s="299"/>
      <c r="C506" s="65" t="s">
        <v>608</v>
      </c>
      <c r="D506" s="66">
        <f>VLOOKUP(C506,基本字段定义!$B$3:$C$3013,2,FALSE)</f>
        <v>808</v>
      </c>
      <c r="E506" s="67" t="s">
        <v>563</v>
      </c>
      <c r="F506" s="67" t="s">
        <v>169</v>
      </c>
      <c r="G506" s="68" t="s">
        <v>609</v>
      </c>
    </row>
    <row r="507" spans="2:7" x14ac:dyDescent="0.15">
      <c r="B507" s="299"/>
      <c r="C507" s="65" t="s">
        <v>496</v>
      </c>
      <c r="D507" s="66">
        <f>VLOOKUP(C507,基本字段定义!$B$3:$C$3013,2,FALSE)</f>
        <v>730</v>
      </c>
      <c r="E507" s="67" t="s">
        <v>497</v>
      </c>
      <c r="F507" s="67" t="s">
        <v>169</v>
      </c>
      <c r="G507" s="68" t="s">
        <v>610</v>
      </c>
    </row>
    <row r="508" spans="2:7" x14ac:dyDescent="0.15">
      <c r="B508" s="299" t="s">
        <v>361</v>
      </c>
      <c r="C508" s="69" t="s">
        <v>362</v>
      </c>
      <c r="D508" s="70">
        <f>VLOOKUP(C508,基本字段定义!$B$3:$C$3013,2,FALSE)</f>
        <v>507</v>
      </c>
      <c r="E508" s="71" t="s">
        <v>363</v>
      </c>
      <c r="F508" s="71"/>
      <c r="G508" s="72"/>
    </row>
    <row r="509" spans="2:7" x14ac:dyDescent="0.15">
      <c r="B509" s="299"/>
      <c r="C509" s="69" t="s">
        <v>364</v>
      </c>
      <c r="D509" s="70">
        <f>VLOOKUP(C509,基本字段定义!$B$3:$C$3013,2,FALSE)</f>
        <v>508</v>
      </c>
      <c r="E509" s="71" t="s">
        <v>365</v>
      </c>
      <c r="F509" s="71"/>
      <c r="G509" s="73"/>
    </row>
    <row r="510" spans="2:7" ht="14.25" thickBot="1" x14ac:dyDescent="0.2">
      <c r="B510" s="304"/>
      <c r="C510" s="75"/>
      <c r="D510" s="83"/>
      <c r="E510" s="77"/>
      <c r="F510" s="77"/>
      <c r="G510" s="78"/>
    </row>
    <row r="511" spans="2:7" ht="14.25" thickBot="1" x14ac:dyDescent="0.2"/>
    <row r="512" spans="2:7" x14ac:dyDescent="0.15">
      <c r="B512" s="57" t="s">
        <v>163</v>
      </c>
      <c r="C512" s="84">
        <v>303010</v>
      </c>
      <c r="D512" s="85"/>
      <c r="E512" s="86"/>
      <c r="F512" s="58" t="s">
        <v>352</v>
      </c>
      <c r="G512" s="59"/>
    </row>
    <row r="513" spans="2:7" x14ac:dyDescent="0.15">
      <c r="B513" s="60" t="s">
        <v>353</v>
      </c>
      <c r="C513" s="87" t="str">
        <f>VLOOKUP(C512,功能索引!$C$3:$D$278,2,FALSE)</f>
        <v>资金明细查询</v>
      </c>
      <c r="D513" s="88"/>
      <c r="E513" s="89"/>
      <c r="F513" s="61" t="s">
        <v>165</v>
      </c>
      <c r="G513" s="62" t="str">
        <f>VLOOKUP(C512,功能索引!$C$3:$E814,3,FALSE)</f>
        <v>Y</v>
      </c>
    </row>
    <row r="514" spans="2:7" x14ac:dyDescent="0.15">
      <c r="B514" s="299" t="s">
        <v>354</v>
      </c>
      <c r="C514" s="99" t="s">
        <v>611</v>
      </c>
      <c r="D514" s="100"/>
      <c r="E514" s="100"/>
      <c r="F514" s="100"/>
      <c r="G514" s="101"/>
    </row>
    <row r="515" spans="2:7" ht="14.25" thickBot="1" x14ac:dyDescent="0.2">
      <c r="B515" s="304"/>
      <c r="C515" s="102"/>
      <c r="D515" s="103"/>
      <c r="E515" s="103"/>
      <c r="F515" s="103"/>
      <c r="G515" s="104"/>
    </row>
    <row r="516" spans="2:7" x14ac:dyDescent="0.15">
      <c r="B516" s="298" t="s">
        <v>355</v>
      </c>
      <c r="C516" s="58" t="s">
        <v>356</v>
      </c>
      <c r="D516" s="58" t="s">
        <v>357</v>
      </c>
      <c r="E516" s="58" t="s">
        <v>358</v>
      </c>
      <c r="F516" s="58" t="s">
        <v>359</v>
      </c>
      <c r="G516" s="64" t="s">
        <v>360</v>
      </c>
    </row>
    <row r="517" spans="2:7" x14ac:dyDescent="0.15">
      <c r="B517" s="299"/>
      <c r="C517" s="65" t="s">
        <v>428</v>
      </c>
      <c r="D517" s="66">
        <f>VLOOKUP(C517,基本字段定义!$B$3:$C$3013,2,FALSE)</f>
        <v>605</v>
      </c>
      <c r="E517" s="67" t="s">
        <v>429</v>
      </c>
      <c r="F517" s="67" t="s">
        <v>169</v>
      </c>
      <c r="G517" s="68" t="s">
        <v>430</v>
      </c>
    </row>
    <row r="518" spans="2:7" x14ac:dyDescent="0.15">
      <c r="B518" s="299"/>
      <c r="C518" s="65" t="s">
        <v>612</v>
      </c>
      <c r="D518" s="66">
        <f>VLOOKUP(C518,基本字段定义!$B$3:$C$3013,2,FALSE)</f>
        <v>9109</v>
      </c>
      <c r="E518" s="67" t="s">
        <v>363</v>
      </c>
      <c r="F518" s="67"/>
      <c r="G518" s="68" t="s">
        <v>613</v>
      </c>
    </row>
    <row r="519" spans="2:7" x14ac:dyDescent="0.15">
      <c r="B519" s="299"/>
      <c r="C519" s="65" t="s">
        <v>550</v>
      </c>
      <c r="D519" s="66">
        <f>VLOOKUP(C519,基本字段定义!$B$3:$C$3013,2,FALSE)</f>
        <v>511</v>
      </c>
      <c r="E519" s="67" t="s">
        <v>553</v>
      </c>
      <c r="F519" s="67"/>
      <c r="G519" s="68" t="s">
        <v>551</v>
      </c>
    </row>
    <row r="520" spans="2:7" x14ac:dyDescent="0.15">
      <c r="B520" s="299"/>
      <c r="C520" s="65" t="s">
        <v>614</v>
      </c>
      <c r="D520" s="66">
        <f>VLOOKUP(C520,基本字段定义!$B$3:$C$3013,2,FALSE)</f>
        <v>763</v>
      </c>
      <c r="E520" s="67" t="s">
        <v>497</v>
      </c>
      <c r="F520" s="67"/>
      <c r="G520" s="68" t="s">
        <v>615</v>
      </c>
    </row>
    <row r="521" spans="2:7" x14ac:dyDescent="0.15">
      <c r="B521" s="299"/>
      <c r="C521" s="65" t="s">
        <v>616</v>
      </c>
      <c r="D521" s="66">
        <f>VLOOKUP(C521,基本字段定义!$B$3:$C$3013,2,FALSE)</f>
        <v>9110</v>
      </c>
      <c r="E521" s="67" t="s">
        <v>363</v>
      </c>
      <c r="F521" s="67"/>
      <c r="G521" s="68" t="s">
        <v>617</v>
      </c>
    </row>
    <row r="522" spans="2:7" x14ac:dyDescent="0.15">
      <c r="B522" s="299" t="s">
        <v>361</v>
      </c>
      <c r="C522" s="69" t="s">
        <v>614</v>
      </c>
      <c r="D522" s="70">
        <f>VLOOKUP(C522,基本字段定义!$B$3:$C$3013,2,FALSE)</f>
        <v>763</v>
      </c>
      <c r="E522" s="71" t="s">
        <v>365</v>
      </c>
      <c r="F522" s="71"/>
      <c r="G522" s="73" t="s">
        <v>618</v>
      </c>
    </row>
    <row r="523" spans="2:7" x14ac:dyDescent="0.15">
      <c r="B523" s="299"/>
      <c r="C523" s="69" t="s">
        <v>601</v>
      </c>
      <c r="D523" s="70">
        <f>VLOOKUP(C523,基本字段定义!$B$3:$C$3013,2,FALSE)</f>
        <v>797</v>
      </c>
      <c r="E523" s="71" t="s">
        <v>365</v>
      </c>
      <c r="F523" s="71"/>
      <c r="G523" s="73" t="s">
        <v>602</v>
      </c>
    </row>
    <row r="524" spans="2:7" x14ac:dyDescent="0.15">
      <c r="B524" s="299"/>
      <c r="C524" s="69" t="s">
        <v>393</v>
      </c>
      <c r="D524" s="70">
        <f>VLOOKUP(C524,基本字段定义!$B$3:$C$3013,2,FALSE)</f>
        <v>651</v>
      </c>
      <c r="E524" s="71" t="s">
        <v>363</v>
      </c>
      <c r="F524" s="71"/>
      <c r="G524" s="73" t="s">
        <v>619</v>
      </c>
    </row>
    <row r="525" spans="2:7" x14ac:dyDescent="0.15">
      <c r="B525" s="299"/>
      <c r="C525" s="69" t="s">
        <v>620</v>
      </c>
      <c r="D525" s="70">
        <f>VLOOKUP(C525,基本字段定义!$B$3:$C$3013,2,FALSE)</f>
        <v>865</v>
      </c>
      <c r="E525" s="71" t="s">
        <v>365</v>
      </c>
      <c r="F525" s="71"/>
      <c r="G525" s="73" t="s">
        <v>621</v>
      </c>
    </row>
    <row r="526" spans="2:7" x14ac:dyDescent="0.15">
      <c r="B526" s="299"/>
      <c r="C526" s="69" t="s">
        <v>548</v>
      </c>
      <c r="D526" s="70">
        <f>VLOOKUP(C526,基本字段定义!$B$3:$C$3013,2,FALSE)</f>
        <v>716</v>
      </c>
      <c r="E526" s="71" t="s">
        <v>365</v>
      </c>
      <c r="F526" s="71"/>
      <c r="G526" s="73" t="s">
        <v>555</v>
      </c>
    </row>
    <row r="527" spans="2:7" x14ac:dyDescent="0.15">
      <c r="B527" s="299"/>
      <c r="C527" s="69" t="s">
        <v>522</v>
      </c>
      <c r="D527" s="70">
        <f>VLOOKUP(C527,基本字段定义!$B$3:$C$3013,2,FALSE)</f>
        <v>694</v>
      </c>
      <c r="E527" s="71" t="s">
        <v>365</v>
      </c>
      <c r="F527" s="71"/>
      <c r="G527" s="73" t="s">
        <v>622</v>
      </c>
    </row>
    <row r="528" spans="2:7" x14ac:dyDescent="0.15">
      <c r="B528" s="299"/>
      <c r="C528" s="69" t="s">
        <v>550</v>
      </c>
      <c r="D528" s="70">
        <f>VLOOKUP(C528,基本字段定义!$B$3:$C$3013,2,FALSE)</f>
        <v>511</v>
      </c>
      <c r="E528" s="71" t="s">
        <v>365</v>
      </c>
      <c r="F528" s="71"/>
      <c r="G528" s="73" t="s">
        <v>551</v>
      </c>
    </row>
    <row r="529" spans="2:7" x14ac:dyDescent="0.15">
      <c r="B529" s="299"/>
      <c r="C529" s="69" t="s">
        <v>623</v>
      </c>
      <c r="D529" s="70">
        <f>VLOOKUP(C529,基本字段定义!$B$3:$C$3013,2,FALSE)</f>
        <v>9115</v>
      </c>
      <c r="E529" s="71" t="s">
        <v>563</v>
      </c>
      <c r="F529" s="71"/>
      <c r="G529" s="73" t="s">
        <v>624</v>
      </c>
    </row>
    <row r="530" spans="2:7" x14ac:dyDescent="0.15">
      <c r="B530" s="299"/>
      <c r="C530" s="69" t="s">
        <v>625</v>
      </c>
      <c r="D530" s="70">
        <f>VLOOKUP(C530,基本字段定义!$B$3:$C$3013,2,FALSE)</f>
        <v>9116</v>
      </c>
      <c r="E530" s="71" t="s">
        <v>563</v>
      </c>
      <c r="F530" s="71"/>
      <c r="G530" s="73" t="s">
        <v>626</v>
      </c>
    </row>
    <row r="531" spans="2:7" x14ac:dyDescent="0.15">
      <c r="B531" s="299"/>
      <c r="C531" s="69" t="s">
        <v>627</v>
      </c>
      <c r="D531" s="70">
        <f>VLOOKUP(C531,基本字段定义!$B$3:$C$3013,2,FALSE)</f>
        <v>501</v>
      </c>
      <c r="E531" s="71" t="s">
        <v>563</v>
      </c>
      <c r="F531" s="71"/>
      <c r="G531" s="73" t="s">
        <v>628</v>
      </c>
    </row>
    <row r="532" spans="2:7" x14ac:dyDescent="0.15">
      <c r="B532" s="299"/>
      <c r="C532" s="69" t="s">
        <v>496</v>
      </c>
      <c r="D532" s="70">
        <f>VLOOKUP(C532,基本字段定义!$B$3:$C$3013,2,FALSE)</f>
        <v>730</v>
      </c>
      <c r="E532" s="71" t="s">
        <v>365</v>
      </c>
      <c r="F532" s="71"/>
      <c r="G532" s="73" t="s">
        <v>360</v>
      </c>
    </row>
    <row r="533" spans="2:7" x14ac:dyDescent="0.15">
      <c r="B533" s="299"/>
      <c r="C533" s="69" t="s">
        <v>608</v>
      </c>
      <c r="D533" s="70">
        <f>VLOOKUP(C533,基本字段定义!$B$3:$C$3013,2,FALSE)</f>
        <v>808</v>
      </c>
      <c r="E533" s="71" t="s">
        <v>563</v>
      </c>
      <c r="F533" s="71"/>
      <c r="G533" s="73" t="s">
        <v>629</v>
      </c>
    </row>
    <row r="534" spans="2:7" ht="14.25" thickBot="1" x14ac:dyDescent="0.2">
      <c r="B534" s="304"/>
      <c r="C534" s="75"/>
      <c r="D534" s="83"/>
      <c r="E534" s="77"/>
      <c r="F534" s="77"/>
      <c r="G534" s="78"/>
    </row>
    <row r="536" spans="2:7" x14ac:dyDescent="0.15">
      <c r="B536" s="57" t="s">
        <v>163</v>
      </c>
      <c r="C536" s="84">
        <v>303103</v>
      </c>
      <c r="D536" s="85"/>
      <c r="E536" s="86"/>
      <c r="F536" s="58" t="s">
        <v>352</v>
      </c>
      <c r="G536" s="59"/>
    </row>
    <row r="537" spans="2:7" x14ac:dyDescent="0.15">
      <c r="B537" s="60" t="s">
        <v>353</v>
      </c>
      <c r="C537" s="87" t="str">
        <f>VLOOKUP(C536,功能索引!$C$3:$D$278,2,FALSE)</f>
        <v>银证转帐对应关系查询</v>
      </c>
      <c r="D537" s="88"/>
      <c r="E537" s="89"/>
      <c r="F537" s="61" t="s">
        <v>165</v>
      </c>
      <c r="G537" s="62" t="str">
        <f>VLOOKUP(C536,功能索引!$C$3:$E851,3,FALSE)</f>
        <v>Y</v>
      </c>
    </row>
    <row r="538" spans="2:7" x14ac:dyDescent="0.15">
      <c r="B538" s="299" t="s">
        <v>354</v>
      </c>
      <c r="C538" s="99"/>
      <c r="D538" s="100"/>
      <c r="E538" s="100"/>
      <c r="F538" s="100"/>
      <c r="G538" s="101"/>
    </row>
    <row r="539" spans="2:7" ht="14.25" thickBot="1" x14ac:dyDescent="0.2">
      <c r="B539" s="304"/>
      <c r="C539" s="102"/>
      <c r="D539" s="103"/>
      <c r="E539" s="103"/>
      <c r="F539" s="103"/>
      <c r="G539" s="104"/>
    </row>
    <row r="540" spans="2:7" x14ac:dyDescent="0.15">
      <c r="B540" s="298" t="s">
        <v>355</v>
      </c>
      <c r="C540" s="58" t="s">
        <v>356</v>
      </c>
      <c r="D540" s="58" t="s">
        <v>357</v>
      </c>
      <c r="E540" s="58" t="s">
        <v>358</v>
      </c>
      <c r="F540" s="58" t="s">
        <v>359</v>
      </c>
      <c r="G540" s="64" t="s">
        <v>360</v>
      </c>
    </row>
    <row r="541" spans="2:7" x14ac:dyDescent="0.15">
      <c r="B541" s="299"/>
      <c r="C541" s="65" t="s">
        <v>428</v>
      </c>
      <c r="D541" s="66">
        <f>VLOOKUP(C541,基本字段定义!$B$3:$C$3013,2,FALSE)</f>
        <v>605</v>
      </c>
      <c r="E541" s="67" t="s">
        <v>429</v>
      </c>
      <c r="F541" s="67" t="s">
        <v>169</v>
      </c>
      <c r="G541" s="68" t="s">
        <v>430</v>
      </c>
    </row>
    <row r="542" spans="2:7" x14ac:dyDescent="0.15">
      <c r="B542" s="299"/>
      <c r="C542" s="65" t="s">
        <v>582</v>
      </c>
      <c r="D542" s="66">
        <f>VLOOKUP(C542,基本字段定义!$B$3:$C$3013,2,FALSE)</f>
        <v>692</v>
      </c>
      <c r="E542" s="67" t="s">
        <v>371</v>
      </c>
      <c r="F542" s="67"/>
      <c r="G542" s="68" t="s">
        <v>630</v>
      </c>
    </row>
    <row r="543" spans="2:7" x14ac:dyDescent="0.15">
      <c r="B543" s="299"/>
      <c r="C543" s="65" t="s">
        <v>550</v>
      </c>
      <c r="D543" s="66">
        <f>VLOOKUP(C543,基本字段定义!$B$3:$C$3013,2,FALSE)</f>
        <v>511</v>
      </c>
      <c r="E543" s="67" t="s">
        <v>553</v>
      </c>
      <c r="F543" s="67"/>
      <c r="G543" s="68" t="s">
        <v>551</v>
      </c>
    </row>
    <row r="544" spans="2:7" x14ac:dyDescent="0.15">
      <c r="B544" s="299" t="s">
        <v>361</v>
      </c>
      <c r="C544" s="69" t="s">
        <v>631</v>
      </c>
      <c r="D544" s="70">
        <f>VLOOKUP(C544,基本字段定义!$B$3:$C$3013,2,FALSE)</f>
        <v>693</v>
      </c>
      <c r="E544" s="71" t="s">
        <v>365</v>
      </c>
      <c r="F544" s="71"/>
      <c r="G544" s="73" t="s">
        <v>632</v>
      </c>
    </row>
    <row r="545" spans="2:7" x14ac:dyDescent="0.15">
      <c r="B545" s="299"/>
      <c r="C545" s="69" t="s">
        <v>550</v>
      </c>
      <c r="D545" s="70">
        <f>VLOOKUP(C545,基本字段定义!$B$3:$C$3013,2,FALSE)</f>
        <v>511</v>
      </c>
      <c r="E545" s="71" t="s">
        <v>365</v>
      </c>
      <c r="F545" s="71"/>
      <c r="G545" s="73" t="s">
        <v>551</v>
      </c>
    </row>
    <row r="546" spans="2:7" x14ac:dyDescent="0.15">
      <c r="B546" s="299"/>
      <c r="C546" s="69" t="s">
        <v>548</v>
      </c>
      <c r="D546" s="70">
        <f>VLOOKUP(C546,基本字段定义!$B$3:$C$3013,2,FALSE)</f>
        <v>716</v>
      </c>
      <c r="E546" s="71" t="s">
        <v>365</v>
      </c>
      <c r="F546" s="71"/>
      <c r="G546" s="73" t="s">
        <v>633</v>
      </c>
    </row>
    <row r="547" spans="2:7" x14ac:dyDescent="0.15">
      <c r="B547" s="299"/>
      <c r="C547" s="69" t="s">
        <v>582</v>
      </c>
      <c r="D547" s="70">
        <f>VLOOKUP(C547,基本字段定义!$B$3:$C$3013,2,FALSE)</f>
        <v>692</v>
      </c>
      <c r="E547" s="71" t="s">
        <v>365</v>
      </c>
      <c r="F547" s="71"/>
      <c r="G547" s="73" t="s">
        <v>630</v>
      </c>
    </row>
    <row r="548" spans="2:7" ht="14.25" thickBot="1" x14ac:dyDescent="0.2">
      <c r="B548" s="304"/>
      <c r="C548" s="75"/>
      <c r="D548" s="83"/>
      <c r="E548" s="77"/>
      <c r="F548" s="77"/>
      <c r="G548" s="78"/>
    </row>
    <row r="550" spans="2:7" x14ac:dyDescent="0.15">
      <c r="B550" s="57" t="s">
        <v>163</v>
      </c>
      <c r="C550" s="84">
        <v>203111</v>
      </c>
      <c r="D550" s="85"/>
      <c r="E550" s="86"/>
      <c r="F550" s="58" t="s">
        <v>352</v>
      </c>
      <c r="G550" s="59"/>
    </row>
    <row r="551" spans="2:7" x14ac:dyDescent="0.15">
      <c r="B551" s="60" t="s">
        <v>353</v>
      </c>
      <c r="C551" s="87" t="str">
        <f>VLOOKUP(C550,功能索引!$C$3:$D$278,2,FALSE)</f>
        <v>银行转证券</v>
      </c>
      <c r="D551" s="88"/>
      <c r="E551" s="89"/>
      <c r="F551" s="61" t="s">
        <v>165</v>
      </c>
      <c r="G551" s="62">
        <f>VLOOKUP(C550,功能索引!$C$3:$E872,3,FALSE)</f>
        <v>0</v>
      </c>
    </row>
    <row r="552" spans="2:7" ht="13.5" customHeight="1" x14ac:dyDescent="0.15">
      <c r="B552" s="299" t="s">
        <v>354</v>
      </c>
      <c r="C552" s="99" t="s">
        <v>634</v>
      </c>
      <c r="D552" s="100"/>
      <c r="E552" s="100"/>
      <c r="F552" s="100"/>
      <c r="G552" s="101"/>
    </row>
    <row r="553" spans="2:7" ht="14.25" thickBot="1" x14ac:dyDescent="0.2">
      <c r="B553" s="304"/>
      <c r="C553" s="102"/>
      <c r="D553" s="103"/>
      <c r="E553" s="103"/>
      <c r="F553" s="103"/>
      <c r="G553" s="104"/>
    </row>
    <row r="554" spans="2:7" x14ac:dyDescent="0.15">
      <c r="B554" s="298" t="s">
        <v>355</v>
      </c>
      <c r="C554" s="58" t="s">
        <v>356</v>
      </c>
      <c r="D554" s="58" t="s">
        <v>357</v>
      </c>
      <c r="E554" s="58" t="s">
        <v>358</v>
      </c>
      <c r="F554" s="58" t="s">
        <v>359</v>
      </c>
      <c r="G554" s="64" t="s">
        <v>360</v>
      </c>
    </row>
    <row r="555" spans="2:7" x14ac:dyDescent="0.15">
      <c r="B555" s="299"/>
      <c r="C555" s="65" t="s">
        <v>428</v>
      </c>
      <c r="D555" s="66">
        <f>VLOOKUP(C555,基本字段定义!$B$3:$C$3013,2,FALSE)</f>
        <v>605</v>
      </c>
      <c r="E555" s="67" t="s">
        <v>429</v>
      </c>
      <c r="F555" s="67" t="s">
        <v>169</v>
      </c>
      <c r="G555" s="68" t="s">
        <v>430</v>
      </c>
    </row>
    <row r="556" spans="2:7" x14ac:dyDescent="0.15">
      <c r="B556" s="299"/>
      <c r="C556" s="65" t="s">
        <v>548</v>
      </c>
      <c r="D556" s="66">
        <f>VLOOKUP(C556,基本字段定义!$B$3:$C$3013,2,FALSE)</f>
        <v>716</v>
      </c>
      <c r="E556" s="67" t="s">
        <v>579</v>
      </c>
      <c r="F556" s="67" t="s">
        <v>169</v>
      </c>
      <c r="G556" s="68" t="s">
        <v>555</v>
      </c>
    </row>
    <row r="557" spans="2:7" x14ac:dyDescent="0.15">
      <c r="B557" s="299"/>
      <c r="C557" s="65" t="s">
        <v>550</v>
      </c>
      <c r="D557" s="66">
        <f>VLOOKUP(C557,基本字段定义!$B$3:$C$3013,2,FALSE)</f>
        <v>511</v>
      </c>
      <c r="E557" s="67" t="s">
        <v>553</v>
      </c>
      <c r="F557" s="67" t="s">
        <v>169</v>
      </c>
      <c r="G557" s="68" t="s">
        <v>551</v>
      </c>
    </row>
    <row r="558" spans="2:7" x14ac:dyDescent="0.15">
      <c r="B558" s="299"/>
      <c r="C558" s="65" t="s">
        <v>631</v>
      </c>
      <c r="D558" s="66">
        <f>VLOOKUP(C558,基本字段定义!$B$3:$C$3013,2,FALSE)</f>
        <v>693</v>
      </c>
      <c r="E558" s="67" t="s">
        <v>635</v>
      </c>
      <c r="F558" s="67" t="s">
        <v>169</v>
      </c>
      <c r="G558" s="68" t="s">
        <v>632</v>
      </c>
    </row>
    <row r="559" spans="2:7" x14ac:dyDescent="0.15">
      <c r="B559" s="299"/>
      <c r="C559" s="65" t="s">
        <v>582</v>
      </c>
      <c r="D559" s="66">
        <f>VLOOKUP(C559,基本字段定义!$B$3:$C$3013,2,FALSE)</f>
        <v>692</v>
      </c>
      <c r="E559" s="67" t="s">
        <v>371</v>
      </c>
      <c r="F559" s="67" t="s">
        <v>169</v>
      </c>
      <c r="G559" s="68" t="s">
        <v>630</v>
      </c>
    </row>
    <row r="560" spans="2:7" x14ac:dyDescent="0.15">
      <c r="B560" s="299"/>
      <c r="C560" s="65" t="s">
        <v>636</v>
      </c>
      <c r="D560" s="66">
        <f>VLOOKUP(C560,基本字段定义!$B$3:$C$3013,2,FALSE)</f>
        <v>733</v>
      </c>
      <c r="E560" s="67" t="s">
        <v>563</v>
      </c>
      <c r="F560" s="67" t="s">
        <v>169</v>
      </c>
      <c r="G560" s="68" t="s">
        <v>637</v>
      </c>
    </row>
    <row r="561" spans="2:7" x14ac:dyDescent="0.15">
      <c r="B561" s="299"/>
      <c r="C561" s="65" t="s">
        <v>638</v>
      </c>
      <c r="D561" s="66">
        <f>VLOOKUP(C561,基本字段定义!$B$3:$C$3013,2,FALSE)</f>
        <v>910</v>
      </c>
      <c r="E561" s="67" t="s">
        <v>438</v>
      </c>
      <c r="F561" s="67" t="s">
        <v>169</v>
      </c>
      <c r="G561" s="68" t="s">
        <v>639</v>
      </c>
    </row>
    <row r="562" spans="2:7" x14ac:dyDescent="0.15">
      <c r="B562" s="299"/>
      <c r="C562" s="65" t="s">
        <v>440</v>
      </c>
      <c r="D562" s="66">
        <f>VLOOKUP(C562,基本字段定义!$B$3:$C$3013,2,FALSE)</f>
        <v>781</v>
      </c>
      <c r="E562" s="67" t="s">
        <v>363</v>
      </c>
      <c r="F562" s="67" t="s">
        <v>169</v>
      </c>
      <c r="G562" s="68" t="s">
        <v>441</v>
      </c>
    </row>
    <row r="563" spans="2:7" x14ac:dyDescent="0.15">
      <c r="B563" s="299" t="s">
        <v>361</v>
      </c>
      <c r="C563" s="69" t="s">
        <v>362</v>
      </c>
      <c r="D563" s="70">
        <f>VLOOKUP(C563,基本字段定义!$B$3:$C$3013,2,FALSE)</f>
        <v>507</v>
      </c>
      <c r="E563" s="71" t="s">
        <v>363</v>
      </c>
      <c r="F563" s="71"/>
      <c r="G563" s="72"/>
    </row>
    <row r="564" spans="2:7" x14ac:dyDescent="0.15">
      <c r="B564" s="299"/>
      <c r="C564" s="69" t="s">
        <v>364</v>
      </c>
      <c r="D564" s="70">
        <f>VLOOKUP(C564,基本字段定义!$B$3:$C$3013,2,FALSE)</f>
        <v>508</v>
      </c>
      <c r="E564" s="71" t="s">
        <v>365</v>
      </c>
      <c r="F564" s="71"/>
      <c r="G564" s="73"/>
    </row>
    <row r="565" spans="2:7" x14ac:dyDescent="0.15">
      <c r="B565" s="299"/>
      <c r="C565" s="69" t="s">
        <v>640</v>
      </c>
      <c r="D565" s="70">
        <f>VLOOKUP(C565,基本字段定义!$B$3:$C$3013,2,FALSE)</f>
        <v>912</v>
      </c>
      <c r="E565" s="71" t="s">
        <v>365</v>
      </c>
      <c r="F565" s="71"/>
      <c r="G565" s="73" t="s">
        <v>641</v>
      </c>
    </row>
    <row r="566" spans="2:7" ht="14.25" thickBot="1" x14ac:dyDescent="0.2">
      <c r="B566" s="304"/>
      <c r="C566" s="75"/>
      <c r="D566" s="83"/>
      <c r="E566" s="77"/>
      <c r="F566" s="77"/>
      <c r="G566" s="78"/>
    </row>
    <row r="568" spans="2:7" x14ac:dyDescent="0.15">
      <c r="B568" s="57" t="s">
        <v>163</v>
      </c>
      <c r="C568" s="84">
        <v>203113</v>
      </c>
      <c r="D568" s="85"/>
      <c r="E568" s="86"/>
      <c r="F568" s="58" t="s">
        <v>352</v>
      </c>
      <c r="G568" s="59"/>
    </row>
    <row r="569" spans="2:7" x14ac:dyDescent="0.15">
      <c r="B569" s="60" t="s">
        <v>353</v>
      </c>
      <c r="C569" s="87" t="str">
        <f>VLOOKUP(C568,功能索引!$C$3:$D$278,2,FALSE)</f>
        <v>证券转银行</v>
      </c>
      <c r="D569" s="88"/>
      <c r="E569" s="89"/>
      <c r="F569" s="61" t="s">
        <v>165</v>
      </c>
      <c r="G569" s="62">
        <f>VLOOKUP(C568,功能索引!$C$3:$E894,3,FALSE)</f>
        <v>0</v>
      </c>
    </row>
    <row r="570" spans="2:7" ht="13.5" customHeight="1" x14ac:dyDescent="0.15">
      <c r="B570" s="299" t="s">
        <v>354</v>
      </c>
      <c r="C570" s="99" t="s">
        <v>634</v>
      </c>
      <c r="D570" s="100"/>
      <c r="E570" s="100"/>
      <c r="F570" s="100"/>
      <c r="G570" s="101"/>
    </row>
    <row r="571" spans="2:7" ht="14.25" thickBot="1" x14ac:dyDescent="0.2">
      <c r="B571" s="304"/>
      <c r="C571" s="102"/>
      <c r="D571" s="103"/>
      <c r="E571" s="103"/>
      <c r="F571" s="103"/>
      <c r="G571" s="104"/>
    </row>
    <row r="572" spans="2:7" x14ac:dyDescent="0.15">
      <c r="B572" s="298" t="s">
        <v>355</v>
      </c>
      <c r="C572" s="58" t="s">
        <v>356</v>
      </c>
      <c r="D572" s="58" t="s">
        <v>357</v>
      </c>
      <c r="E572" s="58" t="s">
        <v>358</v>
      </c>
      <c r="F572" s="58" t="s">
        <v>359</v>
      </c>
      <c r="G572" s="64" t="s">
        <v>360</v>
      </c>
    </row>
    <row r="573" spans="2:7" x14ac:dyDescent="0.15">
      <c r="B573" s="299"/>
      <c r="C573" s="65" t="s">
        <v>428</v>
      </c>
      <c r="D573" s="66">
        <f>VLOOKUP(C573,基本字段定义!$B$3:$C$3013,2,FALSE)</f>
        <v>605</v>
      </c>
      <c r="E573" s="67" t="s">
        <v>429</v>
      </c>
      <c r="F573" s="67" t="s">
        <v>169</v>
      </c>
      <c r="G573" s="68" t="s">
        <v>430</v>
      </c>
    </row>
    <row r="574" spans="2:7" x14ac:dyDescent="0.15">
      <c r="B574" s="299"/>
      <c r="C574" s="65" t="s">
        <v>548</v>
      </c>
      <c r="D574" s="66">
        <f>VLOOKUP(C574,基本字段定义!$B$3:$C$3013,2,FALSE)</f>
        <v>716</v>
      </c>
      <c r="E574" s="67" t="s">
        <v>579</v>
      </c>
      <c r="F574" s="67" t="s">
        <v>169</v>
      </c>
      <c r="G574" s="68" t="s">
        <v>555</v>
      </c>
    </row>
    <row r="575" spans="2:7" x14ac:dyDescent="0.15">
      <c r="B575" s="299"/>
      <c r="C575" s="65" t="s">
        <v>550</v>
      </c>
      <c r="D575" s="66">
        <f>VLOOKUP(C575,基本字段定义!$B$3:$C$3013,2,FALSE)</f>
        <v>511</v>
      </c>
      <c r="E575" s="67" t="s">
        <v>553</v>
      </c>
      <c r="F575" s="67" t="s">
        <v>169</v>
      </c>
      <c r="G575" s="68" t="s">
        <v>551</v>
      </c>
    </row>
    <row r="576" spans="2:7" x14ac:dyDescent="0.15">
      <c r="B576" s="299"/>
      <c r="C576" s="65" t="s">
        <v>631</v>
      </c>
      <c r="D576" s="66">
        <f>VLOOKUP(C576,基本字段定义!$B$3:$C$3013,2,FALSE)</f>
        <v>693</v>
      </c>
      <c r="E576" s="67" t="s">
        <v>635</v>
      </c>
      <c r="F576" s="67" t="s">
        <v>169</v>
      </c>
      <c r="G576" s="68" t="s">
        <v>632</v>
      </c>
    </row>
    <row r="577" spans="2:7" x14ac:dyDescent="0.15">
      <c r="B577" s="299"/>
      <c r="C577" s="65" t="s">
        <v>582</v>
      </c>
      <c r="D577" s="66">
        <f>VLOOKUP(C577,基本字段定义!$B$3:$C$3013,2,FALSE)</f>
        <v>692</v>
      </c>
      <c r="E577" s="67" t="s">
        <v>371</v>
      </c>
      <c r="F577" s="67" t="s">
        <v>169</v>
      </c>
      <c r="G577" s="68" t="s">
        <v>630</v>
      </c>
    </row>
    <row r="578" spans="2:7" x14ac:dyDescent="0.15">
      <c r="B578" s="299"/>
      <c r="C578" s="65" t="s">
        <v>636</v>
      </c>
      <c r="D578" s="66">
        <f>VLOOKUP(C578,基本字段定义!$B$3:$C$3013,2,FALSE)</f>
        <v>733</v>
      </c>
      <c r="E578" s="67" t="s">
        <v>563</v>
      </c>
      <c r="F578" s="67" t="s">
        <v>169</v>
      </c>
      <c r="G578" s="68" t="s">
        <v>642</v>
      </c>
    </row>
    <row r="579" spans="2:7" x14ac:dyDescent="0.15">
      <c r="B579" s="299"/>
      <c r="C579" s="65" t="s">
        <v>452</v>
      </c>
      <c r="D579" s="66">
        <f>VLOOKUP(C579,基本字段定义!$B$3:$C$3013,2,FALSE)</f>
        <v>714</v>
      </c>
      <c r="E579" s="67" t="s">
        <v>438</v>
      </c>
      <c r="F579" s="67" t="s">
        <v>169</v>
      </c>
      <c r="G579" s="68" t="s">
        <v>643</v>
      </c>
    </row>
    <row r="580" spans="2:7" x14ac:dyDescent="0.15">
      <c r="B580" s="299"/>
      <c r="C580" s="65" t="s">
        <v>440</v>
      </c>
      <c r="D580" s="66">
        <f>VLOOKUP(C580,基本字段定义!$B$3:$C$3013,2,FALSE)</f>
        <v>781</v>
      </c>
      <c r="E580" s="67" t="s">
        <v>363</v>
      </c>
      <c r="F580" s="67" t="s">
        <v>169</v>
      </c>
      <c r="G580" s="68" t="s">
        <v>441</v>
      </c>
    </row>
    <row r="581" spans="2:7" x14ac:dyDescent="0.15">
      <c r="B581" s="299" t="s">
        <v>361</v>
      </c>
      <c r="C581" s="69" t="s">
        <v>362</v>
      </c>
      <c r="D581" s="70">
        <f>VLOOKUP(C581,基本字段定义!$B$3:$C$3013,2,FALSE)</f>
        <v>507</v>
      </c>
      <c r="E581" s="71" t="s">
        <v>363</v>
      </c>
      <c r="F581" s="71"/>
      <c r="G581" s="72"/>
    </row>
    <row r="582" spans="2:7" x14ac:dyDescent="0.15">
      <c r="B582" s="299"/>
      <c r="C582" s="69" t="s">
        <v>364</v>
      </c>
      <c r="D582" s="70">
        <f>VLOOKUP(C582,基本字段定义!$B$3:$C$3013,2,FALSE)</f>
        <v>508</v>
      </c>
      <c r="E582" s="71" t="s">
        <v>365</v>
      </c>
      <c r="F582" s="71"/>
      <c r="G582" s="73"/>
    </row>
    <row r="583" spans="2:7" x14ac:dyDescent="0.15">
      <c r="B583" s="299"/>
      <c r="C583" s="69" t="s">
        <v>640</v>
      </c>
      <c r="D583" s="70">
        <f>VLOOKUP(C583,基本字段定义!$B$3:$C$3013,2,FALSE)</f>
        <v>912</v>
      </c>
      <c r="E583" s="71" t="s">
        <v>365</v>
      </c>
      <c r="F583" s="71"/>
      <c r="G583" s="73" t="s">
        <v>641</v>
      </c>
    </row>
    <row r="584" spans="2:7" ht="14.25" thickBot="1" x14ac:dyDescent="0.2">
      <c r="B584" s="304"/>
      <c r="C584" s="75"/>
      <c r="D584" s="83"/>
      <c r="E584" s="77"/>
      <c r="F584" s="77"/>
      <c r="G584" s="78"/>
    </row>
    <row r="586" spans="2:7" x14ac:dyDescent="0.15">
      <c r="B586" s="57" t="s">
        <v>163</v>
      </c>
      <c r="C586" s="84">
        <v>203119</v>
      </c>
      <c r="D586" s="85"/>
      <c r="E586" s="86"/>
      <c r="F586" s="58" t="s">
        <v>352</v>
      </c>
      <c r="G586" s="59"/>
    </row>
    <row r="587" spans="2:7" x14ac:dyDescent="0.15">
      <c r="B587" s="60" t="s">
        <v>353</v>
      </c>
      <c r="C587" s="87" t="str">
        <f>VLOOKUP(C586,功能索引!$C$3:$D$278,2,FALSE)</f>
        <v>银行账户余额查询申请</v>
      </c>
      <c r="D587" s="88"/>
      <c r="E587" s="89"/>
      <c r="F587" s="61" t="s">
        <v>165</v>
      </c>
      <c r="G587" s="62">
        <f>VLOOKUP(C586,功能索引!$C$3:$E917,3,FALSE)</f>
        <v>0</v>
      </c>
    </row>
    <row r="588" spans="2:7" ht="13.5" customHeight="1" x14ac:dyDescent="0.15">
      <c r="B588" s="299" t="s">
        <v>354</v>
      </c>
      <c r="C588" s="99" t="s">
        <v>644</v>
      </c>
      <c r="D588" s="100"/>
      <c r="E588" s="100"/>
      <c r="F588" s="100"/>
      <c r="G588" s="101"/>
    </row>
    <row r="589" spans="2:7" ht="14.25" thickBot="1" x14ac:dyDescent="0.2">
      <c r="B589" s="304"/>
      <c r="C589" s="102"/>
      <c r="D589" s="103"/>
      <c r="E589" s="103"/>
      <c r="F589" s="103"/>
      <c r="G589" s="104"/>
    </row>
    <row r="590" spans="2:7" x14ac:dyDescent="0.15">
      <c r="B590" s="298" t="s">
        <v>355</v>
      </c>
      <c r="C590" s="58" t="s">
        <v>356</v>
      </c>
      <c r="D590" s="58" t="s">
        <v>357</v>
      </c>
      <c r="E590" s="58" t="s">
        <v>358</v>
      </c>
      <c r="F590" s="58" t="s">
        <v>359</v>
      </c>
      <c r="G590" s="64" t="s">
        <v>360</v>
      </c>
    </row>
    <row r="591" spans="2:7" x14ac:dyDescent="0.15">
      <c r="B591" s="299"/>
      <c r="C591" s="65" t="s">
        <v>428</v>
      </c>
      <c r="D591" s="66">
        <f>VLOOKUP(C591,基本字段定义!$B$3:$C$3013,2,FALSE)</f>
        <v>605</v>
      </c>
      <c r="E591" s="67" t="s">
        <v>429</v>
      </c>
      <c r="F591" s="67" t="s">
        <v>169</v>
      </c>
      <c r="G591" s="68" t="s">
        <v>430</v>
      </c>
    </row>
    <row r="592" spans="2:7" x14ac:dyDescent="0.15">
      <c r="B592" s="299"/>
      <c r="C592" s="65" t="s">
        <v>548</v>
      </c>
      <c r="D592" s="66">
        <f>VLOOKUP(C592,基本字段定义!$B$3:$C$3013,2,FALSE)</f>
        <v>716</v>
      </c>
      <c r="E592" s="67" t="s">
        <v>579</v>
      </c>
      <c r="F592" s="67" t="s">
        <v>169</v>
      </c>
      <c r="G592" s="68" t="s">
        <v>555</v>
      </c>
    </row>
    <row r="593" spans="2:7" x14ac:dyDescent="0.15">
      <c r="B593" s="299"/>
      <c r="C593" s="65" t="s">
        <v>550</v>
      </c>
      <c r="D593" s="66">
        <f>VLOOKUP(C593,基本字段定义!$B$3:$C$3013,2,FALSE)</f>
        <v>511</v>
      </c>
      <c r="E593" s="67" t="s">
        <v>553</v>
      </c>
      <c r="F593" s="67" t="s">
        <v>169</v>
      </c>
      <c r="G593" s="68" t="s">
        <v>551</v>
      </c>
    </row>
    <row r="594" spans="2:7" x14ac:dyDescent="0.15">
      <c r="B594" s="299"/>
      <c r="C594" s="65" t="s">
        <v>582</v>
      </c>
      <c r="D594" s="66">
        <f>VLOOKUP(C594,基本字段定义!$B$3:$C$3013,2,FALSE)</f>
        <v>692</v>
      </c>
      <c r="E594" s="67" t="s">
        <v>371</v>
      </c>
      <c r="F594" s="67" t="s">
        <v>169</v>
      </c>
      <c r="G594" s="68" t="s">
        <v>630</v>
      </c>
    </row>
    <row r="595" spans="2:7" x14ac:dyDescent="0.15">
      <c r="B595" s="299"/>
      <c r="C595" s="65" t="s">
        <v>631</v>
      </c>
      <c r="D595" s="66">
        <f>VLOOKUP(C595,基本字段定义!$B$3:$C$3013,2,FALSE)</f>
        <v>693</v>
      </c>
      <c r="E595" s="67" t="s">
        <v>635</v>
      </c>
      <c r="F595" s="67" t="s">
        <v>169</v>
      </c>
      <c r="G595" s="68" t="s">
        <v>632</v>
      </c>
    </row>
    <row r="596" spans="2:7" x14ac:dyDescent="0.15">
      <c r="B596" s="299"/>
      <c r="C596" s="65" t="s">
        <v>638</v>
      </c>
      <c r="D596" s="66">
        <f>VLOOKUP(C596,基本字段定义!$B$3:$C$3013,2,FALSE)</f>
        <v>910</v>
      </c>
      <c r="E596" s="67" t="s">
        <v>438</v>
      </c>
      <c r="F596" s="67" t="s">
        <v>169</v>
      </c>
      <c r="G596" s="68" t="s">
        <v>639</v>
      </c>
    </row>
    <row r="597" spans="2:7" x14ac:dyDescent="0.15">
      <c r="B597" s="299"/>
      <c r="C597" s="65" t="s">
        <v>440</v>
      </c>
      <c r="D597" s="66">
        <f>VLOOKUP(C597,基本字段定义!$B$3:$C$3013,2,FALSE)</f>
        <v>781</v>
      </c>
      <c r="E597" s="67" t="s">
        <v>363</v>
      </c>
      <c r="F597" s="67" t="s">
        <v>169</v>
      </c>
      <c r="G597" s="68" t="s">
        <v>441</v>
      </c>
    </row>
    <row r="598" spans="2:7" ht="16.5" customHeight="1" x14ac:dyDescent="0.15">
      <c r="B598" s="299" t="s">
        <v>361</v>
      </c>
      <c r="C598" s="69" t="s">
        <v>362</v>
      </c>
      <c r="D598" s="70">
        <f>VLOOKUP(C598,基本字段定义!$B$3:$C$3013,2,FALSE)</f>
        <v>507</v>
      </c>
      <c r="E598" s="71" t="s">
        <v>363</v>
      </c>
      <c r="F598" s="71"/>
      <c r="G598" s="72"/>
    </row>
    <row r="599" spans="2:7" x14ac:dyDescent="0.15">
      <c r="B599" s="299"/>
      <c r="C599" s="69" t="s">
        <v>364</v>
      </c>
      <c r="D599" s="70">
        <f>VLOOKUP(C599,基本字段定义!$B$3:$C$3013,2,FALSE)</f>
        <v>508</v>
      </c>
      <c r="E599" s="71" t="s">
        <v>365</v>
      </c>
      <c r="F599" s="71"/>
      <c r="G599" s="73"/>
    </row>
    <row r="600" spans="2:7" x14ac:dyDescent="0.15">
      <c r="B600" s="299"/>
      <c r="C600" s="69" t="s">
        <v>640</v>
      </c>
      <c r="D600" s="70">
        <f>VLOOKUP(C600,基本字段定义!$B$3:$C$3013,2,FALSE)</f>
        <v>912</v>
      </c>
      <c r="E600" s="71" t="s">
        <v>365</v>
      </c>
      <c r="F600" s="71"/>
      <c r="G600" s="73"/>
    </row>
    <row r="601" spans="2:7" ht="14.25" thickBot="1" x14ac:dyDescent="0.2">
      <c r="B601" s="304"/>
      <c r="C601" s="75"/>
      <c r="D601" s="83"/>
      <c r="E601" s="77"/>
      <c r="F601" s="77"/>
      <c r="G601" s="78"/>
    </row>
    <row r="603" spans="2:7" x14ac:dyDescent="0.15">
      <c r="B603" s="57" t="s">
        <v>163</v>
      </c>
      <c r="C603" s="84">
        <v>203526</v>
      </c>
      <c r="D603" s="85"/>
      <c r="E603" s="86"/>
      <c r="F603" s="58" t="s">
        <v>352</v>
      </c>
      <c r="G603" s="59"/>
    </row>
    <row r="604" spans="2:7" x14ac:dyDescent="0.15">
      <c r="B604" s="60" t="s">
        <v>353</v>
      </c>
      <c r="C604" s="87" t="str">
        <f>VLOOKUP(C603,功能索引!$C$3:$D$278,2,FALSE)</f>
        <v>多银行存管转账</v>
      </c>
      <c r="D604" s="88"/>
      <c r="E604" s="89"/>
      <c r="F604" s="61" t="s">
        <v>165</v>
      </c>
      <c r="G604" s="62">
        <f>VLOOKUP(C603,功能索引!$C$3:$E937,3,FALSE)</f>
        <v>0</v>
      </c>
    </row>
    <row r="605" spans="2:7" x14ac:dyDescent="0.15">
      <c r="B605" s="299" t="s">
        <v>354</v>
      </c>
      <c r="C605" s="99"/>
      <c r="D605" s="100"/>
      <c r="E605" s="100"/>
      <c r="F605" s="100"/>
      <c r="G605" s="101"/>
    </row>
    <row r="606" spans="2:7" ht="14.25" thickBot="1" x14ac:dyDescent="0.2">
      <c r="B606" s="304"/>
      <c r="C606" s="102"/>
      <c r="D606" s="103"/>
      <c r="E606" s="103"/>
      <c r="F606" s="103"/>
      <c r="G606" s="104"/>
    </row>
    <row r="607" spans="2:7" x14ac:dyDescent="0.15">
      <c r="B607" s="298" t="s">
        <v>355</v>
      </c>
      <c r="C607" s="58" t="s">
        <v>356</v>
      </c>
      <c r="D607" s="58" t="s">
        <v>357</v>
      </c>
      <c r="E607" s="58" t="s">
        <v>358</v>
      </c>
      <c r="F607" s="58" t="s">
        <v>359</v>
      </c>
      <c r="G607" s="64" t="s">
        <v>360</v>
      </c>
    </row>
    <row r="608" spans="2:7" x14ac:dyDescent="0.15">
      <c r="B608" s="299"/>
      <c r="C608" s="65" t="s">
        <v>428</v>
      </c>
      <c r="D608" s="66">
        <f>VLOOKUP(C608,基本字段定义!$B$3:$C$3013,2,FALSE)</f>
        <v>605</v>
      </c>
      <c r="E608" s="67" t="s">
        <v>429</v>
      </c>
      <c r="F608" s="67" t="s">
        <v>169</v>
      </c>
      <c r="G608" s="68" t="s">
        <v>430</v>
      </c>
    </row>
    <row r="609" spans="2:7" x14ac:dyDescent="0.15">
      <c r="B609" s="299"/>
      <c r="C609" s="65" t="s">
        <v>548</v>
      </c>
      <c r="D609" s="66">
        <f>VLOOKUP(C609,基本字段定义!$B$3:$C$3013,2,FALSE)</f>
        <v>716</v>
      </c>
      <c r="E609" s="67" t="s">
        <v>579</v>
      </c>
      <c r="F609" s="67" t="s">
        <v>169</v>
      </c>
      <c r="G609" s="68" t="s">
        <v>645</v>
      </c>
    </row>
    <row r="610" spans="2:7" x14ac:dyDescent="0.15">
      <c r="B610" s="299"/>
      <c r="C610" s="65" t="s">
        <v>550</v>
      </c>
      <c r="D610" s="66">
        <f>VLOOKUP(C610,基本字段定义!$B$3:$C$3013,2,FALSE)</f>
        <v>511</v>
      </c>
      <c r="E610" s="67" t="s">
        <v>553</v>
      </c>
      <c r="F610" s="67" t="s">
        <v>169</v>
      </c>
      <c r="G610" s="68" t="s">
        <v>551</v>
      </c>
    </row>
    <row r="611" spans="2:7" x14ac:dyDescent="0.15">
      <c r="B611" s="299"/>
      <c r="C611" s="65" t="s">
        <v>546</v>
      </c>
      <c r="D611" s="66">
        <f>VLOOKUP(C611,基本字段定义!$B$3:$C$3013,2,FALSE)</f>
        <v>645</v>
      </c>
      <c r="E611" s="67" t="s">
        <v>579</v>
      </c>
      <c r="F611" s="67" t="s">
        <v>169</v>
      </c>
      <c r="G611" s="68" t="s">
        <v>646</v>
      </c>
    </row>
    <row r="612" spans="2:7" x14ac:dyDescent="0.15">
      <c r="B612" s="299"/>
      <c r="C612" s="65" t="s">
        <v>608</v>
      </c>
      <c r="D612" s="66">
        <f>VLOOKUP(C612,基本字段定义!$B$3:$C$3013,2,FALSE)</f>
        <v>808</v>
      </c>
      <c r="E612" s="67" t="s">
        <v>563</v>
      </c>
      <c r="F612" s="67" t="s">
        <v>169</v>
      </c>
      <c r="G612" s="68" t="s">
        <v>642</v>
      </c>
    </row>
    <row r="613" spans="2:7" x14ac:dyDescent="0.15">
      <c r="B613" s="299"/>
      <c r="C613" s="65" t="s">
        <v>496</v>
      </c>
      <c r="D613" s="66">
        <f>VLOOKUP(C613,基本字段定义!$B$3:$C$3013,2,FALSE)</f>
        <v>730</v>
      </c>
      <c r="E613" s="67" t="s">
        <v>497</v>
      </c>
      <c r="F613" s="67" t="s">
        <v>169</v>
      </c>
      <c r="G613" s="68" t="s">
        <v>647</v>
      </c>
    </row>
    <row r="614" spans="2:7" x14ac:dyDescent="0.15">
      <c r="B614" s="299"/>
      <c r="C614" s="65" t="s">
        <v>648</v>
      </c>
      <c r="D614" s="66">
        <f>VLOOKUP(C614,基本字段定义!$B$3:$C$3013,2,FALSE)</f>
        <v>1480</v>
      </c>
      <c r="E614" s="67" t="s">
        <v>363</v>
      </c>
      <c r="F614" s="67" t="s">
        <v>169</v>
      </c>
      <c r="G614" s="68" t="s">
        <v>649</v>
      </c>
    </row>
    <row r="615" spans="2:7" x14ac:dyDescent="0.15">
      <c r="B615" s="299"/>
      <c r="C615" s="65" t="s">
        <v>452</v>
      </c>
      <c r="D615" s="66">
        <f>VLOOKUP(C615,基本字段定义!$B$3:$C$3013,2,FALSE)</f>
        <v>714</v>
      </c>
      <c r="E615" s="67" t="s">
        <v>438</v>
      </c>
      <c r="F615" s="67" t="s">
        <v>169</v>
      </c>
      <c r="G615" s="68" t="s">
        <v>643</v>
      </c>
    </row>
    <row r="616" spans="2:7" x14ac:dyDescent="0.15">
      <c r="B616" s="299"/>
      <c r="C616" s="65" t="s">
        <v>440</v>
      </c>
      <c r="D616" s="66">
        <f>VLOOKUP(C616,基本字段定义!$B$3:$C$3013,2,FALSE)</f>
        <v>781</v>
      </c>
      <c r="E616" s="67" t="s">
        <v>363</v>
      </c>
      <c r="F616" s="67" t="s">
        <v>169</v>
      </c>
      <c r="G616" s="68" t="s">
        <v>441</v>
      </c>
    </row>
    <row r="617" spans="2:7" x14ac:dyDescent="0.15">
      <c r="B617" s="299" t="s">
        <v>361</v>
      </c>
      <c r="C617" s="69" t="s">
        <v>362</v>
      </c>
      <c r="D617" s="70">
        <f>VLOOKUP(C617,基本字段定义!$B$3:$C$3013,2,FALSE)</f>
        <v>507</v>
      </c>
      <c r="E617" s="71" t="s">
        <v>363</v>
      </c>
      <c r="F617" s="71"/>
      <c r="G617" s="72" t="s">
        <v>650</v>
      </c>
    </row>
    <row r="618" spans="2:7" x14ac:dyDescent="0.15">
      <c r="B618" s="299"/>
      <c r="C618" s="69" t="s">
        <v>364</v>
      </c>
      <c r="D618" s="70">
        <f>VLOOKUP(C618,基本字段定义!$B$3:$C$3013,2,FALSE)</f>
        <v>508</v>
      </c>
      <c r="E618" s="71" t="s">
        <v>365</v>
      </c>
      <c r="F618" s="71"/>
      <c r="G618" s="73"/>
    </row>
    <row r="619" spans="2:7" ht="14.25" thickBot="1" x14ac:dyDescent="0.2">
      <c r="B619" s="304"/>
      <c r="C619" s="75"/>
      <c r="D619" s="83"/>
      <c r="E619" s="77"/>
      <c r="F619" s="77"/>
      <c r="G619" s="78"/>
    </row>
    <row r="621" spans="2:7" x14ac:dyDescent="0.15">
      <c r="B621" s="57" t="s">
        <v>163</v>
      </c>
      <c r="C621" s="84">
        <v>203529</v>
      </c>
      <c r="D621" s="85"/>
      <c r="E621" s="86"/>
      <c r="F621" s="58" t="s">
        <v>352</v>
      </c>
      <c r="G621" s="59">
        <v>20120517</v>
      </c>
    </row>
    <row r="622" spans="2:7" x14ac:dyDescent="0.15">
      <c r="B622" s="60" t="s">
        <v>353</v>
      </c>
      <c r="C622" s="87" t="str">
        <f>VLOOKUP(C621,功能索引!$C$3:$D$278,2,FALSE)</f>
        <v>银行存管预约转账</v>
      </c>
      <c r="D622" s="88"/>
      <c r="E622" s="89"/>
      <c r="F622" s="61" t="s">
        <v>165</v>
      </c>
      <c r="G622" s="62">
        <v>0</v>
      </c>
    </row>
    <row r="623" spans="2:7" x14ac:dyDescent="0.15">
      <c r="B623" s="299" t="s">
        <v>354</v>
      </c>
      <c r="C623" s="99"/>
      <c r="D623" s="100"/>
      <c r="E623" s="100"/>
      <c r="F623" s="100"/>
      <c r="G623" s="101"/>
    </row>
    <row r="624" spans="2:7" ht="14.25" thickBot="1" x14ac:dyDescent="0.2">
      <c r="B624" s="304"/>
      <c r="C624" s="102"/>
      <c r="D624" s="103"/>
      <c r="E624" s="103"/>
      <c r="F624" s="103"/>
      <c r="G624" s="104"/>
    </row>
    <row r="625" spans="2:7" x14ac:dyDescent="0.15">
      <c r="B625" s="298" t="s">
        <v>355</v>
      </c>
      <c r="C625" s="58" t="s">
        <v>356</v>
      </c>
      <c r="D625" s="58" t="s">
        <v>357</v>
      </c>
      <c r="E625" s="58" t="s">
        <v>358</v>
      </c>
      <c r="F625" s="58" t="s">
        <v>359</v>
      </c>
      <c r="G625" s="64" t="s">
        <v>360</v>
      </c>
    </row>
    <row r="626" spans="2:7" x14ac:dyDescent="0.15">
      <c r="B626" s="299"/>
      <c r="C626" s="65" t="s">
        <v>428</v>
      </c>
      <c r="D626" s="66">
        <f>VLOOKUP(C626,基本字段定义!$B$3:$C$3013,2,FALSE)</f>
        <v>605</v>
      </c>
      <c r="E626" s="67" t="s">
        <v>429</v>
      </c>
      <c r="F626" s="67" t="s">
        <v>169</v>
      </c>
      <c r="G626" s="68" t="s">
        <v>430</v>
      </c>
    </row>
    <row r="627" spans="2:7" x14ac:dyDescent="0.15">
      <c r="B627" s="299"/>
      <c r="C627" s="65" t="s">
        <v>548</v>
      </c>
      <c r="D627" s="66">
        <f>VLOOKUP(C627,基本字段定义!$B$3:$C$3013,2,FALSE)</f>
        <v>716</v>
      </c>
      <c r="E627" s="67" t="s">
        <v>579</v>
      </c>
      <c r="F627" s="67" t="s">
        <v>169</v>
      </c>
      <c r="G627" s="68" t="s">
        <v>645</v>
      </c>
    </row>
    <row r="628" spans="2:7" x14ac:dyDescent="0.15">
      <c r="B628" s="299"/>
      <c r="C628" s="65" t="s">
        <v>550</v>
      </c>
      <c r="D628" s="66">
        <f>VLOOKUP(C628,基本字段定义!$B$3:$C$3013,2,FALSE)</f>
        <v>511</v>
      </c>
      <c r="E628" s="67" t="s">
        <v>553</v>
      </c>
      <c r="F628" s="67" t="s">
        <v>169</v>
      </c>
      <c r="G628" s="68" t="s">
        <v>551</v>
      </c>
    </row>
    <row r="629" spans="2:7" x14ac:dyDescent="0.15">
      <c r="B629" s="299"/>
      <c r="C629" s="65" t="s">
        <v>651</v>
      </c>
      <c r="D629" s="66">
        <f>VLOOKUP(C629,基本字段定义!$B$3:$C$3013,2,FALSE)</f>
        <v>9227</v>
      </c>
      <c r="E629" s="67" t="s">
        <v>363</v>
      </c>
      <c r="F629" s="67" t="s">
        <v>169</v>
      </c>
      <c r="G629" s="68" t="s">
        <v>652</v>
      </c>
    </row>
    <row r="630" spans="2:7" x14ac:dyDescent="0.15">
      <c r="B630" s="299"/>
      <c r="C630" s="65" t="s">
        <v>608</v>
      </c>
      <c r="D630" s="66">
        <f>VLOOKUP(C630,基本字段定义!$B$3:$C$3013,2,FALSE)</f>
        <v>808</v>
      </c>
      <c r="E630" s="67" t="s">
        <v>563</v>
      </c>
      <c r="F630" s="67" t="s">
        <v>169</v>
      </c>
      <c r="G630" s="68" t="s">
        <v>642</v>
      </c>
    </row>
    <row r="631" spans="2:7" x14ac:dyDescent="0.15">
      <c r="B631" s="299"/>
      <c r="C631" s="65" t="s">
        <v>496</v>
      </c>
      <c r="D631" s="66">
        <f>VLOOKUP(C631,基本字段定义!$B$3:$C$3013,2,FALSE)</f>
        <v>730</v>
      </c>
      <c r="E631" s="67" t="s">
        <v>497</v>
      </c>
      <c r="F631" s="67"/>
      <c r="G631" s="68" t="s">
        <v>647</v>
      </c>
    </row>
    <row r="632" spans="2:7" x14ac:dyDescent="0.15">
      <c r="B632" s="299"/>
      <c r="C632" s="65" t="s">
        <v>452</v>
      </c>
      <c r="D632" s="66">
        <f>VLOOKUP(C632,基本字段定义!$B$3:$C$3013,2,FALSE)</f>
        <v>714</v>
      </c>
      <c r="E632" s="67" t="s">
        <v>438</v>
      </c>
      <c r="F632" s="67" t="s">
        <v>169</v>
      </c>
      <c r="G632" s="68" t="s">
        <v>643</v>
      </c>
    </row>
    <row r="633" spans="2:7" x14ac:dyDescent="0.15">
      <c r="B633" s="299"/>
      <c r="C633" s="65" t="s">
        <v>440</v>
      </c>
      <c r="D633" s="66">
        <f>VLOOKUP(C633,基本字段定义!$B$3:$C$3013,2,FALSE)</f>
        <v>781</v>
      </c>
      <c r="E633" s="67" t="s">
        <v>363</v>
      </c>
      <c r="F633" s="67" t="s">
        <v>169</v>
      </c>
      <c r="G633" s="68" t="s">
        <v>441</v>
      </c>
    </row>
    <row r="634" spans="2:7" x14ac:dyDescent="0.15">
      <c r="B634" s="299" t="s">
        <v>361</v>
      </c>
      <c r="C634" s="69" t="s">
        <v>362</v>
      </c>
      <c r="D634" s="70">
        <f>VLOOKUP(C634,基本字段定义!$B$3:$C$3013,2,FALSE)</f>
        <v>507</v>
      </c>
      <c r="E634" s="71" t="s">
        <v>363</v>
      </c>
      <c r="F634" s="71"/>
      <c r="G634" s="72" t="s">
        <v>650</v>
      </c>
    </row>
    <row r="635" spans="2:7" x14ac:dyDescent="0.15">
      <c r="B635" s="299"/>
      <c r="C635" s="69" t="s">
        <v>364</v>
      </c>
      <c r="D635" s="70">
        <f>VLOOKUP(C635,基本字段定义!$B$3:$C$3013,2,FALSE)</f>
        <v>508</v>
      </c>
      <c r="E635" s="71" t="s">
        <v>365</v>
      </c>
      <c r="F635" s="71"/>
      <c r="G635" s="73"/>
    </row>
    <row r="636" spans="2:7" ht="14.25" thickBot="1" x14ac:dyDescent="0.2">
      <c r="B636" s="304"/>
      <c r="C636" s="75"/>
      <c r="D636" s="83"/>
      <c r="E636" s="77"/>
      <c r="F636" s="77"/>
      <c r="G636" s="78"/>
    </row>
    <row r="638" spans="2:7" x14ac:dyDescent="0.15">
      <c r="B638" s="57" t="s">
        <v>163</v>
      </c>
      <c r="C638" s="84">
        <v>303111</v>
      </c>
      <c r="D638" s="85"/>
      <c r="E638" s="86"/>
      <c r="F638" s="58" t="s">
        <v>352</v>
      </c>
      <c r="G638" s="59"/>
    </row>
    <row r="639" spans="2:7" x14ac:dyDescent="0.15">
      <c r="B639" s="60" t="s">
        <v>353</v>
      </c>
      <c r="C639" s="87" t="str">
        <f>VLOOKUP(C638,功能索引!$C$3:$D$278,2,FALSE)</f>
        <v>证券发起银证业务查询</v>
      </c>
      <c r="D639" s="88"/>
      <c r="E639" s="89"/>
      <c r="F639" s="61" t="s">
        <v>165</v>
      </c>
      <c r="G639" s="62" t="str">
        <f>VLOOKUP(C638,功能索引!$C$3:$E956,3,FALSE)</f>
        <v>Y</v>
      </c>
    </row>
    <row r="640" spans="2:7" x14ac:dyDescent="0.15">
      <c r="B640" s="299" t="s">
        <v>354</v>
      </c>
      <c r="C640" s="99"/>
      <c r="D640" s="100"/>
      <c r="E640" s="100"/>
      <c r="F640" s="100"/>
      <c r="G640" s="101"/>
    </row>
    <row r="641" spans="2:7" ht="14.25" thickBot="1" x14ac:dyDescent="0.2">
      <c r="B641" s="304"/>
      <c r="C641" s="102"/>
      <c r="D641" s="103"/>
      <c r="E641" s="103"/>
      <c r="F641" s="103"/>
      <c r="G641" s="104"/>
    </row>
    <row r="642" spans="2:7" x14ac:dyDescent="0.15">
      <c r="B642" s="298" t="s">
        <v>355</v>
      </c>
      <c r="C642" s="58" t="s">
        <v>356</v>
      </c>
      <c r="D642" s="58" t="s">
        <v>357</v>
      </c>
      <c r="E642" s="58" t="s">
        <v>358</v>
      </c>
      <c r="F642" s="58" t="s">
        <v>359</v>
      </c>
      <c r="G642" s="64" t="s">
        <v>360</v>
      </c>
    </row>
    <row r="643" spans="2:7" x14ac:dyDescent="0.15">
      <c r="B643" s="299"/>
      <c r="C643" s="65" t="s">
        <v>428</v>
      </c>
      <c r="D643" s="66">
        <f>VLOOKUP(C643,基本字段定义!$B$3:$C$3013,2,FALSE)</f>
        <v>605</v>
      </c>
      <c r="E643" s="67" t="s">
        <v>429</v>
      </c>
      <c r="F643" s="67" t="s">
        <v>169</v>
      </c>
      <c r="G643" s="68" t="s">
        <v>430</v>
      </c>
    </row>
    <row r="644" spans="2:7" x14ac:dyDescent="0.15">
      <c r="B644" s="299"/>
      <c r="C644" s="65" t="s">
        <v>640</v>
      </c>
      <c r="D644" s="66">
        <f>VLOOKUP(C644,基本字段定义!$B$3:$C$3013,2,FALSE)</f>
        <v>912</v>
      </c>
      <c r="E644" s="67" t="s">
        <v>363</v>
      </c>
      <c r="F644" s="67"/>
      <c r="G644" s="68" t="s">
        <v>641</v>
      </c>
    </row>
    <row r="645" spans="2:7" x14ac:dyDescent="0.15">
      <c r="B645" s="299" t="s">
        <v>361</v>
      </c>
      <c r="C645" s="69" t="s">
        <v>640</v>
      </c>
      <c r="D645" s="70">
        <f>VLOOKUP(C645,基本字段定义!$B$3:$C$3013,2,FALSE)</f>
        <v>912</v>
      </c>
      <c r="E645" s="71" t="s">
        <v>365</v>
      </c>
      <c r="F645" s="71"/>
      <c r="G645" s="72" t="s">
        <v>641</v>
      </c>
    </row>
    <row r="646" spans="2:7" x14ac:dyDescent="0.15">
      <c r="B646" s="299"/>
      <c r="C646" s="69" t="s">
        <v>548</v>
      </c>
      <c r="D646" s="70">
        <f>VLOOKUP(C646,基本字段定义!$B$3:$C$3013,2,FALSE)</f>
        <v>716</v>
      </c>
      <c r="E646" s="71" t="s">
        <v>365</v>
      </c>
      <c r="F646" s="71"/>
      <c r="G646" s="73" t="s">
        <v>555</v>
      </c>
    </row>
    <row r="647" spans="2:7" x14ac:dyDescent="0.15">
      <c r="B647" s="299"/>
      <c r="C647" s="69" t="s">
        <v>382</v>
      </c>
      <c r="D647" s="70">
        <f>VLOOKUP(C647,基本字段定义!$B$3:$C$3013,2,FALSE)</f>
        <v>1257</v>
      </c>
      <c r="E647" s="71" t="s">
        <v>365</v>
      </c>
      <c r="F647" s="71"/>
      <c r="G647" s="73" t="s">
        <v>630</v>
      </c>
    </row>
    <row r="648" spans="2:7" x14ac:dyDescent="0.15">
      <c r="B648" s="299"/>
      <c r="C648" s="69" t="s">
        <v>653</v>
      </c>
      <c r="D648" s="70">
        <f>VLOOKUP(C648,基本字段定义!$B$3:$C$3013,2,FALSE)</f>
        <v>1159</v>
      </c>
      <c r="E648" s="71" t="s">
        <v>365</v>
      </c>
      <c r="F648" s="71"/>
      <c r="G648" s="73" t="s">
        <v>632</v>
      </c>
    </row>
    <row r="649" spans="2:7" x14ac:dyDescent="0.15">
      <c r="B649" s="299"/>
      <c r="C649" s="69" t="s">
        <v>550</v>
      </c>
      <c r="D649" s="70">
        <f>VLOOKUP(C649,基本字段定义!$B$3:$C$3013,2,FALSE)</f>
        <v>511</v>
      </c>
      <c r="E649" s="71" t="s">
        <v>365</v>
      </c>
      <c r="F649" s="71"/>
      <c r="G649" s="73" t="s">
        <v>551</v>
      </c>
    </row>
    <row r="650" spans="2:7" ht="25.5" x14ac:dyDescent="0.15">
      <c r="B650" s="299"/>
      <c r="C650" s="69" t="s">
        <v>654</v>
      </c>
      <c r="D650" s="70">
        <f>VLOOKUP(C650,基本字段定义!$B$3:$C$3013,2,FALSE)</f>
        <v>695</v>
      </c>
      <c r="E650" s="71" t="s">
        <v>363</v>
      </c>
      <c r="F650" s="71"/>
      <c r="G650" s="74" t="s">
        <v>655</v>
      </c>
    </row>
    <row r="651" spans="2:7" x14ac:dyDescent="0.15">
      <c r="B651" s="299"/>
      <c r="C651" s="69" t="s">
        <v>608</v>
      </c>
      <c r="D651" s="70">
        <f>VLOOKUP(C651,基本字段定义!$B$3:$C$3013,2,FALSE)</f>
        <v>808</v>
      </c>
      <c r="E651" s="71" t="s">
        <v>563</v>
      </c>
      <c r="F651" s="71"/>
      <c r="G651" s="73" t="s">
        <v>642</v>
      </c>
    </row>
    <row r="652" spans="2:7" x14ac:dyDescent="0.15">
      <c r="B652" s="299"/>
      <c r="C652" s="69" t="s">
        <v>627</v>
      </c>
      <c r="D652" s="70">
        <f>VLOOKUP(C652,基本字段定义!$B$3:$C$3013,2,FALSE)</f>
        <v>501</v>
      </c>
      <c r="E652" s="71" t="s">
        <v>563</v>
      </c>
      <c r="F652" s="71"/>
      <c r="G652" s="73" t="s">
        <v>656</v>
      </c>
    </row>
    <row r="653" spans="2:7" x14ac:dyDescent="0.15">
      <c r="B653" s="299"/>
      <c r="C653" s="69" t="s">
        <v>657</v>
      </c>
      <c r="D653" s="70">
        <f>VLOOKUP(C653,基本字段定义!$B$3:$C$3013,2,FALSE)</f>
        <v>1981</v>
      </c>
      <c r="E653" s="71" t="s">
        <v>365</v>
      </c>
      <c r="F653" s="71"/>
      <c r="G653" s="73" t="s">
        <v>658</v>
      </c>
    </row>
    <row r="654" spans="2:7" x14ac:dyDescent="0.15">
      <c r="B654" s="299"/>
      <c r="C654" s="69" t="s">
        <v>659</v>
      </c>
      <c r="D654" s="70">
        <f>VLOOKUP(C654,基本字段定义!$B$3:$C$3013,2,FALSE)</f>
        <v>880</v>
      </c>
      <c r="E654" s="71" t="s">
        <v>363</v>
      </c>
      <c r="F654" s="71"/>
      <c r="G654" s="73" t="s">
        <v>660</v>
      </c>
    </row>
    <row r="655" spans="2:7" x14ac:dyDescent="0.15">
      <c r="B655" s="299"/>
      <c r="C655" s="69" t="s">
        <v>661</v>
      </c>
      <c r="D655" s="70">
        <f>VLOOKUP(C655,基本字段定义!$B$3:$C$3013,2,FALSE)</f>
        <v>830</v>
      </c>
      <c r="E655" s="71" t="s">
        <v>365</v>
      </c>
      <c r="F655" s="71"/>
      <c r="G655" s="73" t="s">
        <v>662</v>
      </c>
    </row>
    <row r="656" spans="2:7" x14ac:dyDescent="0.15">
      <c r="B656" s="299"/>
      <c r="C656" s="69" t="s">
        <v>663</v>
      </c>
      <c r="D656" s="70">
        <f>VLOOKUP(C656,基本字段定义!$B$3:$C$3013,2,FALSE)</f>
        <v>926</v>
      </c>
      <c r="E656" s="71" t="s">
        <v>363</v>
      </c>
      <c r="F656" s="71"/>
      <c r="G656" s="73" t="s">
        <v>664</v>
      </c>
    </row>
    <row r="657" spans="2:7" ht="14.25" thickBot="1" x14ac:dyDescent="0.2">
      <c r="B657" s="304"/>
      <c r="C657" s="75"/>
      <c r="D657" s="83"/>
      <c r="E657" s="77"/>
      <c r="F657" s="77"/>
      <c r="G657" s="78"/>
    </row>
    <row r="659" spans="2:7" x14ac:dyDescent="0.15">
      <c r="B659" s="57" t="s">
        <v>163</v>
      </c>
      <c r="C659" s="84">
        <v>303112</v>
      </c>
      <c r="D659" s="85"/>
      <c r="E659" s="86"/>
      <c r="F659" s="58" t="s">
        <v>352</v>
      </c>
      <c r="G659" s="59"/>
    </row>
    <row r="660" spans="2:7" x14ac:dyDescent="0.15">
      <c r="B660" s="60" t="s">
        <v>353</v>
      </c>
      <c r="C660" s="87" t="str">
        <f>VLOOKUP(C659,功能索引!$C$3:$D$278,2,FALSE)</f>
        <v>银行发起银证业务查询</v>
      </c>
      <c r="D660" s="88"/>
      <c r="E660" s="89"/>
      <c r="F660" s="61" t="s">
        <v>165</v>
      </c>
      <c r="G660" s="62" t="str">
        <f>VLOOKUP(C659,功能索引!$C$3:$E1021,3,FALSE)</f>
        <v>Y</v>
      </c>
    </row>
    <row r="661" spans="2:7" ht="25.5" x14ac:dyDescent="0.15">
      <c r="B661" s="299" t="s">
        <v>354</v>
      </c>
      <c r="C661" s="99" t="s">
        <v>665</v>
      </c>
      <c r="D661" s="100"/>
      <c r="E661" s="100"/>
      <c r="F661" s="100"/>
      <c r="G661" s="101"/>
    </row>
    <row r="662" spans="2:7" ht="13.5" customHeight="1" thickBot="1" x14ac:dyDescent="0.2">
      <c r="B662" s="304"/>
      <c r="C662" s="111"/>
      <c r="D662" s="112"/>
      <c r="E662" s="112"/>
      <c r="F662" s="112"/>
      <c r="G662" s="113"/>
    </row>
    <row r="663" spans="2:7" x14ac:dyDescent="0.15">
      <c r="B663" s="57" t="s">
        <v>355</v>
      </c>
      <c r="C663" s="58" t="s">
        <v>356</v>
      </c>
      <c r="D663" s="58" t="s">
        <v>357</v>
      </c>
      <c r="E663" s="58" t="s">
        <v>358</v>
      </c>
      <c r="F663" s="58" t="s">
        <v>359</v>
      </c>
      <c r="G663" s="64" t="s">
        <v>360</v>
      </c>
    </row>
    <row r="664" spans="2:7" x14ac:dyDescent="0.15">
      <c r="B664" s="60"/>
      <c r="C664" s="65" t="s">
        <v>428</v>
      </c>
      <c r="D664" s="66">
        <f>VLOOKUP(C664,基本字段定义!$B$3:$C$3013,2,FALSE)</f>
        <v>605</v>
      </c>
      <c r="E664" s="67" t="s">
        <v>429</v>
      </c>
      <c r="F664" s="67" t="s">
        <v>169</v>
      </c>
      <c r="G664" s="68" t="s">
        <v>430</v>
      </c>
    </row>
    <row r="665" spans="2:7" x14ac:dyDescent="0.15">
      <c r="B665" s="60" t="s">
        <v>361</v>
      </c>
      <c r="C665" s="69" t="s">
        <v>387</v>
      </c>
      <c r="D665" s="70">
        <f>VLOOKUP(C665,基本字段定义!$B$3:$C$3013,2,FALSE)</f>
        <v>599</v>
      </c>
      <c r="E665" s="71" t="s">
        <v>365</v>
      </c>
      <c r="F665" s="71"/>
      <c r="G665" s="72" t="s">
        <v>389</v>
      </c>
    </row>
    <row r="666" spans="2:7" x14ac:dyDescent="0.15">
      <c r="B666" s="60"/>
      <c r="C666" s="69" t="s">
        <v>666</v>
      </c>
      <c r="D666" s="70">
        <f>VLOOKUP(C666,基本字段定义!$B$3:$C$3013,2,FALSE)</f>
        <v>719</v>
      </c>
      <c r="E666" s="71" t="s">
        <v>365</v>
      </c>
      <c r="F666" s="71"/>
      <c r="G666" s="73" t="s">
        <v>667</v>
      </c>
    </row>
    <row r="667" spans="2:7" x14ac:dyDescent="0.15">
      <c r="B667" s="60"/>
      <c r="C667" s="69" t="s">
        <v>668</v>
      </c>
      <c r="D667" s="70">
        <f>VLOOKUP(C667,基本字段定义!$B$3:$C$3013,2,FALSE)</f>
        <v>1516</v>
      </c>
      <c r="E667" s="71" t="s">
        <v>563</v>
      </c>
      <c r="F667" s="71"/>
      <c r="G667" s="73" t="s">
        <v>669</v>
      </c>
    </row>
    <row r="668" spans="2:7" x14ac:dyDescent="0.15">
      <c r="B668" s="60"/>
      <c r="C668" s="69" t="s">
        <v>670</v>
      </c>
      <c r="D668" s="70">
        <f>VLOOKUP(C668,基本字段定义!$B$3:$C$3013,2,FALSE)</f>
        <v>1504</v>
      </c>
      <c r="E668" s="71" t="s">
        <v>563</v>
      </c>
      <c r="F668" s="71"/>
      <c r="G668" s="73" t="s">
        <v>671</v>
      </c>
    </row>
    <row r="669" spans="2:7" x14ac:dyDescent="0.15">
      <c r="B669" s="60"/>
      <c r="C669" s="69" t="s">
        <v>672</v>
      </c>
      <c r="D669" s="70">
        <f>VLOOKUP(C669,基本字段定义!$B$3:$C$3013,2,FALSE)</f>
        <v>1514</v>
      </c>
      <c r="E669" s="71" t="s">
        <v>365</v>
      </c>
      <c r="F669" s="71"/>
      <c r="G669" s="73" t="s">
        <v>673</v>
      </c>
    </row>
    <row r="670" spans="2:7" x14ac:dyDescent="0.15">
      <c r="B670" s="60"/>
      <c r="C670" s="69" t="s">
        <v>674</v>
      </c>
      <c r="D670" s="70">
        <f>VLOOKUP(C670,基本字段定义!$B$3:$C$3013,2,FALSE)</f>
        <v>1502</v>
      </c>
      <c r="E670" s="71" t="s">
        <v>365</v>
      </c>
      <c r="F670" s="71"/>
      <c r="G670" s="73" t="s">
        <v>675</v>
      </c>
    </row>
    <row r="671" spans="2:7" ht="14.25" thickBot="1" x14ac:dyDescent="0.2">
      <c r="B671" s="63"/>
      <c r="C671" s="75"/>
      <c r="D671" s="83"/>
      <c r="E671" s="77"/>
      <c r="F671" s="77"/>
      <c r="G671" s="78"/>
    </row>
    <row r="673" spans="1:7" x14ac:dyDescent="0.15">
      <c r="B673" s="57" t="s">
        <v>163</v>
      </c>
      <c r="C673" s="84">
        <v>303016</v>
      </c>
      <c r="D673" s="85"/>
      <c r="E673" s="86"/>
      <c r="F673" s="58" t="s">
        <v>352</v>
      </c>
      <c r="G673" s="59"/>
    </row>
    <row r="674" spans="1:7" x14ac:dyDescent="0.15">
      <c r="B674" s="60" t="s">
        <v>353</v>
      </c>
      <c r="C674" s="87" t="str">
        <f>VLOOKUP(C673,功能索引!$C$3:$D$278,2,FALSE)</f>
        <v>查询客户存取授权流水</v>
      </c>
      <c r="D674" s="88"/>
      <c r="E674" s="89"/>
      <c r="F674" s="61" t="s">
        <v>165</v>
      </c>
      <c r="G674" s="62" t="str">
        <f>VLOOKUP(C673,功能索引!$C$3:$E1033,3,FALSE)</f>
        <v>Y</v>
      </c>
    </row>
    <row r="675" spans="1:7" x14ac:dyDescent="0.15">
      <c r="B675" s="299" t="s">
        <v>354</v>
      </c>
      <c r="C675" s="99"/>
      <c r="D675" s="100"/>
      <c r="E675" s="100"/>
      <c r="F675" s="100"/>
      <c r="G675" s="101"/>
    </row>
    <row r="676" spans="1:7" ht="14.25" thickBot="1" x14ac:dyDescent="0.2">
      <c r="B676" s="304"/>
      <c r="C676" s="102"/>
      <c r="D676" s="103"/>
      <c r="E676" s="103"/>
      <c r="F676" s="103"/>
      <c r="G676" s="104"/>
    </row>
    <row r="677" spans="1:7" x14ac:dyDescent="0.15">
      <c r="B677" s="298" t="s">
        <v>355</v>
      </c>
      <c r="C677" s="58" t="s">
        <v>356</v>
      </c>
      <c r="D677" s="58" t="s">
        <v>357</v>
      </c>
      <c r="E677" s="58" t="s">
        <v>358</v>
      </c>
      <c r="F677" s="58" t="s">
        <v>359</v>
      </c>
      <c r="G677" s="64" t="s">
        <v>360</v>
      </c>
    </row>
    <row r="678" spans="1:7" x14ac:dyDescent="0.15">
      <c r="B678" s="306"/>
      <c r="C678" s="65" t="s">
        <v>548</v>
      </c>
      <c r="D678" s="66">
        <f>VLOOKUP(C678,基本字段定义!$B$3:$C$3013,2,FALSE)</f>
        <v>716</v>
      </c>
      <c r="E678" s="67" t="s">
        <v>579</v>
      </c>
      <c r="F678" s="67"/>
      <c r="G678" s="68" t="s">
        <v>676</v>
      </c>
    </row>
    <row r="679" spans="1:7" x14ac:dyDescent="0.15">
      <c r="A679" s="114"/>
      <c r="B679" s="306"/>
      <c r="C679" s="65" t="s">
        <v>428</v>
      </c>
      <c r="D679" s="66">
        <f>VLOOKUP(C679,基本字段定义!$B$3:$C$3013,2,FALSE)</f>
        <v>605</v>
      </c>
      <c r="E679" s="67" t="s">
        <v>429</v>
      </c>
      <c r="F679" s="67" t="s">
        <v>169</v>
      </c>
      <c r="G679" s="68" t="s">
        <v>430</v>
      </c>
    </row>
    <row r="680" spans="1:7" x14ac:dyDescent="0.15">
      <c r="A680" s="114"/>
      <c r="B680" s="306"/>
      <c r="C680" s="65" t="s">
        <v>550</v>
      </c>
      <c r="D680" s="66">
        <f>VLOOKUP(C680,基本字段定义!$B$3:$C$3013,2,FALSE)</f>
        <v>511</v>
      </c>
      <c r="E680" s="67" t="s">
        <v>553</v>
      </c>
      <c r="F680" s="67"/>
      <c r="G680" s="68" t="s">
        <v>551</v>
      </c>
    </row>
    <row r="681" spans="1:7" x14ac:dyDescent="0.15">
      <c r="B681" s="299"/>
      <c r="C681" s="65" t="s">
        <v>595</v>
      </c>
      <c r="D681" s="66">
        <f>VLOOKUP(C681,基本字段定义!$B$3:$C$3013,2,FALSE)</f>
        <v>1458</v>
      </c>
      <c r="E681" s="67" t="s">
        <v>424</v>
      </c>
      <c r="F681" s="67"/>
      <c r="G681" s="68" t="s">
        <v>677</v>
      </c>
    </row>
    <row r="682" spans="1:7" x14ac:dyDescent="0.15">
      <c r="B682" s="299" t="s">
        <v>361</v>
      </c>
      <c r="C682" s="69" t="s">
        <v>548</v>
      </c>
      <c r="D682" s="70">
        <f>VLOOKUP(C682,基本字段定义!$B$3:$C$3013,2,FALSE)</f>
        <v>716</v>
      </c>
      <c r="E682" s="71" t="s">
        <v>365</v>
      </c>
      <c r="F682" s="71"/>
      <c r="G682" s="72" t="s">
        <v>676</v>
      </c>
    </row>
    <row r="683" spans="1:7" x14ac:dyDescent="0.15">
      <c r="B683" s="299"/>
      <c r="C683" s="69" t="s">
        <v>550</v>
      </c>
      <c r="D683" s="70">
        <f>VLOOKUP(C683,基本字段定义!$B$3:$C$3013,2,FALSE)</f>
        <v>511</v>
      </c>
      <c r="E683" s="71" t="s">
        <v>365</v>
      </c>
      <c r="F683" s="71"/>
      <c r="G683" s="73" t="s">
        <v>551</v>
      </c>
    </row>
    <row r="684" spans="1:7" x14ac:dyDescent="0.15">
      <c r="B684" s="299"/>
      <c r="C684" s="69" t="s">
        <v>678</v>
      </c>
      <c r="D684" s="70">
        <f>VLOOKUP(C684,基本字段定义!$B$3:$C$3013,2,FALSE)</f>
        <v>1980</v>
      </c>
      <c r="E684" s="71" t="s">
        <v>424</v>
      </c>
      <c r="F684" s="71"/>
      <c r="G684" s="73" t="s">
        <v>679</v>
      </c>
    </row>
    <row r="685" spans="1:7" x14ac:dyDescent="0.15">
      <c r="B685" s="299"/>
      <c r="C685" s="69" t="s">
        <v>595</v>
      </c>
      <c r="D685" s="70">
        <f>VLOOKUP(C685,基本字段定义!$B$3:$C$3013,2,FALSE)</f>
        <v>1458</v>
      </c>
      <c r="E685" s="71" t="s">
        <v>424</v>
      </c>
      <c r="F685" s="71"/>
      <c r="G685" s="73" t="s">
        <v>677</v>
      </c>
    </row>
    <row r="686" spans="1:7" x14ac:dyDescent="0.15">
      <c r="B686" s="299"/>
      <c r="C686" s="69" t="s">
        <v>680</v>
      </c>
      <c r="D686" s="70">
        <f>VLOOKUP(C686,基本字段定义!$B$3:$C$3013,2,FALSE)</f>
        <v>743</v>
      </c>
      <c r="E686" s="71" t="s">
        <v>365</v>
      </c>
      <c r="F686" s="71"/>
      <c r="G686" s="73" t="s">
        <v>681</v>
      </c>
    </row>
    <row r="687" spans="1:7" x14ac:dyDescent="0.15">
      <c r="B687" s="299"/>
      <c r="C687" s="69" t="s">
        <v>593</v>
      </c>
      <c r="D687" s="70">
        <f>VLOOKUP(C687,基本字段定义!$B$3:$C$3013,2,FALSE)</f>
        <v>746</v>
      </c>
      <c r="E687" s="71" t="s">
        <v>365</v>
      </c>
      <c r="F687" s="71"/>
      <c r="G687" s="73" t="s">
        <v>682</v>
      </c>
    </row>
    <row r="688" spans="1:7" x14ac:dyDescent="0.15">
      <c r="B688" s="299"/>
      <c r="C688" s="69" t="s">
        <v>582</v>
      </c>
      <c r="D688" s="70">
        <f>VLOOKUP(C688,基本字段定义!$B$3:$C$3013,2,FALSE)</f>
        <v>692</v>
      </c>
      <c r="E688" s="71" t="s">
        <v>365</v>
      </c>
      <c r="F688" s="71"/>
      <c r="G688" s="73" t="s">
        <v>630</v>
      </c>
    </row>
    <row r="689" spans="2:7" ht="14.25" thickBot="1" x14ac:dyDescent="0.2">
      <c r="B689" s="304"/>
      <c r="C689" s="75"/>
      <c r="D689" s="83"/>
      <c r="E689" s="77"/>
      <c r="F689" s="77"/>
      <c r="G689" s="78" t="s">
        <v>630</v>
      </c>
    </row>
    <row r="691" spans="2:7" x14ac:dyDescent="0.15">
      <c r="B691" s="57" t="s">
        <v>163</v>
      </c>
      <c r="C691" s="84">
        <v>104101</v>
      </c>
      <c r="D691" s="85"/>
      <c r="E691" s="86"/>
      <c r="F691" s="58" t="s">
        <v>352</v>
      </c>
      <c r="G691" s="59"/>
    </row>
    <row r="692" spans="2:7" x14ac:dyDescent="0.15">
      <c r="B692" s="60" t="s">
        <v>353</v>
      </c>
      <c r="C692" s="87" t="str">
        <f>VLOOKUP(C691,功能索引!$C$3:$D$278,2,FALSE)</f>
        <v>证券行情查询</v>
      </c>
      <c r="D692" s="88"/>
      <c r="E692" s="89"/>
      <c r="F692" s="61" t="s">
        <v>165</v>
      </c>
      <c r="G692" s="62">
        <f>VLOOKUP(C691,功能索引!$C$3:$E1039,3,FALSE)</f>
        <v>0</v>
      </c>
    </row>
    <row r="693" spans="2:7" x14ac:dyDescent="0.15">
      <c r="B693" s="299" t="s">
        <v>354</v>
      </c>
      <c r="C693" s="99"/>
      <c r="D693" s="100"/>
      <c r="E693" s="100"/>
      <c r="F693" s="100"/>
      <c r="G693" s="101"/>
    </row>
    <row r="694" spans="2:7" ht="14.25" thickBot="1" x14ac:dyDescent="0.2">
      <c r="B694" s="304"/>
      <c r="C694" s="102"/>
      <c r="D694" s="103"/>
      <c r="E694" s="103"/>
      <c r="F694" s="103"/>
      <c r="G694" s="104"/>
    </row>
    <row r="695" spans="2:7" x14ac:dyDescent="0.15">
      <c r="B695" s="298" t="s">
        <v>355</v>
      </c>
      <c r="C695" s="58" t="s">
        <v>356</v>
      </c>
      <c r="D695" s="58" t="s">
        <v>357</v>
      </c>
      <c r="E695" s="58" t="s">
        <v>358</v>
      </c>
      <c r="F695" s="58" t="s">
        <v>359</v>
      </c>
      <c r="G695" s="64" t="s">
        <v>360</v>
      </c>
    </row>
    <row r="696" spans="2:7" x14ac:dyDescent="0.15">
      <c r="B696" s="299"/>
      <c r="C696" s="65" t="s">
        <v>666</v>
      </c>
      <c r="D696" s="66">
        <f>VLOOKUP(C696,基本字段定义!$B$3:$C$3013,2,FALSE)</f>
        <v>719</v>
      </c>
      <c r="E696" s="67" t="s">
        <v>506</v>
      </c>
      <c r="F696" s="67" t="s">
        <v>169</v>
      </c>
      <c r="G696" s="68" t="s">
        <v>683</v>
      </c>
    </row>
    <row r="697" spans="2:7" x14ac:dyDescent="0.15">
      <c r="B697" s="299"/>
      <c r="C697" s="65" t="s">
        <v>387</v>
      </c>
      <c r="D697" s="66">
        <f>VLOOKUP(C697,基本字段定义!$B$3:$C$3013,2,FALSE)</f>
        <v>599</v>
      </c>
      <c r="E697" s="67" t="s">
        <v>388</v>
      </c>
      <c r="F697" s="67"/>
      <c r="G697" s="68" t="s">
        <v>684</v>
      </c>
    </row>
    <row r="698" spans="2:7" x14ac:dyDescent="0.15">
      <c r="B698" s="300" t="s">
        <v>361</v>
      </c>
      <c r="C698" s="69" t="s">
        <v>387</v>
      </c>
      <c r="D698" s="70">
        <f>VLOOKUP(C698,基本字段定义!$B$3:$C$3013,2,FALSE)</f>
        <v>599</v>
      </c>
      <c r="E698" s="71" t="s">
        <v>365</v>
      </c>
      <c r="F698" s="71"/>
      <c r="G698" s="73" t="s">
        <v>389</v>
      </c>
    </row>
    <row r="699" spans="2:7" x14ac:dyDescent="0.15">
      <c r="B699" s="301"/>
      <c r="C699" s="69" t="s">
        <v>685</v>
      </c>
      <c r="D699" s="70">
        <f>VLOOKUP(C699,基本字段定义!$B$3:$C$3013,2,FALSE)</f>
        <v>722</v>
      </c>
      <c r="E699" s="71" t="s">
        <v>365</v>
      </c>
      <c r="F699" s="71"/>
      <c r="G699" s="73" t="s">
        <v>686</v>
      </c>
    </row>
    <row r="700" spans="2:7" x14ac:dyDescent="0.15">
      <c r="B700" s="301"/>
      <c r="C700" s="69" t="s">
        <v>550</v>
      </c>
      <c r="D700" s="70">
        <f>VLOOKUP(C700,基本字段定义!$B$3:$C$3013,2,FALSE)</f>
        <v>511</v>
      </c>
      <c r="E700" s="71" t="s">
        <v>365</v>
      </c>
      <c r="F700" s="71"/>
      <c r="G700" s="73" t="s">
        <v>551</v>
      </c>
    </row>
    <row r="701" spans="2:7" x14ac:dyDescent="0.15">
      <c r="B701" s="301"/>
      <c r="C701" s="69" t="s">
        <v>687</v>
      </c>
      <c r="D701" s="70">
        <f>VLOOKUP(C701,基本字段定义!$B$3:$C$3013,2,FALSE)</f>
        <v>591</v>
      </c>
      <c r="E701" s="71" t="s">
        <v>363</v>
      </c>
      <c r="F701" s="71"/>
      <c r="G701" s="73" t="s">
        <v>688</v>
      </c>
    </row>
    <row r="702" spans="2:7" x14ac:dyDescent="0.15">
      <c r="B702" s="301"/>
      <c r="C702" s="69" t="s">
        <v>689</v>
      </c>
      <c r="D702" s="70">
        <f>VLOOKUP(C702,基本字段定义!$B$3:$C$3013,2,FALSE)</f>
        <v>860</v>
      </c>
      <c r="E702" s="71" t="s">
        <v>500</v>
      </c>
      <c r="F702" s="71"/>
      <c r="G702" s="72" t="s">
        <v>690</v>
      </c>
    </row>
    <row r="703" spans="2:7" x14ac:dyDescent="0.15">
      <c r="B703" s="301"/>
      <c r="C703" s="69" t="s">
        <v>691</v>
      </c>
      <c r="D703" s="70">
        <f>VLOOKUP(C703,基本字段定义!$B$3:$C$3013,2,FALSE)</f>
        <v>729</v>
      </c>
      <c r="E703" s="71" t="s">
        <v>563</v>
      </c>
      <c r="F703" s="71"/>
      <c r="G703" s="73" t="s">
        <v>692</v>
      </c>
    </row>
    <row r="704" spans="2:7" x14ac:dyDescent="0.15">
      <c r="B704" s="301"/>
      <c r="C704" s="69" t="s">
        <v>693</v>
      </c>
      <c r="D704" s="70">
        <f>VLOOKUP(C704,基本字段定义!$B$3:$C$3013,2,FALSE)</f>
        <v>726</v>
      </c>
      <c r="E704" s="71" t="s">
        <v>563</v>
      </c>
      <c r="F704" s="71"/>
      <c r="G704" s="73" t="s">
        <v>694</v>
      </c>
    </row>
    <row r="705" spans="2:7" x14ac:dyDescent="0.15">
      <c r="B705" s="301"/>
      <c r="C705" s="69" t="s">
        <v>695</v>
      </c>
      <c r="D705" s="70">
        <f>VLOOKUP(C705,基本字段定义!$B$3:$C$3013,2,FALSE)</f>
        <v>587</v>
      </c>
      <c r="E705" s="71" t="s">
        <v>563</v>
      </c>
      <c r="F705" s="71"/>
      <c r="G705" s="73" t="s">
        <v>696</v>
      </c>
    </row>
    <row r="706" spans="2:7" x14ac:dyDescent="0.15">
      <c r="B706" s="301"/>
      <c r="C706" s="69" t="s">
        <v>697</v>
      </c>
      <c r="D706" s="70">
        <f>VLOOKUP(C706,基本字段定义!$B$3:$C$3013,2,FALSE)</f>
        <v>594</v>
      </c>
      <c r="E706" s="71" t="s">
        <v>363</v>
      </c>
      <c r="F706" s="71"/>
      <c r="G706" s="73" t="s">
        <v>698</v>
      </c>
    </row>
    <row r="707" spans="2:7" x14ac:dyDescent="0.15">
      <c r="B707" s="301"/>
      <c r="C707" s="69" t="s">
        <v>699</v>
      </c>
      <c r="D707" s="70">
        <f>VLOOKUP(C707,基本字段定义!$B$3:$C$3013,2,FALSE)</f>
        <v>1693</v>
      </c>
      <c r="E707" s="71" t="s">
        <v>363</v>
      </c>
      <c r="F707" s="71"/>
      <c r="G707" s="73" t="s">
        <v>700</v>
      </c>
    </row>
    <row r="708" spans="2:7" x14ac:dyDescent="0.15">
      <c r="B708" s="301"/>
      <c r="C708" s="69" t="s">
        <v>701</v>
      </c>
      <c r="D708" s="70">
        <f>VLOOKUP(C708,基本字段定义!$B$3:$C$3013,2,FALSE)</f>
        <v>961</v>
      </c>
      <c r="E708" s="71" t="s">
        <v>563</v>
      </c>
      <c r="F708" s="71"/>
      <c r="G708" s="73" t="s">
        <v>702</v>
      </c>
    </row>
    <row r="709" spans="2:7" x14ac:dyDescent="0.15">
      <c r="B709" s="301"/>
      <c r="C709" s="69" t="s">
        <v>703</v>
      </c>
      <c r="D709" s="70">
        <f>VLOOKUP(C709,基本字段定义!$B$3:$C$3013,2,FALSE)</f>
        <v>703</v>
      </c>
      <c r="E709" s="71" t="s">
        <v>563</v>
      </c>
      <c r="F709" s="71"/>
      <c r="G709" s="73" t="s">
        <v>704</v>
      </c>
    </row>
    <row r="710" spans="2:7" x14ac:dyDescent="0.15">
      <c r="B710" s="301"/>
      <c r="C710" s="69" t="s">
        <v>705</v>
      </c>
      <c r="D710" s="70">
        <f>VLOOKUP(C710,基本字段定义!$B$3:$C$3013,2,FALSE)</f>
        <v>706</v>
      </c>
      <c r="E710" s="71" t="s">
        <v>563</v>
      </c>
      <c r="F710" s="71"/>
      <c r="G710" s="73" t="s">
        <v>706</v>
      </c>
    </row>
    <row r="711" spans="2:7" x14ac:dyDescent="0.15">
      <c r="B711" s="301"/>
      <c r="C711" s="69" t="s">
        <v>707</v>
      </c>
      <c r="D711" s="70">
        <f>VLOOKUP(C711,基本字段定义!$B$3:$C$3013,2,FALSE)</f>
        <v>528</v>
      </c>
      <c r="E711" s="71" t="s">
        <v>363</v>
      </c>
      <c r="F711" s="71"/>
      <c r="G711" s="73" t="s">
        <v>708</v>
      </c>
    </row>
    <row r="712" spans="2:7" x14ac:dyDescent="0.15">
      <c r="B712" s="301"/>
      <c r="C712" s="69" t="s">
        <v>709</v>
      </c>
      <c r="D712" s="70">
        <f>VLOOKUP(C712,基本字段定义!$B$3:$C$3013,2,FALSE)</f>
        <v>524</v>
      </c>
      <c r="E712" s="71" t="s">
        <v>563</v>
      </c>
      <c r="F712" s="71"/>
      <c r="G712" s="73" t="s">
        <v>710</v>
      </c>
    </row>
    <row r="713" spans="2:7" x14ac:dyDescent="0.15">
      <c r="B713" s="301"/>
      <c r="C713" s="69" t="s">
        <v>711</v>
      </c>
      <c r="D713" s="70">
        <f>VLOOKUP(C713,基本字段定义!$B$3:$C$3013,2,FALSE)</f>
        <v>1031</v>
      </c>
      <c r="E713" s="71" t="s">
        <v>563</v>
      </c>
      <c r="F713" s="71"/>
      <c r="G713" s="73" t="s">
        <v>712</v>
      </c>
    </row>
    <row r="714" spans="2:7" x14ac:dyDescent="0.15">
      <c r="B714" s="301"/>
      <c r="C714" s="69" t="s">
        <v>713</v>
      </c>
      <c r="D714" s="70">
        <f>VLOOKUP(C714,基本字段定义!$B$3:$C$3013,2,FALSE)</f>
        <v>842</v>
      </c>
      <c r="E714" s="71" t="s">
        <v>563</v>
      </c>
      <c r="F714" s="71"/>
      <c r="G714" s="73" t="s">
        <v>714</v>
      </c>
    </row>
    <row r="715" spans="2:7" x14ac:dyDescent="0.15">
      <c r="B715" s="301"/>
      <c r="C715" s="69" t="s">
        <v>715</v>
      </c>
      <c r="D715" s="70">
        <f>VLOOKUP(C715,基本字段定义!$B$3:$C$3013,2,FALSE)</f>
        <v>844</v>
      </c>
      <c r="E715" s="71" t="s">
        <v>563</v>
      </c>
      <c r="F715" s="71"/>
      <c r="G715" s="73" t="s">
        <v>716</v>
      </c>
    </row>
    <row r="716" spans="2:7" x14ac:dyDescent="0.15">
      <c r="B716" s="301"/>
      <c r="C716" s="69" t="s">
        <v>717</v>
      </c>
      <c r="D716" s="70">
        <f>VLOOKUP(C716,基本字段定义!$B$3:$C$3013,2,FALSE)</f>
        <v>846</v>
      </c>
      <c r="E716" s="71" t="s">
        <v>563</v>
      </c>
      <c r="F716" s="71"/>
      <c r="G716" s="73" t="s">
        <v>718</v>
      </c>
    </row>
    <row r="717" spans="2:7" x14ac:dyDescent="0.15">
      <c r="B717" s="301"/>
      <c r="C717" s="69" t="s">
        <v>719</v>
      </c>
      <c r="D717" s="70">
        <f>VLOOKUP(C717,基本字段定义!$B$3:$C$3013,2,FALSE)</f>
        <v>848</v>
      </c>
      <c r="E717" s="71" t="s">
        <v>563</v>
      </c>
      <c r="F717" s="71"/>
      <c r="G717" s="73" t="s">
        <v>720</v>
      </c>
    </row>
    <row r="718" spans="2:7" x14ac:dyDescent="0.15">
      <c r="B718" s="301"/>
      <c r="C718" s="69" t="s">
        <v>721</v>
      </c>
      <c r="D718" s="70">
        <f>VLOOKUP(C718,基本字段定义!$B$3:$C$3013,2,FALSE)</f>
        <v>1357</v>
      </c>
      <c r="E718" s="71" t="s">
        <v>563</v>
      </c>
      <c r="F718" s="71"/>
      <c r="G718" s="73" t="s">
        <v>722</v>
      </c>
    </row>
    <row r="719" spans="2:7" x14ac:dyDescent="0.15">
      <c r="B719" s="301"/>
      <c r="C719" s="69" t="s">
        <v>723</v>
      </c>
      <c r="D719" s="70">
        <f>VLOOKUP(C719,基本字段定义!$B$3:$C$3013,2,FALSE)</f>
        <v>850</v>
      </c>
      <c r="E719" s="71" t="s">
        <v>563</v>
      </c>
      <c r="F719" s="71"/>
      <c r="G719" s="73" t="s">
        <v>724</v>
      </c>
    </row>
    <row r="720" spans="2:7" x14ac:dyDescent="0.15">
      <c r="B720" s="301"/>
      <c r="C720" s="69" t="s">
        <v>725</v>
      </c>
      <c r="D720" s="70">
        <f>VLOOKUP(C720,基本字段定义!$B$3:$C$3013,2,FALSE)</f>
        <v>852</v>
      </c>
      <c r="E720" s="71" t="s">
        <v>563</v>
      </c>
      <c r="F720" s="71"/>
      <c r="G720" s="73" t="s">
        <v>726</v>
      </c>
    </row>
    <row r="721" spans="2:7" x14ac:dyDescent="0.15">
      <c r="B721" s="301"/>
      <c r="C721" s="69" t="s">
        <v>727</v>
      </c>
      <c r="D721" s="70">
        <f>VLOOKUP(C721,基本字段定义!$B$3:$C$3013,2,FALSE)</f>
        <v>854</v>
      </c>
      <c r="E721" s="71" t="s">
        <v>563</v>
      </c>
      <c r="F721" s="71"/>
      <c r="G721" s="73" t="s">
        <v>728</v>
      </c>
    </row>
    <row r="722" spans="2:7" x14ac:dyDescent="0.15">
      <c r="B722" s="301"/>
      <c r="C722" s="69" t="s">
        <v>729</v>
      </c>
      <c r="D722" s="70">
        <f>VLOOKUP(C722,基本字段定义!$B$3:$C$3013,2,FALSE)</f>
        <v>856</v>
      </c>
      <c r="E722" s="71" t="s">
        <v>563</v>
      </c>
      <c r="F722" s="71"/>
      <c r="G722" s="73" t="s">
        <v>730</v>
      </c>
    </row>
    <row r="723" spans="2:7" x14ac:dyDescent="0.15">
      <c r="B723" s="301"/>
      <c r="C723" s="69" t="s">
        <v>731</v>
      </c>
      <c r="D723" s="70">
        <f>VLOOKUP(C723,基本字段定义!$B$3:$C$3013,2,FALSE)</f>
        <v>1359</v>
      </c>
      <c r="E723" s="71" t="s">
        <v>563</v>
      </c>
      <c r="F723" s="71"/>
      <c r="G723" s="73" t="s">
        <v>732</v>
      </c>
    </row>
    <row r="724" spans="2:7" x14ac:dyDescent="0.15">
      <c r="B724" s="301"/>
      <c r="C724" s="69" t="s">
        <v>733</v>
      </c>
      <c r="D724" s="70">
        <f>VLOOKUP(C724,基本字段定义!$B$3:$C$3013,2,FALSE)</f>
        <v>843</v>
      </c>
      <c r="E724" s="71" t="s">
        <v>363</v>
      </c>
      <c r="F724" s="71"/>
      <c r="G724" s="73" t="s">
        <v>734</v>
      </c>
    </row>
    <row r="725" spans="2:7" x14ac:dyDescent="0.15">
      <c r="B725" s="301"/>
      <c r="C725" s="69" t="s">
        <v>735</v>
      </c>
      <c r="D725" s="70">
        <f>VLOOKUP(C725,基本字段定义!$B$3:$C$3013,2,FALSE)</f>
        <v>845</v>
      </c>
      <c r="E725" s="71" t="s">
        <v>363</v>
      </c>
      <c r="F725" s="71"/>
      <c r="G725" s="73" t="s">
        <v>736</v>
      </c>
    </row>
    <row r="726" spans="2:7" x14ac:dyDescent="0.15">
      <c r="B726" s="301"/>
      <c r="C726" s="69" t="s">
        <v>737</v>
      </c>
      <c r="D726" s="70">
        <f>VLOOKUP(C726,基本字段定义!$B$3:$C$3013,2,FALSE)</f>
        <v>847</v>
      </c>
      <c r="E726" s="71" t="s">
        <v>363</v>
      </c>
      <c r="F726" s="71"/>
      <c r="G726" s="73" t="s">
        <v>738</v>
      </c>
    </row>
    <row r="727" spans="2:7" x14ac:dyDescent="0.15">
      <c r="B727" s="301"/>
      <c r="C727" s="69" t="s">
        <v>739</v>
      </c>
      <c r="D727" s="70">
        <f>VLOOKUP(C727,基本字段定义!$B$3:$C$3013,2,FALSE)</f>
        <v>849</v>
      </c>
      <c r="E727" s="71" t="s">
        <v>363</v>
      </c>
      <c r="F727" s="71"/>
      <c r="G727" s="73" t="s">
        <v>740</v>
      </c>
    </row>
    <row r="728" spans="2:7" x14ac:dyDescent="0.15">
      <c r="B728" s="301"/>
      <c r="C728" s="69" t="s">
        <v>741</v>
      </c>
      <c r="D728" s="70">
        <f>VLOOKUP(C728,基本字段定义!$B$3:$C$3013,2,FALSE)</f>
        <v>1358</v>
      </c>
      <c r="E728" s="71" t="s">
        <v>363</v>
      </c>
      <c r="F728" s="71"/>
      <c r="G728" s="73" t="s">
        <v>742</v>
      </c>
    </row>
    <row r="729" spans="2:7" x14ac:dyDescent="0.15">
      <c r="B729" s="301"/>
      <c r="C729" s="69" t="s">
        <v>743</v>
      </c>
      <c r="D729" s="70">
        <f>VLOOKUP(C729,基本字段定义!$B$3:$C$3013,2,FALSE)</f>
        <v>851</v>
      </c>
      <c r="E729" s="71" t="s">
        <v>363</v>
      </c>
      <c r="F729" s="71"/>
      <c r="G729" s="73" t="s">
        <v>744</v>
      </c>
    </row>
    <row r="730" spans="2:7" x14ac:dyDescent="0.15">
      <c r="B730" s="301"/>
      <c r="C730" s="69" t="s">
        <v>745</v>
      </c>
      <c r="D730" s="70">
        <f>VLOOKUP(C730,基本字段定义!$B$3:$C$3013,2,FALSE)</f>
        <v>853</v>
      </c>
      <c r="E730" s="71" t="s">
        <v>363</v>
      </c>
      <c r="F730" s="71"/>
      <c r="G730" s="73" t="s">
        <v>746</v>
      </c>
    </row>
    <row r="731" spans="2:7" x14ac:dyDescent="0.15">
      <c r="B731" s="301"/>
      <c r="C731" s="69" t="s">
        <v>747</v>
      </c>
      <c r="D731" s="70">
        <f>VLOOKUP(C731,基本字段定义!$B$3:$C$3013,2,FALSE)</f>
        <v>855</v>
      </c>
      <c r="E731" s="71" t="s">
        <v>363</v>
      </c>
      <c r="F731" s="71"/>
      <c r="G731" s="73" t="s">
        <v>748</v>
      </c>
    </row>
    <row r="732" spans="2:7" x14ac:dyDescent="0.15">
      <c r="B732" s="301"/>
      <c r="C732" s="69" t="s">
        <v>749</v>
      </c>
      <c r="D732" s="70">
        <f>VLOOKUP(C732,基本字段定义!$B$3:$C$3013,2,FALSE)</f>
        <v>857</v>
      </c>
      <c r="E732" s="71" t="s">
        <v>363</v>
      </c>
      <c r="F732" s="71"/>
      <c r="G732" s="73" t="s">
        <v>750</v>
      </c>
    </row>
    <row r="733" spans="2:7" x14ac:dyDescent="0.15">
      <c r="B733" s="301"/>
      <c r="C733" s="69" t="s">
        <v>751</v>
      </c>
      <c r="D733" s="70">
        <f>VLOOKUP(C733,基本字段定义!$B$3:$C$3013,2,FALSE)</f>
        <v>1360</v>
      </c>
      <c r="E733" s="71" t="s">
        <v>363</v>
      </c>
      <c r="F733" s="71"/>
      <c r="G733" s="73" t="s">
        <v>752</v>
      </c>
    </row>
    <row r="734" spans="2:7" x14ac:dyDescent="0.15">
      <c r="B734" s="301"/>
      <c r="C734" s="91" t="s">
        <v>753</v>
      </c>
      <c r="D734" s="70">
        <f>VLOOKUP(C734,基本字段定义!$B$3:$C$3013,2,FALSE)</f>
        <v>9316</v>
      </c>
      <c r="E734" s="92" t="s">
        <v>424</v>
      </c>
      <c r="F734" s="92"/>
      <c r="G734" s="94" t="s">
        <v>754</v>
      </c>
    </row>
    <row r="735" spans="2:7" x14ac:dyDescent="0.15">
      <c r="B735" s="301"/>
      <c r="C735" s="91" t="s">
        <v>755</v>
      </c>
      <c r="D735" s="70">
        <f>VLOOKUP(C735,基本字段定义!$B$3:$C$3013,2,FALSE)</f>
        <v>1857</v>
      </c>
      <c r="E735" s="92" t="s">
        <v>563</v>
      </c>
      <c r="F735" s="92"/>
      <c r="G735" s="94" t="s">
        <v>756</v>
      </c>
    </row>
    <row r="736" spans="2:7" x14ac:dyDescent="0.15">
      <c r="B736" s="301"/>
      <c r="C736" s="91" t="s">
        <v>757</v>
      </c>
      <c r="D736" s="70">
        <f>VLOOKUP(C736,基本字段定义!$B$3:$C$3013,2,FALSE)</f>
        <v>4046</v>
      </c>
      <c r="E736" s="92" t="s">
        <v>365</v>
      </c>
      <c r="F736" s="92"/>
      <c r="G736" s="94" t="s">
        <v>758</v>
      </c>
    </row>
    <row r="737" spans="2:7" x14ac:dyDescent="0.15">
      <c r="B737" s="301"/>
      <c r="C737" s="91" t="s">
        <v>759</v>
      </c>
      <c r="D737" s="93">
        <v>720</v>
      </c>
      <c r="E737" s="92" t="s">
        <v>365</v>
      </c>
      <c r="F737" s="92"/>
      <c r="G737" s="94" t="s">
        <v>760</v>
      </c>
    </row>
    <row r="738" spans="2:7" ht="14.25" thickBot="1" x14ac:dyDescent="0.2">
      <c r="B738" s="305"/>
      <c r="C738" s="69" t="s">
        <v>761</v>
      </c>
      <c r="D738" s="66">
        <v>1354</v>
      </c>
      <c r="E738" s="71" t="s">
        <v>365</v>
      </c>
      <c r="F738" s="71"/>
      <c r="G738" s="72" t="s">
        <v>762</v>
      </c>
    </row>
    <row r="740" spans="2:7" x14ac:dyDescent="0.15">
      <c r="B740" s="57" t="s">
        <v>163</v>
      </c>
      <c r="C740" s="84">
        <v>104027</v>
      </c>
      <c r="D740" s="85"/>
      <c r="E740" s="86"/>
      <c r="F740" s="58" t="s">
        <v>352</v>
      </c>
      <c r="G740" s="59"/>
    </row>
    <row r="741" spans="2:7" x14ac:dyDescent="0.15">
      <c r="B741" s="60" t="s">
        <v>353</v>
      </c>
      <c r="C741" s="87" t="str">
        <f>VLOOKUP(C740,功能索引!$C$3:$D$278,2,FALSE)</f>
        <v>权证信息查询</v>
      </c>
      <c r="D741" s="88"/>
      <c r="E741" s="89"/>
      <c r="F741" s="61" t="s">
        <v>165</v>
      </c>
      <c r="G741" s="62" t="str">
        <f>VLOOKUP(C740,功能索引!$C$3:$E1086,3,FALSE)</f>
        <v>Y</v>
      </c>
    </row>
    <row r="742" spans="2:7" x14ac:dyDescent="0.15">
      <c r="B742" s="299" t="s">
        <v>354</v>
      </c>
      <c r="C742" s="99"/>
      <c r="D742" s="100"/>
      <c r="E742" s="100"/>
      <c r="F742" s="100"/>
      <c r="G742" s="101"/>
    </row>
    <row r="743" spans="2:7" ht="14.25" thickBot="1" x14ac:dyDescent="0.2">
      <c r="B743" s="304"/>
      <c r="C743" s="102"/>
      <c r="D743" s="103"/>
      <c r="E743" s="103"/>
      <c r="F743" s="103"/>
      <c r="G743" s="104"/>
    </row>
    <row r="744" spans="2:7" x14ac:dyDescent="0.15">
      <c r="B744" s="298" t="s">
        <v>355</v>
      </c>
      <c r="C744" s="58" t="s">
        <v>356</v>
      </c>
      <c r="D744" s="58" t="s">
        <v>357</v>
      </c>
      <c r="E744" s="58" t="s">
        <v>358</v>
      </c>
      <c r="F744" s="58" t="s">
        <v>359</v>
      </c>
      <c r="G744" s="64" t="s">
        <v>360</v>
      </c>
    </row>
    <row r="745" spans="2:7" x14ac:dyDescent="0.15">
      <c r="B745" s="299"/>
      <c r="C745" s="65" t="s">
        <v>387</v>
      </c>
      <c r="D745" s="66">
        <f>VLOOKUP(C745,基本字段定义!$B$3:$C$3013,2,FALSE)</f>
        <v>599</v>
      </c>
      <c r="E745" s="67" t="s">
        <v>388</v>
      </c>
      <c r="F745" s="67"/>
      <c r="G745" s="68" t="s">
        <v>389</v>
      </c>
    </row>
    <row r="746" spans="2:7" x14ac:dyDescent="0.15">
      <c r="B746" s="299"/>
      <c r="C746" s="65" t="s">
        <v>672</v>
      </c>
      <c r="D746" s="66">
        <f>VLOOKUP(C746,基本字段定义!$B$3:$C$3013,2,FALSE)</f>
        <v>1514</v>
      </c>
      <c r="E746" s="67" t="s">
        <v>506</v>
      </c>
      <c r="F746" s="67"/>
      <c r="G746" s="68" t="s">
        <v>673</v>
      </c>
    </row>
    <row r="747" spans="2:7" x14ac:dyDescent="0.15">
      <c r="B747" s="299" t="s">
        <v>361</v>
      </c>
      <c r="C747" s="69" t="s">
        <v>387</v>
      </c>
      <c r="D747" s="70">
        <f>VLOOKUP(C747,基本字段定义!$B$3:$C$3013,2,FALSE)</f>
        <v>599</v>
      </c>
      <c r="E747" s="71" t="s">
        <v>365</v>
      </c>
      <c r="F747" s="71"/>
      <c r="G747" s="72" t="s">
        <v>389</v>
      </c>
    </row>
    <row r="748" spans="2:7" x14ac:dyDescent="0.15">
      <c r="B748" s="299"/>
      <c r="C748" s="69" t="s">
        <v>666</v>
      </c>
      <c r="D748" s="70">
        <f>VLOOKUP(C748,基本字段定义!$B$3:$C$3013,2,FALSE)</f>
        <v>719</v>
      </c>
      <c r="E748" s="71" t="s">
        <v>365</v>
      </c>
      <c r="F748" s="71"/>
      <c r="G748" s="73" t="s">
        <v>667</v>
      </c>
    </row>
    <row r="749" spans="2:7" x14ac:dyDescent="0.15">
      <c r="B749" s="299"/>
      <c r="C749" s="69" t="s">
        <v>668</v>
      </c>
      <c r="D749" s="70">
        <f>VLOOKUP(C749,基本字段定义!$B$3:$C$3013,2,FALSE)</f>
        <v>1516</v>
      </c>
      <c r="E749" s="71" t="s">
        <v>563</v>
      </c>
      <c r="F749" s="71"/>
      <c r="G749" s="73" t="s">
        <v>669</v>
      </c>
    </row>
    <row r="750" spans="2:7" x14ac:dyDescent="0.15">
      <c r="B750" s="299"/>
      <c r="C750" s="69" t="s">
        <v>670</v>
      </c>
      <c r="D750" s="70">
        <f>VLOOKUP(C750,基本字段定义!$B$3:$C$3013,2,FALSE)</f>
        <v>1504</v>
      </c>
      <c r="E750" s="71" t="s">
        <v>563</v>
      </c>
      <c r="F750" s="71"/>
      <c r="G750" s="73" t="s">
        <v>671</v>
      </c>
    </row>
    <row r="751" spans="2:7" x14ac:dyDescent="0.15">
      <c r="B751" s="299"/>
      <c r="C751" s="69" t="s">
        <v>672</v>
      </c>
      <c r="D751" s="70">
        <f>VLOOKUP(C751,基本字段定义!$B$3:$C$3013,2,FALSE)</f>
        <v>1514</v>
      </c>
      <c r="E751" s="71" t="s">
        <v>365</v>
      </c>
      <c r="F751" s="71"/>
      <c r="G751" s="73" t="s">
        <v>673</v>
      </c>
    </row>
    <row r="752" spans="2:7" x14ac:dyDescent="0.15">
      <c r="B752" s="299"/>
      <c r="C752" s="69" t="s">
        <v>674</v>
      </c>
      <c r="D752" s="70">
        <f>VLOOKUP(C752,基本字段定义!$B$3:$C$3013,2,FALSE)</f>
        <v>1502</v>
      </c>
      <c r="E752" s="71" t="s">
        <v>365</v>
      </c>
      <c r="F752" s="71"/>
      <c r="G752" s="73" t="s">
        <v>675</v>
      </c>
    </row>
    <row r="753" spans="2:7" ht="14.25" thickBot="1" x14ac:dyDescent="0.2">
      <c r="B753" s="304"/>
      <c r="C753" s="75"/>
      <c r="D753" s="83"/>
      <c r="E753" s="77"/>
      <c r="F753" s="77"/>
      <c r="G753" s="78"/>
    </row>
    <row r="755" spans="2:7" x14ac:dyDescent="0.15">
      <c r="B755" s="57" t="s">
        <v>163</v>
      </c>
      <c r="C755" s="84">
        <v>104041</v>
      </c>
      <c r="D755" s="85"/>
      <c r="E755" s="86"/>
      <c r="F755" s="58" t="s">
        <v>352</v>
      </c>
      <c r="G755" s="59"/>
    </row>
    <row r="756" spans="2:7" x14ac:dyDescent="0.15">
      <c r="B756" s="60" t="s">
        <v>353</v>
      </c>
      <c r="C756" s="87" t="str">
        <f>VLOOKUP(C755,功能索引!$C$3:$D$278,2,FALSE)</f>
        <v>查询股东附加交易权限</v>
      </c>
      <c r="D756" s="88"/>
      <c r="E756" s="89"/>
      <c r="F756" s="61" t="s">
        <v>165</v>
      </c>
      <c r="G756" s="62"/>
    </row>
    <row r="757" spans="2:7" x14ac:dyDescent="0.15">
      <c r="B757" s="299" t="s">
        <v>354</v>
      </c>
      <c r="C757" s="99"/>
      <c r="D757" s="100"/>
      <c r="E757" s="100"/>
      <c r="F757" s="100"/>
      <c r="G757" s="101"/>
    </row>
    <row r="758" spans="2:7" ht="14.25" thickBot="1" x14ac:dyDescent="0.2">
      <c r="B758" s="304"/>
      <c r="C758" s="102"/>
      <c r="D758" s="103"/>
      <c r="E758" s="103"/>
      <c r="F758" s="103"/>
      <c r="G758" s="104"/>
    </row>
    <row r="759" spans="2:7" x14ac:dyDescent="0.15">
      <c r="B759" s="298" t="s">
        <v>355</v>
      </c>
      <c r="C759" s="58" t="s">
        <v>356</v>
      </c>
      <c r="D759" s="58" t="s">
        <v>357</v>
      </c>
      <c r="E759" s="58" t="s">
        <v>358</v>
      </c>
      <c r="F759" s="58" t="s">
        <v>359</v>
      </c>
      <c r="G759" s="64" t="s">
        <v>360</v>
      </c>
    </row>
    <row r="760" spans="2:7" x14ac:dyDescent="0.15">
      <c r="B760" s="299"/>
      <c r="C760" s="65" t="s">
        <v>387</v>
      </c>
      <c r="D760" s="66">
        <f>VLOOKUP(C760,基本字段定义!$B$3:$C$3013,2,FALSE)</f>
        <v>599</v>
      </c>
      <c r="E760" s="67" t="s">
        <v>388</v>
      </c>
      <c r="F760" s="67" t="s">
        <v>169</v>
      </c>
      <c r="G760" s="68" t="s">
        <v>389</v>
      </c>
    </row>
    <row r="761" spans="2:7" x14ac:dyDescent="0.15">
      <c r="B761" s="299"/>
      <c r="C761" s="65" t="s">
        <v>431</v>
      </c>
      <c r="D761" s="66">
        <f>VLOOKUP(C761,基本字段定义!$B$3:$C$3013,2,FALSE)</f>
        <v>571</v>
      </c>
      <c r="E761" s="67" t="s">
        <v>432</v>
      </c>
      <c r="F761" s="67" t="s">
        <v>169</v>
      </c>
      <c r="G761" s="68" t="s">
        <v>433</v>
      </c>
    </row>
    <row r="762" spans="2:7" x14ac:dyDescent="0.15">
      <c r="B762" s="299"/>
      <c r="C762" s="65" t="s">
        <v>428</v>
      </c>
      <c r="D762" s="66">
        <f>VLOOKUP(C762,基本字段定义!$B$3:$C$3013,2,FALSE)</f>
        <v>605</v>
      </c>
      <c r="E762" s="67" t="s">
        <v>429</v>
      </c>
      <c r="F762" s="67" t="s">
        <v>169</v>
      </c>
      <c r="G762" s="68" t="s">
        <v>430</v>
      </c>
    </row>
    <row r="763" spans="2:7" x14ac:dyDescent="0.15">
      <c r="B763" s="299" t="s">
        <v>361</v>
      </c>
      <c r="C763" s="69" t="s">
        <v>387</v>
      </c>
      <c r="D763" s="70">
        <f>VLOOKUP(C763,基本字段定义!$B$3:$C$3013,2,FALSE)</f>
        <v>599</v>
      </c>
      <c r="E763" s="71" t="s">
        <v>365</v>
      </c>
      <c r="F763" s="71"/>
      <c r="G763" s="72" t="s">
        <v>389</v>
      </c>
    </row>
    <row r="764" spans="2:7" x14ac:dyDescent="0.15">
      <c r="B764" s="299"/>
      <c r="C764" s="69" t="s">
        <v>428</v>
      </c>
      <c r="D764" s="70">
        <f>VLOOKUP(C764,基本字段定义!$B$3:$C$3013,2,FALSE)</f>
        <v>605</v>
      </c>
      <c r="E764" s="71" t="s">
        <v>365</v>
      </c>
      <c r="F764" s="71"/>
      <c r="G764" s="73" t="s">
        <v>430</v>
      </c>
    </row>
    <row r="765" spans="2:7" x14ac:dyDescent="0.15">
      <c r="B765" s="299"/>
      <c r="C765" s="69" t="s">
        <v>431</v>
      </c>
      <c r="D765" s="70">
        <f>VLOOKUP(C765,基本字段定义!$B$3:$C$3013,2,FALSE)</f>
        <v>571</v>
      </c>
      <c r="E765" s="71" t="s">
        <v>365</v>
      </c>
      <c r="F765" s="71"/>
      <c r="G765" s="73" t="s">
        <v>433</v>
      </c>
    </row>
    <row r="766" spans="2:7" x14ac:dyDescent="0.15">
      <c r="B766" s="299"/>
      <c r="C766" s="69" t="s">
        <v>399</v>
      </c>
      <c r="D766" s="70">
        <f>VLOOKUP(C766,基本字段定义!$B$3:$C$3013,2,FALSE)</f>
        <v>697</v>
      </c>
      <c r="E766" s="71" t="s">
        <v>365</v>
      </c>
      <c r="F766" s="71"/>
      <c r="G766" s="73" t="s">
        <v>400</v>
      </c>
    </row>
    <row r="767" spans="2:7" x14ac:dyDescent="0.15">
      <c r="B767" s="299"/>
      <c r="C767" s="69" t="s">
        <v>763</v>
      </c>
      <c r="D767" s="70">
        <f>VLOOKUP(C767,基本字段定义!$B$3:$C$3013,2,FALSE)</f>
        <v>2309</v>
      </c>
      <c r="E767" s="71" t="s">
        <v>363</v>
      </c>
      <c r="F767" s="71"/>
      <c r="G767" s="73" t="s">
        <v>764</v>
      </c>
    </row>
    <row r="768" spans="2:7" x14ac:dyDescent="0.15">
      <c r="B768" s="299"/>
      <c r="C768" s="69" t="s">
        <v>765</v>
      </c>
      <c r="D768" s="70">
        <f>VLOOKUP(C768,基本字段定义!$B$3:$C$3013,2,FALSE)</f>
        <v>9108</v>
      </c>
      <c r="E768" s="71" t="s">
        <v>363</v>
      </c>
      <c r="F768" s="71"/>
      <c r="G768" s="73" t="s">
        <v>766</v>
      </c>
    </row>
    <row r="769" spans="2:7" x14ac:dyDescent="0.15">
      <c r="B769" s="299"/>
      <c r="C769" s="69" t="s">
        <v>767</v>
      </c>
      <c r="D769" s="70">
        <f>VLOOKUP(C769,基本字段定义!$B$3:$C$3013,2,FALSE)</f>
        <v>526</v>
      </c>
      <c r="E769" s="71" t="s">
        <v>363</v>
      </c>
      <c r="F769" s="71"/>
      <c r="G769" s="73" t="s">
        <v>768</v>
      </c>
    </row>
    <row r="770" spans="2:7" x14ac:dyDescent="0.15">
      <c r="B770" s="299"/>
      <c r="C770" s="69" t="s">
        <v>769</v>
      </c>
      <c r="D770" s="70">
        <f>VLOOKUP(C770,基本字段定义!$B$3:$C$3013,2,FALSE)</f>
        <v>611</v>
      </c>
      <c r="E770" s="71" t="s">
        <v>363</v>
      </c>
      <c r="F770" s="71"/>
      <c r="G770" s="73" t="s">
        <v>770</v>
      </c>
    </row>
    <row r="771" spans="2:7" x14ac:dyDescent="0.15">
      <c r="B771" s="299"/>
      <c r="C771" s="69" t="s">
        <v>771</v>
      </c>
      <c r="D771" s="70">
        <f>VLOOKUP(C771,基本字段定义!$B$3:$C$3013,2,FALSE)</f>
        <v>688</v>
      </c>
      <c r="E771" s="71" t="s">
        <v>363</v>
      </c>
      <c r="F771" s="71"/>
      <c r="G771" s="73" t="s">
        <v>772</v>
      </c>
    </row>
    <row r="772" spans="2:7" ht="14.25" thickBot="1" x14ac:dyDescent="0.2">
      <c r="B772" s="304"/>
      <c r="C772" s="75"/>
      <c r="D772" s="83"/>
      <c r="E772" s="77"/>
      <c r="F772" s="77"/>
      <c r="G772" s="78"/>
    </row>
    <row r="774" spans="2:7" x14ac:dyDescent="0.15">
      <c r="B774" s="57" t="s">
        <v>163</v>
      </c>
      <c r="C774" s="84">
        <v>104105</v>
      </c>
      <c r="D774" s="85"/>
      <c r="E774" s="86"/>
      <c r="F774" s="58" t="s">
        <v>352</v>
      </c>
      <c r="G774" s="59"/>
    </row>
    <row r="775" spans="2:7" x14ac:dyDescent="0.15">
      <c r="B775" s="60" t="s">
        <v>353</v>
      </c>
      <c r="C775" s="87" t="str">
        <f>VLOOKUP(C774,功能索引!$C$3:$D$278,2,FALSE)</f>
        <v>查询ETF基本信息</v>
      </c>
      <c r="D775" s="88"/>
      <c r="E775" s="89"/>
      <c r="F775" s="61" t="s">
        <v>165</v>
      </c>
      <c r="G775" s="62" t="str">
        <f>VLOOKUP(C774,功能索引!$C$3:$E1116,3,FALSE)</f>
        <v>Y</v>
      </c>
    </row>
    <row r="776" spans="2:7" x14ac:dyDescent="0.15">
      <c r="B776" s="299" t="s">
        <v>354</v>
      </c>
      <c r="C776" s="99"/>
      <c r="D776" s="100"/>
      <c r="E776" s="100"/>
      <c r="F776" s="100"/>
      <c r="G776" s="101"/>
    </row>
    <row r="777" spans="2:7" ht="14.25" thickBot="1" x14ac:dyDescent="0.2">
      <c r="B777" s="304"/>
      <c r="C777" s="102"/>
      <c r="D777" s="103"/>
      <c r="E777" s="103"/>
      <c r="F777" s="103"/>
      <c r="G777" s="104"/>
    </row>
    <row r="778" spans="2:7" x14ac:dyDescent="0.15">
      <c r="B778" s="298" t="s">
        <v>355</v>
      </c>
      <c r="C778" s="58" t="s">
        <v>356</v>
      </c>
      <c r="D778" s="58" t="s">
        <v>357</v>
      </c>
      <c r="E778" s="58" t="s">
        <v>358</v>
      </c>
      <c r="F778" s="58" t="s">
        <v>359</v>
      </c>
      <c r="G778" s="64" t="s">
        <v>360</v>
      </c>
    </row>
    <row r="779" spans="2:7" x14ac:dyDescent="0.15">
      <c r="B779" s="299"/>
      <c r="C779" s="65" t="s">
        <v>387</v>
      </c>
      <c r="D779" s="66">
        <f>VLOOKUP(C779,基本字段定义!$B$3:$C$3013,2,FALSE)</f>
        <v>599</v>
      </c>
      <c r="E779" s="67" t="s">
        <v>388</v>
      </c>
      <c r="F779" s="67"/>
      <c r="G779" s="68" t="s">
        <v>389</v>
      </c>
    </row>
    <row r="780" spans="2:7" x14ac:dyDescent="0.15">
      <c r="B780" s="299"/>
      <c r="C780" s="65" t="s">
        <v>773</v>
      </c>
      <c r="D780" s="66">
        <f>VLOOKUP(C780,基本字段定义!$B$3:$C$3013,2,FALSE)</f>
        <v>9129</v>
      </c>
      <c r="E780" s="67" t="s">
        <v>506</v>
      </c>
      <c r="F780" s="67"/>
      <c r="G780" s="68" t="s">
        <v>774</v>
      </c>
    </row>
    <row r="781" spans="2:7" x14ac:dyDescent="0.15">
      <c r="B781" s="299"/>
      <c r="C781" s="65" t="s">
        <v>775</v>
      </c>
      <c r="D781" s="66">
        <f>VLOOKUP(C781,基本字段定义!$B$3:$C$3013,2,FALSE)</f>
        <v>1079</v>
      </c>
      <c r="E781" s="67" t="s">
        <v>506</v>
      </c>
      <c r="F781" s="67"/>
      <c r="G781" s="68" t="s">
        <v>776</v>
      </c>
    </row>
    <row r="782" spans="2:7" x14ac:dyDescent="0.15">
      <c r="B782" s="299" t="s">
        <v>361</v>
      </c>
      <c r="C782" s="69" t="s">
        <v>387</v>
      </c>
      <c r="D782" s="70">
        <f>VLOOKUP(C782,基本字段定义!$B$3:$C$3013,2,FALSE)</f>
        <v>599</v>
      </c>
      <c r="E782" s="71" t="s">
        <v>365</v>
      </c>
      <c r="F782" s="71"/>
      <c r="G782" s="72" t="s">
        <v>389</v>
      </c>
    </row>
    <row r="783" spans="2:7" x14ac:dyDescent="0.15">
      <c r="B783" s="299"/>
      <c r="C783" s="69" t="s">
        <v>773</v>
      </c>
      <c r="D783" s="70">
        <f>VLOOKUP(C783,基本字段定义!$B$3:$C$3013,2,FALSE)</f>
        <v>9129</v>
      </c>
      <c r="E783" s="71" t="s">
        <v>365</v>
      </c>
      <c r="F783" s="71"/>
      <c r="G783" s="73" t="s">
        <v>774</v>
      </c>
    </row>
    <row r="784" spans="2:7" x14ac:dyDescent="0.15">
      <c r="B784" s="299"/>
      <c r="C784" s="69" t="s">
        <v>777</v>
      </c>
      <c r="D784" s="70">
        <f>VLOOKUP(C784,基本字段定义!$B$3:$C$3013,2,FALSE)</f>
        <v>9130</v>
      </c>
      <c r="E784" s="71" t="s">
        <v>365</v>
      </c>
      <c r="F784" s="71"/>
      <c r="G784" s="73" t="s">
        <v>778</v>
      </c>
    </row>
    <row r="785" spans="2:7" x14ac:dyDescent="0.15">
      <c r="B785" s="299"/>
      <c r="C785" s="69" t="s">
        <v>775</v>
      </c>
      <c r="D785" s="70">
        <f>VLOOKUP(C785,基本字段定义!$B$3:$C$3013,2,FALSE)</f>
        <v>1079</v>
      </c>
      <c r="E785" s="71" t="s">
        <v>365</v>
      </c>
      <c r="F785" s="71"/>
      <c r="G785" s="73" t="s">
        <v>776</v>
      </c>
    </row>
    <row r="786" spans="2:7" x14ac:dyDescent="0.15">
      <c r="B786" s="299"/>
      <c r="C786" s="69" t="s">
        <v>779</v>
      </c>
      <c r="D786" s="70">
        <f>VLOOKUP(C786,基本字段定义!$B$3:$C$3013,2,FALSE)</f>
        <v>1394</v>
      </c>
      <c r="E786" s="71" t="s">
        <v>365</v>
      </c>
      <c r="F786" s="71"/>
      <c r="G786" s="73" t="s">
        <v>780</v>
      </c>
    </row>
    <row r="787" spans="2:7" x14ac:dyDescent="0.15">
      <c r="B787" s="299"/>
      <c r="C787" s="69" t="s">
        <v>781</v>
      </c>
      <c r="D787" s="70">
        <f>VLOOKUP(C787,基本字段定义!$B$3:$C$3013,2,FALSE)</f>
        <v>788</v>
      </c>
      <c r="E787" s="71" t="s">
        <v>363</v>
      </c>
      <c r="F787" s="71"/>
      <c r="G787" s="73" t="s">
        <v>782</v>
      </c>
    </row>
    <row r="788" spans="2:7" x14ac:dyDescent="0.15">
      <c r="B788" s="299"/>
      <c r="C788" s="69" t="s">
        <v>783</v>
      </c>
      <c r="D788" s="70">
        <f>VLOOKUP(C788,基本字段定义!$B$3:$C$3013,2,FALSE)</f>
        <v>9131</v>
      </c>
      <c r="E788" s="71" t="s">
        <v>563</v>
      </c>
      <c r="F788" s="71"/>
      <c r="G788" s="73" t="s">
        <v>784</v>
      </c>
    </row>
    <row r="789" spans="2:7" x14ac:dyDescent="0.15">
      <c r="B789" s="299"/>
      <c r="C789" s="69" t="s">
        <v>785</v>
      </c>
      <c r="D789" s="70">
        <f>VLOOKUP(C789,基本字段定义!$B$3:$C$3013,2,FALSE)</f>
        <v>9133</v>
      </c>
      <c r="E789" s="71" t="s">
        <v>363</v>
      </c>
      <c r="F789" s="71"/>
      <c r="G789" s="73" t="s">
        <v>786</v>
      </c>
    </row>
    <row r="790" spans="2:7" x14ac:dyDescent="0.15">
      <c r="B790" s="299"/>
      <c r="C790" s="69" t="s">
        <v>787</v>
      </c>
      <c r="D790" s="70">
        <f>VLOOKUP(C790,基本字段定义!$B$3:$C$3013,2,FALSE)</f>
        <v>1061</v>
      </c>
      <c r="E790" s="71" t="s">
        <v>363</v>
      </c>
      <c r="F790" s="71"/>
      <c r="G790" s="73" t="s">
        <v>788</v>
      </c>
    </row>
    <row r="791" spans="2:7" x14ac:dyDescent="0.15">
      <c r="B791" s="299"/>
      <c r="C791" s="69" t="s">
        <v>789</v>
      </c>
      <c r="D791" s="70">
        <f>VLOOKUP(C791,基本字段定义!$B$3:$C$3013,2,FALSE)</f>
        <v>9136</v>
      </c>
      <c r="E791" s="71" t="s">
        <v>563</v>
      </c>
      <c r="F791" s="71"/>
      <c r="G791" s="73" t="s">
        <v>790</v>
      </c>
    </row>
    <row r="792" spans="2:7" x14ac:dyDescent="0.15">
      <c r="B792" s="299"/>
      <c r="C792" s="69" t="s">
        <v>791</v>
      </c>
      <c r="D792" s="70">
        <f>VLOOKUP(C792,基本字段定义!$B$3:$C$3013,2,FALSE)</f>
        <v>9139</v>
      </c>
      <c r="E792" s="71" t="s">
        <v>563</v>
      </c>
      <c r="F792" s="71"/>
      <c r="G792" s="73" t="s">
        <v>792</v>
      </c>
    </row>
    <row r="793" spans="2:7" ht="14.25" thickBot="1" x14ac:dyDescent="0.2">
      <c r="B793" s="304"/>
      <c r="C793" s="75"/>
      <c r="D793" s="83"/>
      <c r="E793" s="77"/>
      <c r="F793" s="77"/>
      <c r="G793" s="78"/>
    </row>
    <row r="795" spans="2:7" x14ac:dyDescent="0.15">
      <c r="B795" s="57" t="s">
        <v>163</v>
      </c>
      <c r="C795" s="84">
        <v>104106</v>
      </c>
      <c r="D795" s="85"/>
      <c r="E795" s="86"/>
      <c r="F795" s="58" t="s">
        <v>352</v>
      </c>
      <c r="G795" s="59"/>
    </row>
    <row r="796" spans="2:7" x14ac:dyDescent="0.15">
      <c r="B796" s="60" t="s">
        <v>353</v>
      </c>
      <c r="C796" s="87" t="str">
        <f>VLOOKUP(C795,功能索引!$C$3:$D$278,2,FALSE)</f>
        <v>查询ETF成份股信息</v>
      </c>
      <c r="D796" s="88"/>
      <c r="E796" s="89"/>
      <c r="F796" s="61" t="s">
        <v>165</v>
      </c>
      <c r="G796" s="62" t="str">
        <f>VLOOKUP(C795,功能索引!$C$3:$E1145,3,FALSE)</f>
        <v>Y</v>
      </c>
    </row>
    <row r="797" spans="2:7" x14ac:dyDescent="0.15">
      <c r="B797" s="299" t="s">
        <v>354</v>
      </c>
      <c r="C797" s="99"/>
      <c r="D797" s="100"/>
      <c r="E797" s="100"/>
      <c r="F797" s="100"/>
      <c r="G797" s="101"/>
    </row>
    <row r="798" spans="2:7" ht="14.25" thickBot="1" x14ac:dyDescent="0.2">
      <c r="B798" s="304"/>
      <c r="C798" s="102"/>
      <c r="D798" s="103"/>
      <c r="E798" s="103"/>
      <c r="F798" s="103"/>
      <c r="G798" s="104"/>
    </row>
    <row r="799" spans="2:7" x14ac:dyDescent="0.15">
      <c r="B799" s="298" t="s">
        <v>355</v>
      </c>
      <c r="C799" s="58" t="s">
        <v>356</v>
      </c>
      <c r="D799" s="58" t="s">
        <v>357</v>
      </c>
      <c r="E799" s="58" t="s">
        <v>358</v>
      </c>
      <c r="F799" s="58" t="s">
        <v>359</v>
      </c>
      <c r="G799" s="64" t="s">
        <v>360</v>
      </c>
    </row>
    <row r="800" spans="2:7" x14ac:dyDescent="0.15">
      <c r="B800" s="299"/>
      <c r="C800" s="65" t="s">
        <v>773</v>
      </c>
      <c r="D800" s="66">
        <f>VLOOKUP(C800,基本字段定义!$B$3:$C$3013,2,FALSE)</f>
        <v>9129</v>
      </c>
      <c r="E800" s="67" t="s">
        <v>506</v>
      </c>
      <c r="F800" s="67"/>
      <c r="G800" s="68" t="s">
        <v>774</v>
      </c>
    </row>
    <row r="801" spans="2:7" x14ac:dyDescent="0.15">
      <c r="B801" s="299" t="s">
        <v>361</v>
      </c>
      <c r="C801" s="69" t="s">
        <v>773</v>
      </c>
      <c r="D801" s="70">
        <f>VLOOKUP(C801,基本字段定义!$B$3:$C$3013,2,FALSE)</f>
        <v>9129</v>
      </c>
      <c r="E801" s="71" t="s">
        <v>365</v>
      </c>
      <c r="F801" s="71"/>
      <c r="G801" s="73" t="s">
        <v>774</v>
      </c>
    </row>
    <row r="802" spans="2:7" x14ac:dyDescent="0.15">
      <c r="B802" s="299"/>
      <c r="C802" s="69" t="s">
        <v>387</v>
      </c>
      <c r="D802" s="70">
        <f>VLOOKUP(C802,基本字段定义!$B$3:$C$3013,2,FALSE)</f>
        <v>599</v>
      </c>
      <c r="E802" s="71" t="s">
        <v>365</v>
      </c>
      <c r="F802" s="71"/>
      <c r="G802" s="72" t="s">
        <v>793</v>
      </c>
    </row>
    <row r="803" spans="2:7" x14ac:dyDescent="0.15">
      <c r="B803" s="299"/>
      <c r="C803" s="69" t="s">
        <v>666</v>
      </c>
      <c r="D803" s="70">
        <f>VLOOKUP(C803,基本字段定义!$B$3:$C$3013,2,FALSE)</f>
        <v>719</v>
      </c>
      <c r="E803" s="71" t="s">
        <v>365</v>
      </c>
      <c r="F803" s="71"/>
      <c r="G803" s="73" t="s">
        <v>794</v>
      </c>
    </row>
    <row r="804" spans="2:7" x14ac:dyDescent="0.15">
      <c r="B804" s="299"/>
      <c r="C804" s="69" t="s">
        <v>685</v>
      </c>
      <c r="D804" s="70">
        <f>VLOOKUP(C804,基本字段定义!$B$3:$C$3013,2,FALSE)</f>
        <v>722</v>
      </c>
      <c r="E804" s="71" t="s">
        <v>365</v>
      </c>
      <c r="F804" s="71"/>
      <c r="G804" s="73" t="s">
        <v>795</v>
      </c>
    </row>
    <row r="805" spans="2:7" x14ac:dyDescent="0.15">
      <c r="B805" s="299"/>
      <c r="C805" s="69" t="s">
        <v>796</v>
      </c>
      <c r="D805" s="70">
        <f>VLOOKUP(C805,基本字段定义!$B$3:$C$3013,2,FALSE)</f>
        <v>724</v>
      </c>
      <c r="E805" s="71" t="s">
        <v>363</v>
      </c>
      <c r="F805" s="71"/>
      <c r="G805" s="73" t="s">
        <v>797</v>
      </c>
    </row>
    <row r="806" spans="2:7" x14ac:dyDescent="0.15">
      <c r="B806" s="299"/>
      <c r="C806" s="69" t="s">
        <v>798</v>
      </c>
      <c r="D806" s="70">
        <f>VLOOKUP(C806,基本字段定义!$B$3:$C$3013,2,FALSE)</f>
        <v>9134</v>
      </c>
      <c r="E806" s="71" t="s">
        <v>363</v>
      </c>
      <c r="F806" s="71"/>
      <c r="G806" s="73" t="s">
        <v>799</v>
      </c>
    </row>
    <row r="807" spans="2:7" x14ac:dyDescent="0.15">
      <c r="B807" s="299"/>
      <c r="C807" s="69" t="s">
        <v>800</v>
      </c>
      <c r="D807" s="70">
        <f>VLOOKUP(C807,基本字段定义!$B$3:$C$3013,2,FALSE)</f>
        <v>9137</v>
      </c>
      <c r="E807" s="71" t="s">
        <v>563</v>
      </c>
      <c r="F807" s="71"/>
      <c r="G807" s="73" t="s">
        <v>801</v>
      </c>
    </row>
    <row r="808" spans="2:7" x14ac:dyDescent="0.15">
      <c r="B808" s="299"/>
      <c r="C808" s="69" t="s">
        <v>802</v>
      </c>
      <c r="D808" s="70">
        <f>VLOOKUP(C808,基本字段定义!$B$3:$C$3013,2,FALSE)</f>
        <v>1603</v>
      </c>
      <c r="E808" s="71" t="s">
        <v>563</v>
      </c>
      <c r="F808" s="71"/>
      <c r="G808" s="73" t="s">
        <v>803</v>
      </c>
    </row>
    <row r="809" spans="2:7" ht="14.25" thickBot="1" x14ac:dyDescent="0.2">
      <c r="B809" s="304"/>
      <c r="C809" s="75"/>
      <c r="D809" s="83"/>
      <c r="E809" s="77"/>
      <c r="F809" s="77"/>
      <c r="G809" s="78"/>
    </row>
    <row r="811" spans="2:7" x14ac:dyDescent="0.15">
      <c r="B811" s="57" t="s">
        <v>163</v>
      </c>
      <c r="C811" s="84">
        <v>104110</v>
      </c>
      <c r="D811" s="85"/>
      <c r="E811" s="86"/>
      <c r="F811" s="58" t="s">
        <v>352</v>
      </c>
      <c r="G811" s="59"/>
    </row>
    <row r="812" spans="2:7" x14ac:dyDescent="0.15">
      <c r="B812" s="60" t="s">
        <v>353</v>
      </c>
      <c r="C812" s="87" t="str">
        <f>VLOOKUP(C811,功能索引!$C$3:$D$278,2,FALSE)</f>
        <v>查询三板报价转让行情</v>
      </c>
      <c r="D812" s="88"/>
      <c r="E812" s="89"/>
      <c r="F812" s="61" t="s">
        <v>165</v>
      </c>
      <c r="G812" s="62" t="str">
        <f>VLOOKUP(C811,功能索引!$C$3:$E1163,3,FALSE)</f>
        <v>Y</v>
      </c>
    </row>
    <row r="813" spans="2:7" x14ac:dyDescent="0.15">
      <c r="B813" s="299" t="s">
        <v>354</v>
      </c>
      <c r="C813" s="99"/>
      <c r="D813" s="100"/>
      <c r="E813" s="100"/>
      <c r="F813" s="100"/>
      <c r="G813" s="101"/>
    </row>
    <row r="814" spans="2:7" ht="14.25" thickBot="1" x14ac:dyDescent="0.2">
      <c r="B814" s="304"/>
      <c r="C814" s="102"/>
      <c r="D814" s="103"/>
      <c r="E814" s="103"/>
      <c r="F814" s="103"/>
      <c r="G814" s="104"/>
    </row>
    <row r="815" spans="2:7" x14ac:dyDescent="0.15">
      <c r="B815" s="298" t="s">
        <v>355</v>
      </c>
      <c r="C815" s="58" t="s">
        <v>356</v>
      </c>
      <c r="D815" s="58" t="s">
        <v>357</v>
      </c>
      <c r="E815" s="58" t="s">
        <v>358</v>
      </c>
      <c r="F815" s="58" t="s">
        <v>359</v>
      </c>
      <c r="G815" s="64" t="s">
        <v>360</v>
      </c>
    </row>
    <row r="816" spans="2:7" x14ac:dyDescent="0.15">
      <c r="B816" s="299"/>
      <c r="C816" s="65" t="s">
        <v>666</v>
      </c>
      <c r="D816" s="66">
        <f>VLOOKUP(C816,基本字段定义!$B$3:$C$3013,2,FALSE)</f>
        <v>719</v>
      </c>
      <c r="E816" s="67" t="s">
        <v>506</v>
      </c>
      <c r="F816" s="67"/>
      <c r="G816" s="68" t="s">
        <v>683</v>
      </c>
    </row>
    <row r="817" spans="2:7" x14ac:dyDescent="0.15">
      <c r="B817" s="299"/>
      <c r="C817" s="65" t="s">
        <v>804</v>
      </c>
      <c r="D817" s="66">
        <f>VLOOKUP(C817,基本字段定义!$B$3:$C$3013,2,FALSE)</f>
        <v>1616</v>
      </c>
      <c r="E817" s="67" t="s">
        <v>429</v>
      </c>
      <c r="F817" s="67"/>
      <c r="G817" s="68" t="s">
        <v>805</v>
      </c>
    </row>
    <row r="818" spans="2:7" x14ac:dyDescent="0.15">
      <c r="B818" s="299"/>
      <c r="C818" s="65" t="s">
        <v>806</v>
      </c>
      <c r="D818" s="66">
        <f>VLOOKUP(C818,基本字段定义!$B$3:$C$3013,2,FALSE)</f>
        <v>683</v>
      </c>
      <c r="E818" s="67" t="s">
        <v>363</v>
      </c>
      <c r="F818" s="67"/>
      <c r="G818" s="68" t="s">
        <v>807</v>
      </c>
    </row>
    <row r="819" spans="2:7" x14ac:dyDescent="0.15">
      <c r="B819" s="299" t="s">
        <v>361</v>
      </c>
      <c r="C819" s="69" t="s">
        <v>666</v>
      </c>
      <c r="D819" s="70">
        <f>VLOOKUP(C819,基本字段定义!$B$3:$C$3013,2,FALSE)</f>
        <v>719</v>
      </c>
      <c r="E819" s="71" t="s">
        <v>365</v>
      </c>
      <c r="F819" s="71"/>
      <c r="G819" s="72" t="s">
        <v>683</v>
      </c>
    </row>
    <row r="820" spans="2:7" x14ac:dyDescent="0.15">
      <c r="B820" s="299"/>
      <c r="C820" s="69" t="s">
        <v>808</v>
      </c>
      <c r="D820" s="70">
        <f>VLOOKUP(C820,基本字段定义!$B$3:$C$3013,2,FALSE)</f>
        <v>1907</v>
      </c>
      <c r="E820" s="71" t="s">
        <v>365</v>
      </c>
      <c r="F820" s="71"/>
      <c r="G820" s="73" t="s">
        <v>809</v>
      </c>
    </row>
    <row r="821" spans="2:7" x14ac:dyDescent="0.15">
      <c r="B821" s="299"/>
      <c r="C821" s="69" t="s">
        <v>806</v>
      </c>
      <c r="D821" s="70">
        <f>VLOOKUP(C821,基本字段定义!$B$3:$C$3013,2,FALSE)</f>
        <v>683</v>
      </c>
      <c r="E821" s="71" t="s">
        <v>363</v>
      </c>
      <c r="F821" s="71"/>
      <c r="G821" s="73" t="s">
        <v>807</v>
      </c>
    </row>
    <row r="822" spans="2:7" x14ac:dyDescent="0.15">
      <c r="B822" s="299"/>
      <c r="C822" s="69" t="s">
        <v>810</v>
      </c>
      <c r="D822" s="70">
        <f>VLOOKUP(C822,基本字段定义!$B$3:$C$3013,2,FALSE)</f>
        <v>684</v>
      </c>
      <c r="E822" s="71" t="s">
        <v>363</v>
      </c>
      <c r="F822" s="71"/>
      <c r="G822" s="73" t="s">
        <v>811</v>
      </c>
    </row>
    <row r="823" spans="2:7" x14ac:dyDescent="0.15">
      <c r="B823" s="299"/>
      <c r="C823" s="69" t="s">
        <v>812</v>
      </c>
      <c r="D823" s="70">
        <f>VLOOKUP(C823,基本字段定义!$B$3:$C$3013,2,FALSE)</f>
        <v>682</v>
      </c>
      <c r="E823" s="71" t="s">
        <v>563</v>
      </c>
      <c r="F823" s="71"/>
      <c r="G823" s="73" t="s">
        <v>813</v>
      </c>
    </row>
    <row r="824" spans="2:7" x14ac:dyDescent="0.15">
      <c r="B824" s="299"/>
      <c r="C824" s="69" t="s">
        <v>804</v>
      </c>
      <c r="D824" s="70">
        <f>VLOOKUP(C824,基本字段定义!$B$3:$C$3013,2,FALSE)</f>
        <v>1616</v>
      </c>
      <c r="E824" s="71" t="s">
        <v>365</v>
      </c>
      <c r="F824" s="71"/>
      <c r="G824" s="73" t="s">
        <v>805</v>
      </c>
    </row>
    <row r="825" spans="2:7" x14ac:dyDescent="0.15">
      <c r="B825" s="299"/>
      <c r="C825" s="69" t="s">
        <v>765</v>
      </c>
      <c r="D825" s="70">
        <f>VLOOKUP(C825,基本字段定义!$B$3:$C$3013,2,FALSE)</f>
        <v>9108</v>
      </c>
      <c r="E825" s="71" t="s">
        <v>363</v>
      </c>
      <c r="F825" s="71"/>
      <c r="G825" s="73" t="s">
        <v>814</v>
      </c>
    </row>
    <row r="826" spans="2:7" x14ac:dyDescent="0.15">
      <c r="B826" s="299"/>
      <c r="C826" s="69" t="s">
        <v>815</v>
      </c>
      <c r="D826" s="70">
        <f>VLOOKUP(C826,基本字段定义!$B$3:$C$3013,2,FALSE)</f>
        <v>677</v>
      </c>
      <c r="E826" s="71" t="s">
        <v>365</v>
      </c>
      <c r="F826" s="71"/>
      <c r="G826" s="73" t="s">
        <v>816</v>
      </c>
    </row>
    <row r="827" spans="2:7" x14ac:dyDescent="0.15">
      <c r="B827" s="299"/>
      <c r="C827" s="69" t="s">
        <v>817</v>
      </c>
      <c r="D827" s="70">
        <f>VLOOKUP(C827,基本字段定义!$B$3:$C$3013,2,FALSE)</f>
        <v>678</v>
      </c>
      <c r="E827" s="71" t="s">
        <v>365</v>
      </c>
      <c r="F827" s="71"/>
      <c r="G827" s="73" t="s">
        <v>818</v>
      </c>
    </row>
    <row r="828" spans="2:7" x14ac:dyDescent="0.15">
      <c r="B828" s="299"/>
      <c r="C828" s="69" t="s">
        <v>474</v>
      </c>
      <c r="D828" s="70">
        <f>VLOOKUP(C828,基本字段定义!$B$3:$C$3013,2,FALSE)</f>
        <v>532</v>
      </c>
      <c r="E828" s="71" t="s">
        <v>365</v>
      </c>
      <c r="F828" s="71"/>
      <c r="G828" s="73" t="s">
        <v>488</v>
      </c>
    </row>
    <row r="829" spans="2:7" ht="14.25" thickBot="1" x14ac:dyDescent="0.2">
      <c r="B829" s="304"/>
      <c r="C829" s="75"/>
      <c r="D829" s="83"/>
      <c r="E829" s="77"/>
      <c r="F829" s="77"/>
      <c r="G829" s="78"/>
    </row>
    <row r="831" spans="2:7" x14ac:dyDescent="0.15">
      <c r="B831" s="57" t="s">
        <v>163</v>
      </c>
      <c r="C831" s="84">
        <v>164080</v>
      </c>
      <c r="D831" s="85"/>
      <c r="E831" s="86"/>
      <c r="F831" s="58" t="s">
        <v>352</v>
      </c>
      <c r="G831" s="59"/>
    </row>
    <row r="832" spans="2:7" x14ac:dyDescent="0.15">
      <c r="B832" s="60" t="s">
        <v>353</v>
      </c>
      <c r="C832" s="87" t="str">
        <f>VLOOKUP(C831,功能索引!$C$3:$D$278,2,FALSE)</f>
        <v>添加股东附加交易权限</v>
      </c>
      <c r="D832" s="88"/>
      <c r="E832" s="89"/>
      <c r="F832" s="61" t="s">
        <v>165</v>
      </c>
      <c r="G832" s="62">
        <f>VLOOKUP(C831,功能索引!$C$3:$E1392,3,FALSE)</f>
        <v>0</v>
      </c>
    </row>
    <row r="833" spans="2:7" x14ac:dyDescent="0.15">
      <c r="B833" s="299" t="s">
        <v>354</v>
      </c>
      <c r="C833" s="99"/>
      <c r="D833" s="100"/>
      <c r="E833" s="100"/>
      <c r="F833" s="100"/>
      <c r="G833" s="101"/>
    </row>
    <row r="834" spans="2:7" ht="14.25" thickBot="1" x14ac:dyDescent="0.2">
      <c r="B834" s="304"/>
      <c r="C834" s="102"/>
      <c r="D834" s="103"/>
      <c r="E834" s="103"/>
      <c r="F834" s="103"/>
      <c r="G834" s="104"/>
    </row>
    <row r="835" spans="2:7" x14ac:dyDescent="0.15">
      <c r="B835" s="298" t="s">
        <v>355</v>
      </c>
      <c r="C835" s="58" t="s">
        <v>356</v>
      </c>
      <c r="D835" s="58" t="s">
        <v>357</v>
      </c>
      <c r="E835" s="58" t="s">
        <v>358</v>
      </c>
      <c r="F835" s="58" t="s">
        <v>359</v>
      </c>
      <c r="G835" s="64" t="s">
        <v>360</v>
      </c>
    </row>
    <row r="836" spans="2:7" x14ac:dyDescent="0.15">
      <c r="B836" s="299"/>
      <c r="C836" s="65" t="s">
        <v>387</v>
      </c>
      <c r="D836" s="66">
        <f>VLOOKUP(C836,基本字段定义!$B$3:$C$3013,2,FALSE)</f>
        <v>599</v>
      </c>
      <c r="E836" s="67" t="s">
        <v>388</v>
      </c>
      <c r="F836" s="67" t="s">
        <v>169</v>
      </c>
      <c r="G836" s="68" t="s">
        <v>389</v>
      </c>
    </row>
    <row r="837" spans="2:7" x14ac:dyDescent="0.15">
      <c r="B837" s="299"/>
      <c r="C837" s="65" t="s">
        <v>428</v>
      </c>
      <c r="D837" s="66">
        <f>VLOOKUP(C837,基本字段定义!$B$3:$C$3013,2,FALSE)</f>
        <v>605</v>
      </c>
      <c r="E837" s="67" t="s">
        <v>429</v>
      </c>
      <c r="F837" s="67" t="s">
        <v>169</v>
      </c>
      <c r="G837" s="68" t="s">
        <v>430</v>
      </c>
    </row>
    <row r="838" spans="2:7" x14ac:dyDescent="0.15">
      <c r="B838" s="299"/>
      <c r="C838" s="65" t="s">
        <v>431</v>
      </c>
      <c r="D838" s="66">
        <f>VLOOKUP(C838,基本字段定义!$B$3:$C$3013,2,FALSE)</f>
        <v>571</v>
      </c>
      <c r="E838" s="67" t="s">
        <v>432</v>
      </c>
      <c r="F838" s="67" t="s">
        <v>169</v>
      </c>
      <c r="G838" s="68" t="s">
        <v>433</v>
      </c>
    </row>
    <row r="839" spans="2:7" x14ac:dyDescent="0.15">
      <c r="B839" s="299"/>
      <c r="C839" s="65" t="s">
        <v>399</v>
      </c>
      <c r="D839" s="66">
        <f>VLOOKUP(C839,基本字段定义!$B$3:$C$3013,2,FALSE)</f>
        <v>697</v>
      </c>
      <c r="E839" s="67" t="s">
        <v>371</v>
      </c>
      <c r="F839" s="67" t="s">
        <v>169</v>
      </c>
      <c r="G839" s="68" t="s">
        <v>400</v>
      </c>
    </row>
    <row r="840" spans="2:7" x14ac:dyDescent="0.15">
      <c r="B840" s="299"/>
      <c r="C840" s="65" t="s">
        <v>763</v>
      </c>
      <c r="D840" s="66">
        <f>VLOOKUP(C840,基本字段定义!$B$3:$C$3013,2,FALSE)</f>
        <v>2309</v>
      </c>
      <c r="E840" s="67" t="s">
        <v>363</v>
      </c>
      <c r="F840" s="67" t="s">
        <v>169</v>
      </c>
      <c r="G840" s="68" t="s">
        <v>819</v>
      </c>
    </row>
    <row r="841" spans="2:7" x14ac:dyDescent="0.15">
      <c r="B841" s="299" t="s">
        <v>361</v>
      </c>
      <c r="C841" s="69" t="s">
        <v>362</v>
      </c>
      <c r="D841" s="70">
        <f>VLOOKUP(C841,基本字段定义!$B$3:$C$3013,2,FALSE)</f>
        <v>507</v>
      </c>
      <c r="E841" s="71" t="s">
        <v>363</v>
      </c>
      <c r="F841" s="71"/>
      <c r="G841" s="72"/>
    </row>
    <row r="842" spans="2:7" x14ac:dyDescent="0.15">
      <c r="B842" s="299"/>
      <c r="C842" s="69" t="s">
        <v>364</v>
      </c>
      <c r="D842" s="70">
        <f>VLOOKUP(C842,基本字段定义!$B$3:$C$3013,2,FALSE)</f>
        <v>508</v>
      </c>
      <c r="E842" s="71" t="s">
        <v>365</v>
      </c>
      <c r="F842" s="71"/>
      <c r="G842" s="73"/>
    </row>
    <row r="843" spans="2:7" ht="14.25" thickBot="1" x14ac:dyDescent="0.2">
      <c r="B843" s="304"/>
      <c r="C843" s="75"/>
      <c r="D843" s="83"/>
      <c r="E843" s="77"/>
      <c r="F843" s="77"/>
      <c r="G843" s="78"/>
    </row>
    <row r="845" spans="2:7" x14ac:dyDescent="0.15">
      <c r="B845" s="57" t="s">
        <v>163</v>
      </c>
      <c r="C845" s="84">
        <v>304001</v>
      </c>
      <c r="D845" s="85"/>
      <c r="E845" s="86"/>
      <c r="F845" s="58" t="s">
        <v>352</v>
      </c>
      <c r="G845" s="59"/>
    </row>
    <row r="846" spans="2:7" x14ac:dyDescent="0.15">
      <c r="B846" s="60" t="s">
        <v>353</v>
      </c>
      <c r="C846" s="87" t="str">
        <f>VLOOKUP(C845,功能索引!$C$3:$D$278,2,FALSE)</f>
        <v>客户股东号查询</v>
      </c>
      <c r="D846" s="88"/>
      <c r="E846" s="89"/>
      <c r="F846" s="61" t="s">
        <v>165</v>
      </c>
      <c r="G846" s="62" t="str">
        <f>VLOOKUP(C845,功能索引!$C$3:$E1186,3,FALSE)</f>
        <v>Y</v>
      </c>
    </row>
    <row r="847" spans="2:7" x14ac:dyDescent="0.15">
      <c r="B847" s="299" t="s">
        <v>354</v>
      </c>
      <c r="C847" s="99"/>
      <c r="D847" s="100"/>
      <c r="E847" s="100"/>
      <c r="F847" s="100"/>
      <c r="G847" s="101"/>
    </row>
    <row r="848" spans="2:7" ht="14.25" thickBot="1" x14ac:dyDescent="0.2">
      <c r="B848" s="304"/>
      <c r="C848" s="102"/>
      <c r="D848" s="103"/>
      <c r="E848" s="103"/>
      <c r="F848" s="103"/>
      <c r="G848" s="104"/>
    </row>
    <row r="849" spans="2:7" x14ac:dyDescent="0.15">
      <c r="B849" s="298" t="s">
        <v>355</v>
      </c>
      <c r="C849" s="58" t="s">
        <v>356</v>
      </c>
      <c r="D849" s="58" t="s">
        <v>357</v>
      </c>
      <c r="E849" s="58" t="s">
        <v>358</v>
      </c>
      <c r="F849" s="58" t="s">
        <v>359</v>
      </c>
      <c r="G849" s="64" t="s">
        <v>360</v>
      </c>
    </row>
    <row r="850" spans="2:7" x14ac:dyDescent="0.15">
      <c r="B850" s="299"/>
      <c r="C850" s="65" t="s">
        <v>428</v>
      </c>
      <c r="D850" s="66">
        <f>VLOOKUP(C850,基本字段定义!$B$3:$C$3013,2,FALSE)</f>
        <v>605</v>
      </c>
      <c r="E850" s="67" t="s">
        <v>429</v>
      </c>
      <c r="F850" s="67" t="s">
        <v>169</v>
      </c>
      <c r="G850" s="68" t="s">
        <v>430</v>
      </c>
    </row>
    <row r="851" spans="2:7" x14ac:dyDescent="0.15">
      <c r="B851" s="299"/>
      <c r="C851" s="65" t="s">
        <v>387</v>
      </c>
      <c r="D851" s="66">
        <f>VLOOKUP(C851,基本字段定义!$B$3:$C$3013,2,FALSE)</f>
        <v>599</v>
      </c>
      <c r="E851" s="67" t="s">
        <v>388</v>
      </c>
      <c r="F851" s="67"/>
      <c r="G851" s="68" t="s">
        <v>389</v>
      </c>
    </row>
    <row r="852" spans="2:7" x14ac:dyDescent="0.15">
      <c r="B852" s="299" t="s">
        <v>361</v>
      </c>
      <c r="C852" s="69" t="s">
        <v>431</v>
      </c>
      <c r="D852" s="70">
        <f>VLOOKUP(C852,基本字段定义!$B$3:$C$3013,2,FALSE)</f>
        <v>571</v>
      </c>
      <c r="E852" s="71" t="s">
        <v>365</v>
      </c>
      <c r="F852" s="71"/>
      <c r="G852" s="72" t="s">
        <v>433</v>
      </c>
    </row>
    <row r="853" spans="2:7" x14ac:dyDescent="0.15">
      <c r="B853" s="299"/>
      <c r="C853" s="69" t="s">
        <v>387</v>
      </c>
      <c r="D853" s="70">
        <f>VLOOKUP(C853,基本字段定义!$B$3:$C$3013,2,FALSE)</f>
        <v>599</v>
      </c>
      <c r="E853" s="71" t="s">
        <v>365</v>
      </c>
      <c r="F853" s="71"/>
      <c r="G853" s="73" t="s">
        <v>389</v>
      </c>
    </row>
    <row r="854" spans="2:7" x14ac:dyDescent="0.15">
      <c r="B854" s="299"/>
      <c r="C854" s="69" t="s">
        <v>550</v>
      </c>
      <c r="D854" s="70">
        <f>VLOOKUP(C854,基本字段定义!$B$3:$C$3013,2,FALSE)</f>
        <v>511</v>
      </c>
      <c r="E854" s="71" t="s">
        <v>365</v>
      </c>
      <c r="F854" s="71"/>
      <c r="G854" s="73" t="s">
        <v>551</v>
      </c>
    </row>
    <row r="855" spans="2:7" x14ac:dyDescent="0.15">
      <c r="B855" s="299"/>
      <c r="C855" s="69" t="s">
        <v>556</v>
      </c>
      <c r="D855" s="70">
        <f>VLOOKUP(C855,基本字段定义!$B$3:$C$3013,2,FALSE)</f>
        <v>727</v>
      </c>
      <c r="E855" s="71" t="s">
        <v>363</v>
      </c>
      <c r="F855" s="71"/>
      <c r="G855" s="73" t="s">
        <v>820</v>
      </c>
    </row>
    <row r="856" spans="2:7" x14ac:dyDescent="0.15">
      <c r="B856" s="300"/>
      <c r="C856" s="91" t="s">
        <v>821</v>
      </c>
      <c r="D856" s="93">
        <v>1532</v>
      </c>
      <c r="E856" s="92" t="s">
        <v>363</v>
      </c>
      <c r="F856" s="92"/>
      <c r="G856" s="94" t="s">
        <v>822</v>
      </c>
    </row>
    <row r="857" spans="2:7" ht="14.25" thickBot="1" x14ac:dyDescent="0.2">
      <c r="B857" s="304"/>
      <c r="C857" s="75"/>
      <c r="D857" s="83"/>
      <c r="E857" s="77"/>
      <c r="F857" s="77"/>
      <c r="G857" s="78"/>
    </row>
    <row r="859" spans="2:7" x14ac:dyDescent="0.15">
      <c r="B859" s="57" t="s">
        <v>163</v>
      </c>
      <c r="C859" s="84">
        <v>304002</v>
      </c>
      <c r="D859" s="85"/>
      <c r="E859" s="86"/>
      <c r="F859" s="58" t="s">
        <v>352</v>
      </c>
      <c r="G859" s="59"/>
    </row>
    <row r="860" spans="2:7" x14ac:dyDescent="0.15">
      <c r="B860" s="60" t="s">
        <v>353</v>
      </c>
      <c r="C860" s="87" t="str">
        <f>VLOOKUP(C859,功能索引!$C$3:$D$278,2,FALSE)</f>
        <v>股东资料查询</v>
      </c>
      <c r="D860" s="88"/>
      <c r="E860" s="89"/>
      <c r="F860" s="61" t="s">
        <v>165</v>
      </c>
      <c r="G860" s="62">
        <f>VLOOKUP(C859,功能索引!$C$3:$E1200,3,FALSE)</f>
        <v>0</v>
      </c>
    </row>
    <row r="861" spans="2:7" x14ac:dyDescent="0.15">
      <c r="B861" s="299" t="s">
        <v>354</v>
      </c>
      <c r="C861" s="99"/>
      <c r="D861" s="100"/>
      <c r="E861" s="100"/>
      <c r="F861" s="100"/>
      <c r="G861" s="101"/>
    </row>
    <row r="862" spans="2:7" ht="14.25" thickBot="1" x14ac:dyDescent="0.2">
      <c r="B862" s="304"/>
      <c r="C862" s="102"/>
      <c r="D862" s="103"/>
      <c r="E862" s="103"/>
      <c r="F862" s="103"/>
      <c r="G862" s="104"/>
    </row>
    <row r="863" spans="2:7" x14ac:dyDescent="0.15">
      <c r="B863" s="298" t="s">
        <v>355</v>
      </c>
      <c r="C863" s="58" t="s">
        <v>356</v>
      </c>
      <c r="D863" s="58" t="s">
        <v>357</v>
      </c>
      <c r="E863" s="58" t="s">
        <v>358</v>
      </c>
      <c r="F863" s="58" t="s">
        <v>359</v>
      </c>
      <c r="G863" s="64" t="s">
        <v>360</v>
      </c>
    </row>
    <row r="864" spans="2:7" x14ac:dyDescent="0.15">
      <c r="B864" s="299"/>
      <c r="C864" s="65" t="s">
        <v>431</v>
      </c>
      <c r="D864" s="66">
        <f>VLOOKUP(C864,基本字段定义!$B$3:$C$3013,2,FALSE)</f>
        <v>571</v>
      </c>
      <c r="E864" s="67" t="s">
        <v>432</v>
      </c>
      <c r="F864" s="67" t="s">
        <v>169</v>
      </c>
      <c r="G864" s="68" t="s">
        <v>433</v>
      </c>
    </row>
    <row r="865" spans="2:7" x14ac:dyDescent="0.15">
      <c r="B865" s="299"/>
      <c r="C865" s="65" t="s">
        <v>387</v>
      </c>
      <c r="D865" s="66">
        <f>VLOOKUP(C865,基本字段定义!$B$3:$C$3013,2,FALSE)</f>
        <v>599</v>
      </c>
      <c r="E865" s="67" t="s">
        <v>388</v>
      </c>
      <c r="F865" s="67" t="s">
        <v>169</v>
      </c>
      <c r="G865" s="68" t="s">
        <v>389</v>
      </c>
    </row>
    <row r="866" spans="2:7" x14ac:dyDescent="0.15">
      <c r="B866" s="299" t="s">
        <v>361</v>
      </c>
      <c r="C866" s="69" t="s">
        <v>428</v>
      </c>
      <c r="D866" s="70">
        <f>VLOOKUP(C866,基本字段定义!$B$3:$C$3013,2,FALSE)</f>
        <v>605</v>
      </c>
      <c r="E866" s="71" t="s">
        <v>365</v>
      </c>
      <c r="F866" s="71"/>
      <c r="G866" s="72" t="s">
        <v>430</v>
      </c>
    </row>
    <row r="867" spans="2:7" x14ac:dyDescent="0.15">
      <c r="B867" s="299"/>
      <c r="C867" s="69" t="s">
        <v>446</v>
      </c>
      <c r="D867" s="70">
        <f>VLOOKUP(C867,基本字段定义!$B$3:$C$3013,2,FALSE)</f>
        <v>613</v>
      </c>
      <c r="E867" s="71" t="s">
        <v>365</v>
      </c>
      <c r="F867" s="71"/>
      <c r="G867" s="72" t="s">
        <v>823</v>
      </c>
    </row>
    <row r="868" spans="2:7" x14ac:dyDescent="0.15">
      <c r="B868" s="299"/>
      <c r="C868" s="69" t="s">
        <v>824</v>
      </c>
      <c r="D868" s="70">
        <f>VLOOKUP(C868,基本字段定义!$B$3:$C$3013,2,FALSE)</f>
        <v>575</v>
      </c>
      <c r="E868" s="71" t="s">
        <v>365</v>
      </c>
      <c r="F868" s="71"/>
      <c r="G868" s="72" t="s">
        <v>825</v>
      </c>
    </row>
    <row r="869" spans="2:7" x14ac:dyDescent="0.15">
      <c r="B869" s="299"/>
      <c r="C869" s="69" t="s">
        <v>550</v>
      </c>
      <c r="D869" s="70">
        <f>VLOOKUP(C869,基本字段定义!$B$3:$C$3013,2,FALSE)</f>
        <v>511</v>
      </c>
      <c r="E869" s="71" t="s">
        <v>365</v>
      </c>
      <c r="F869" s="71"/>
      <c r="G869" s="73" t="s">
        <v>551</v>
      </c>
    </row>
    <row r="870" spans="2:7" x14ac:dyDescent="0.15">
      <c r="B870" s="299"/>
      <c r="C870" s="69" t="s">
        <v>556</v>
      </c>
      <c r="D870" s="70">
        <f>VLOOKUP(C870,基本字段定义!$B$3:$C$3013,2,FALSE)</f>
        <v>727</v>
      </c>
      <c r="E870" s="71" t="s">
        <v>363</v>
      </c>
      <c r="F870" s="71"/>
      <c r="G870" s="73" t="s">
        <v>820</v>
      </c>
    </row>
    <row r="871" spans="2:7" x14ac:dyDescent="0.15">
      <c r="B871" s="300"/>
      <c r="C871" s="91" t="s">
        <v>821</v>
      </c>
      <c r="D871" s="93">
        <v>1532</v>
      </c>
      <c r="E871" s="92" t="s">
        <v>363</v>
      </c>
      <c r="F871" s="92"/>
      <c r="G871" s="94" t="s">
        <v>822</v>
      </c>
    </row>
    <row r="872" spans="2:7" ht="14.25" thickBot="1" x14ac:dyDescent="0.2">
      <c r="B872" s="304"/>
      <c r="C872" s="75"/>
      <c r="D872" s="83"/>
      <c r="E872" s="77"/>
      <c r="F872" s="77"/>
      <c r="G872" s="78"/>
    </row>
    <row r="874" spans="2:7" x14ac:dyDescent="0.15">
      <c r="B874" s="57" t="s">
        <v>163</v>
      </c>
      <c r="C874" s="84">
        <v>304003</v>
      </c>
      <c r="D874" s="85"/>
      <c r="E874" s="86"/>
      <c r="F874" s="58" t="s">
        <v>352</v>
      </c>
      <c r="G874" s="59"/>
    </row>
    <row r="875" spans="2:7" x14ac:dyDescent="0.15">
      <c r="B875" s="60" t="s">
        <v>353</v>
      </c>
      <c r="C875" s="87" t="str">
        <f>VLOOKUP(C874,功能索引!$C$3:$D$278,2,FALSE)</f>
        <v>根据股东帐号获取客户号</v>
      </c>
      <c r="D875" s="88"/>
      <c r="E875" s="89"/>
      <c r="F875" s="61" t="s">
        <v>165</v>
      </c>
      <c r="G875" s="62">
        <f>VLOOKUP(C874,功能索引!$C$3:$E1211,3,FALSE)</f>
        <v>0</v>
      </c>
    </row>
    <row r="876" spans="2:7" ht="13.5" customHeight="1" x14ac:dyDescent="0.15">
      <c r="B876" s="299" t="s">
        <v>354</v>
      </c>
      <c r="C876" s="99" t="s">
        <v>826</v>
      </c>
      <c r="D876" s="100"/>
      <c r="E876" s="100"/>
      <c r="F876" s="100"/>
      <c r="G876" s="101"/>
    </row>
    <row r="877" spans="2:7" ht="14.25" thickBot="1" x14ac:dyDescent="0.2">
      <c r="B877" s="304"/>
      <c r="C877" s="102"/>
      <c r="D877" s="103"/>
      <c r="E877" s="103"/>
      <c r="F877" s="103"/>
      <c r="G877" s="104"/>
    </row>
    <row r="878" spans="2:7" x14ac:dyDescent="0.15">
      <c r="B878" s="298" t="s">
        <v>355</v>
      </c>
      <c r="C878" s="58" t="s">
        <v>356</v>
      </c>
      <c r="D878" s="58" t="s">
        <v>357</v>
      </c>
      <c r="E878" s="58" t="s">
        <v>358</v>
      </c>
      <c r="F878" s="58" t="s">
        <v>359</v>
      </c>
      <c r="G878" s="64" t="s">
        <v>360</v>
      </c>
    </row>
    <row r="879" spans="2:7" x14ac:dyDescent="0.15">
      <c r="B879" s="299"/>
      <c r="C879" s="65" t="s">
        <v>431</v>
      </c>
      <c r="D879" s="66">
        <f>VLOOKUP(C879,基本字段定义!$B$3:$C$3013,2,FALSE)</f>
        <v>571</v>
      </c>
      <c r="E879" s="67" t="s">
        <v>432</v>
      </c>
      <c r="F879" s="67" t="s">
        <v>169</v>
      </c>
      <c r="G879" s="68" t="s">
        <v>433</v>
      </c>
    </row>
    <row r="880" spans="2:7" x14ac:dyDescent="0.15">
      <c r="B880" s="299"/>
      <c r="C880" s="65" t="s">
        <v>387</v>
      </c>
      <c r="D880" s="66">
        <f>VLOOKUP(C880,基本字段定义!$B$3:$C$3013,2,FALSE)</f>
        <v>599</v>
      </c>
      <c r="E880" s="67" t="s">
        <v>388</v>
      </c>
      <c r="F880" s="67"/>
      <c r="G880" s="68" t="s">
        <v>389</v>
      </c>
    </row>
    <row r="881" spans="2:7" x14ac:dyDescent="0.15">
      <c r="B881" s="299" t="s">
        <v>361</v>
      </c>
      <c r="C881" s="69" t="s">
        <v>362</v>
      </c>
      <c r="D881" s="70">
        <f>VLOOKUP(C881,基本字段定义!$B$3:$C$3013,2,FALSE)</f>
        <v>507</v>
      </c>
      <c r="E881" s="71" t="s">
        <v>363</v>
      </c>
      <c r="F881" s="71"/>
      <c r="G881" s="72"/>
    </row>
    <row r="882" spans="2:7" x14ac:dyDescent="0.15">
      <c r="B882" s="299"/>
      <c r="C882" s="69" t="s">
        <v>364</v>
      </c>
      <c r="D882" s="70">
        <f>VLOOKUP(C882,基本字段定义!$B$3:$C$3013,2,FALSE)</f>
        <v>508</v>
      </c>
      <c r="E882" s="71" t="s">
        <v>365</v>
      </c>
      <c r="F882" s="71"/>
      <c r="G882" s="73"/>
    </row>
    <row r="883" spans="2:7" x14ac:dyDescent="0.15">
      <c r="B883" s="299"/>
      <c r="C883" s="69" t="s">
        <v>428</v>
      </c>
      <c r="D883" s="70">
        <f>VLOOKUP(C883,基本字段定义!$B$3:$C$3013,2,FALSE)</f>
        <v>605</v>
      </c>
      <c r="E883" s="71" t="s">
        <v>365</v>
      </c>
      <c r="F883" s="71"/>
      <c r="G883" s="73" t="s">
        <v>430</v>
      </c>
    </row>
    <row r="884" spans="2:7" x14ac:dyDescent="0.15">
      <c r="B884" s="299"/>
      <c r="C884" s="69" t="s">
        <v>399</v>
      </c>
      <c r="D884" s="70">
        <f>VLOOKUP(C884,基本字段定义!$B$3:$C$3013,2,FALSE)</f>
        <v>697</v>
      </c>
      <c r="E884" s="71" t="s">
        <v>365</v>
      </c>
      <c r="F884" s="71"/>
      <c r="G884" s="72" t="s">
        <v>400</v>
      </c>
    </row>
    <row r="885" spans="2:7" x14ac:dyDescent="0.15">
      <c r="B885" s="299"/>
      <c r="C885" s="69" t="s">
        <v>387</v>
      </c>
      <c r="D885" s="70">
        <f>VLOOKUP(C885,基本字段定义!$B$3:$C$3013,2,FALSE)</f>
        <v>599</v>
      </c>
      <c r="E885" s="71" t="s">
        <v>365</v>
      </c>
      <c r="F885" s="71"/>
      <c r="G885" s="73" t="s">
        <v>389</v>
      </c>
    </row>
    <row r="886" spans="2:7" x14ac:dyDescent="0.15">
      <c r="B886" s="299"/>
      <c r="C886" s="69" t="s">
        <v>446</v>
      </c>
      <c r="D886" s="70">
        <f>VLOOKUP(C886,基本字段定义!$B$3:$C$3013,2,FALSE)</f>
        <v>613</v>
      </c>
      <c r="E886" s="71" t="s">
        <v>365</v>
      </c>
      <c r="F886" s="71"/>
      <c r="G886" s="73" t="s">
        <v>447</v>
      </c>
    </row>
    <row r="887" spans="2:7" ht="14.25" thickBot="1" x14ac:dyDescent="0.2">
      <c r="B887" s="304"/>
      <c r="C887" s="75"/>
      <c r="D887" s="83"/>
      <c r="E887" s="77"/>
      <c r="F887" s="77"/>
      <c r="G887" s="78"/>
    </row>
    <row r="889" spans="2:7" x14ac:dyDescent="0.15">
      <c r="B889" s="57" t="s">
        <v>163</v>
      </c>
      <c r="C889" s="84">
        <v>304101</v>
      </c>
      <c r="D889" s="85"/>
      <c r="E889" s="86"/>
      <c r="F889" s="58" t="s">
        <v>352</v>
      </c>
      <c r="G889" s="59"/>
    </row>
    <row r="890" spans="2:7" x14ac:dyDescent="0.15">
      <c r="B890" s="60" t="s">
        <v>353</v>
      </c>
      <c r="C890" s="87" t="str">
        <f>VLOOKUP(C889,功能索引!$C$3:$D$278,2,FALSE)</f>
        <v>客户持仓查询</v>
      </c>
      <c r="D890" s="88"/>
      <c r="E890" s="89"/>
      <c r="F890" s="61" t="s">
        <v>165</v>
      </c>
      <c r="G890" s="62" t="str">
        <f>VLOOKUP(C889,功能索引!$C$3:$E1226,3,FALSE)</f>
        <v>Y</v>
      </c>
    </row>
    <row r="891" spans="2:7" x14ac:dyDescent="0.15">
      <c r="B891" s="299" t="s">
        <v>354</v>
      </c>
      <c r="C891" s="99"/>
      <c r="D891" s="100"/>
      <c r="E891" s="100"/>
      <c r="F891" s="100"/>
      <c r="G891" s="101"/>
    </row>
    <row r="892" spans="2:7" ht="14.25" thickBot="1" x14ac:dyDescent="0.2">
      <c r="B892" s="304"/>
      <c r="C892" s="102"/>
      <c r="D892" s="103"/>
      <c r="E892" s="103"/>
      <c r="F892" s="103"/>
      <c r="G892" s="104"/>
    </row>
    <row r="893" spans="2:7" x14ac:dyDescent="0.15">
      <c r="B893" s="298" t="s">
        <v>355</v>
      </c>
      <c r="C893" s="58" t="s">
        <v>356</v>
      </c>
      <c r="D893" s="58" t="s">
        <v>357</v>
      </c>
      <c r="E893" s="58" t="s">
        <v>358</v>
      </c>
      <c r="F893" s="58" t="s">
        <v>359</v>
      </c>
      <c r="G893" s="64" t="s">
        <v>360</v>
      </c>
    </row>
    <row r="894" spans="2:7" x14ac:dyDescent="0.15">
      <c r="B894" s="299"/>
      <c r="C894" s="65" t="s">
        <v>428</v>
      </c>
      <c r="D894" s="66">
        <f>VLOOKUP(C894,基本字段定义!$B$3:$C$3013,2,FALSE)</f>
        <v>605</v>
      </c>
      <c r="E894" s="67" t="s">
        <v>429</v>
      </c>
      <c r="F894" s="67" t="s">
        <v>169</v>
      </c>
      <c r="G894" s="68" t="s">
        <v>430</v>
      </c>
    </row>
    <row r="895" spans="2:7" x14ac:dyDescent="0.15">
      <c r="B895" s="299"/>
      <c r="C895" s="65" t="s">
        <v>431</v>
      </c>
      <c r="D895" s="66">
        <f>VLOOKUP(C895,基本字段定义!$B$3:$C$3013,2,FALSE)</f>
        <v>571</v>
      </c>
      <c r="E895" s="67" t="s">
        <v>432</v>
      </c>
      <c r="F895" s="67"/>
      <c r="G895" s="68" t="s">
        <v>433</v>
      </c>
    </row>
    <row r="896" spans="2:7" x14ac:dyDescent="0.15">
      <c r="B896" s="299"/>
      <c r="C896" s="65" t="s">
        <v>387</v>
      </c>
      <c r="D896" s="66">
        <f>VLOOKUP(C896,基本字段定义!$B$3:$C$3013,2,FALSE)</f>
        <v>599</v>
      </c>
      <c r="E896" s="67" t="s">
        <v>388</v>
      </c>
      <c r="F896" s="67"/>
      <c r="G896" s="68" t="s">
        <v>389</v>
      </c>
    </row>
    <row r="897" spans="2:7" x14ac:dyDescent="0.15">
      <c r="B897" s="299"/>
      <c r="C897" s="65" t="s">
        <v>666</v>
      </c>
      <c r="D897" s="66">
        <f>VLOOKUP(C897,基本字段定义!$B$3:$C$3013,2,FALSE)</f>
        <v>719</v>
      </c>
      <c r="E897" s="67" t="s">
        <v>506</v>
      </c>
      <c r="F897" s="67"/>
      <c r="G897" s="68" t="s">
        <v>683</v>
      </c>
    </row>
    <row r="898" spans="2:7" x14ac:dyDescent="0.15">
      <c r="B898" s="299"/>
      <c r="C898" s="65" t="s">
        <v>458</v>
      </c>
      <c r="D898" s="66">
        <f>VLOOKUP(C898,基本字段定义!$B$3:$C$3013,2,FALSE)</f>
        <v>988</v>
      </c>
      <c r="E898" s="67" t="s">
        <v>363</v>
      </c>
      <c r="F898" s="67"/>
      <c r="G898" s="68" t="s">
        <v>827</v>
      </c>
    </row>
    <row r="899" spans="2:7" x14ac:dyDescent="0.15">
      <c r="B899" s="299" t="s">
        <v>361</v>
      </c>
      <c r="C899" s="69" t="s">
        <v>431</v>
      </c>
      <c r="D899" s="70">
        <f>VLOOKUP(C899,基本字段定义!$B$3:$C$3013,2,FALSE)</f>
        <v>571</v>
      </c>
      <c r="E899" s="71" t="s">
        <v>365</v>
      </c>
      <c r="F899" s="71"/>
      <c r="G899" s="73" t="s">
        <v>433</v>
      </c>
    </row>
    <row r="900" spans="2:7" x14ac:dyDescent="0.15">
      <c r="B900" s="299"/>
      <c r="C900" s="69" t="s">
        <v>387</v>
      </c>
      <c r="D900" s="70">
        <f>VLOOKUP(C900,基本字段定义!$B$3:$C$3013,2,FALSE)</f>
        <v>599</v>
      </c>
      <c r="E900" s="71" t="s">
        <v>365</v>
      </c>
      <c r="F900" s="71"/>
      <c r="G900" s="73" t="s">
        <v>389</v>
      </c>
    </row>
    <row r="901" spans="2:7" x14ac:dyDescent="0.15">
      <c r="B901" s="299"/>
      <c r="C901" s="69" t="s">
        <v>666</v>
      </c>
      <c r="D901" s="70">
        <f>VLOOKUP(C901,基本字段定义!$B$3:$C$3013,2,FALSE)</f>
        <v>719</v>
      </c>
      <c r="E901" s="71" t="s">
        <v>365</v>
      </c>
      <c r="F901" s="71"/>
      <c r="G901" s="73" t="s">
        <v>683</v>
      </c>
    </row>
    <row r="902" spans="2:7" x14ac:dyDescent="0.15">
      <c r="B902" s="299"/>
      <c r="C902" s="69" t="s">
        <v>685</v>
      </c>
      <c r="D902" s="70">
        <f>VLOOKUP(C902,基本字段定义!$B$3:$C$3013,2,FALSE)</f>
        <v>722</v>
      </c>
      <c r="E902" s="71" t="s">
        <v>365</v>
      </c>
      <c r="F902" s="71"/>
      <c r="G902" s="73" t="s">
        <v>686</v>
      </c>
    </row>
    <row r="903" spans="2:7" x14ac:dyDescent="0.15">
      <c r="B903" s="299"/>
      <c r="C903" s="69" t="s">
        <v>550</v>
      </c>
      <c r="D903" s="70">
        <f>VLOOKUP(C903,基本字段定义!$B$3:$C$3013,2,FALSE)</f>
        <v>511</v>
      </c>
      <c r="E903" s="71" t="s">
        <v>365</v>
      </c>
      <c r="F903" s="71"/>
      <c r="G903" s="73" t="s">
        <v>551</v>
      </c>
    </row>
    <row r="904" spans="2:7" x14ac:dyDescent="0.15">
      <c r="B904" s="299"/>
      <c r="C904" s="69" t="s">
        <v>796</v>
      </c>
      <c r="D904" s="70">
        <f>VLOOKUP(C904,基本字段定义!$B$3:$C$3013,2,FALSE)</f>
        <v>724</v>
      </c>
      <c r="E904" s="71" t="s">
        <v>363</v>
      </c>
      <c r="F904" s="71"/>
      <c r="G904" s="73" t="s">
        <v>828</v>
      </c>
    </row>
    <row r="905" spans="2:7" x14ac:dyDescent="0.15">
      <c r="B905" s="299"/>
      <c r="C905" s="69" t="s">
        <v>829</v>
      </c>
      <c r="D905" s="70">
        <f>VLOOKUP(C905,基本字段定义!$B$3:$C$3013,2,FALSE)</f>
        <v>543</v>
      </c>
      <c r="E905" s="71" t="s">
        <v>363</v>
      </c>
      <c r="F905" s="71"/>
      <c r="G905" s="73" t="s">
        <v>830</v>
      </c>
    </row>
    <row r="906" spans="2:7" x14ac:dyDescent="0.15">
      <c r="B906" s="299"/>
      <c r="C906" s="69" t="s">
        <v>831</v>
      </c>
      <c r="D906" s="70">
        <f>VLOOKUP(C906,基本字段定义!$B$3:$C$3013,2,FALSE)</f>
        <v>545</v>
      </c>
      <c r="E906" s="71" t="s">
        <v>363</v>
      </c>
      <c r="F906" s="71"/>
      <c r="G906" s="73" t="s">
        <v>832</v>
      </c>
    </row>
    <row r="907" spans="2:7" x14ac:dyDescent="0.15">
      <c r="B907" s="299"/>
      <c r="C907" s="69" t="s">
        <v>833</v>
      </c>
      <c r="D907" s="70">
        <f>VLOOKUP(C907,基本字段定义!$B$3:$C$3013,2,FALSE)</f>
        <v>541</v>
      </c>
      <c r="E907" s="71" t="s">
        <v>363</v>
      </c>
      <c r="F907" s="71"/>
      <c r="G907" s="73" t="s">
        <v>834</v>
      </c>
    </row>
    <row r="908" spans="2:7" x14ac:dyDescent="0.15">
      <c r="B908" s="299"/>
      <c r="C908" s="69" t="s">
        <v>835</v>
      </c>
      <c r="D908" s="70">
        <f>VLOOKUP(C908,基本字段定义!$B$3:$C$3013,2,FALSE)</f>
        <v>1184</v>
      </c>
      <c r="E908" s="71" t="s">
        <v>363</v>
      </c>
      <c r="F908" s="71"/>
      <c r="G908" s="73" t="s">
        <v>836</v>
      </c>
    </row>
    <row r="909" spans="2:7" x14ac:dyDescent="0.15">
      <c r="B909" s="299"/>
      <c r="C909" s="69" t="s">
        <v>837</v>
      </c>
      <c r="D909" s="70">
        <f>VLOOKUP(C909,基本字段定义!$B$3:$C$3013,2,FALSE)</f>
        <v>1179</v>
      </c>
      <c r="E909" s="71" t="s">
        <v>363</v>
      </c>
      <c r="F909" s="71"/>
      <c r="G909" s="73" t="s">
        <v>838</v>
      </c>
    </row>
    <row r="910" spans="2:7" x14ac:dyDescent="0.15">
      <c r="B910" s="299"/>
      <c r="C910" s="69" t="s">
        <v>839</v>
      </c>
      <c r="D910" s="70">
        <f>VLOOKUP(C910,基本字段定义!$B$3:$C$3013,2,FALSE)</f>
        <v>615</v>
      </c>
      <c r="E910" s="71" t="s">
        <v>363</v>
      </c>
      <c r="F910" s="71"/>
      <c r="G910" s="73" t="s">
        <v>840</v>
      </c>
    </row>
    <row r="911" spans="2:7" x14ac:dyDescent="0.15">
      <c r="B911" s="299"/>
      <c r="C911" s="69" t="s">
        <v>841</v>
      </c>
      <c r="D911" s="70">
        <f>VLOOKUP(C911,基本字段定义!$B$3:$C$3013,2,FALSE)</f>
        <v>1235</v>
      </c>
      <c r="E911" s="71" t="s">
        <v>363</v>
      </c>
      <c r="F911" s="71"/>
      <c r="G911" s="73" t="s">
        <v>842</v>
      </c>
    </row>
    <row r="912" spans="2:7" x14ac:dyDescent="0.15">
      <c r="B912" s="299"/>
      <c r="C912" s="69" t="s">
        <v>843</v>
      </c>
      <c r="D912" s="70">
        <f>VLOOKUP(C912,基本字段定义!$B$3:$C$3013,2,FALSE)</f>
        <v>568</v>
      </c>
      <c r="E912" s="71" t="s">
        <v>363</v>
      </c>
      <c r="F912" s="71"/>
      <c r="G912" s="73" t="s">
        <v>844</v>
      </c>
    </row>
    <row r="913" spans="2:7" x14ac:dyDescent="0.15">
      <c r="B913" s="299"/>
      <c r="C913" s="69" t="s">
        <v>845</v>
      </c>
      <c r="D913" s="70">
        <f>VLOOKUP(C913,基本字段定义!$B$3:$C$3013,2,FALSE)</f>
        <v>757</v>
      </c>
      <c r="E913" s="71" t="s">
        <v>363</v>
      </c>
      <c r="F913" s="71"/>
      <c r="G913" s="73" t="s">
        <v>846</v>
      </c>
    </row>
    <row r="914" spans="2:7" x14ac:dyDescent="0.15">
      <c r="B914" s="299"/>
      <c r="C914" s="69" t="s">
        <v>847</v>
      </c>
      <c r="D914" s="70">
        <f>VLOOKUP(C914,基本字段定义!$B$3:$C$3013,2,FALSE)</f>
        <v>758</v>
      </c>
      <c r="E914" s="71" t="s">
        <v>363</v>
      </c>
      <c r="F914" s="71"/>
      <c r="G914" s="73" t="s">
        <v>848</v>
      </c>
    </row>
    <row r="915" spans="2:7" x14ac:dyDescent="0.15">
      <c r="B915" s="299"/>
      <c r="C915" s="69" t="s">
        <v>4016</v>
      </c>
      <c r="D915" s="70">
        <f>VLOOKUP(C915,基本字段定义!$B$3:$C$3013,2,FALSE)</f>
        <v>1722</v>
      </c>
      <c r="E915" s="71" t="s">
        <v>4017</v>
      </c>
      <c r="F915" s="71"/>
      <c r="G915" s="73" t="s">
        <v>4018</v>
      </c>
    </row>
    <row r="916" spans="2:7" x14ac:dyDescent="0.15">
      <c r="B916" s="299"/>
      <c r="C916" s="69" t="s">
        <v>849</v>
      </c>
      <c r="D916" s="70">
        <f>VLOOKUP(C916,基本字段定义!$B$3:$C$3013,2,FALSE)</f>
        <v>603</v>
      </c>
      <c r="E916" s="71" t="s">
        <v>363</v>
      </c>
      <c r="F916" s="71"/>
      <c r="G916" s="73" t="s">
        <v>850</v>
      </c>
    </row>
    <row r="917" spans="2:7" x14ac:dyDescent="0.15">
      <c r="B917" s="299"/>
      <c r="C917" s="69" t="s">
        <v>573</v>
      </c>
      <c r="D917" s="70">
        <f>VLOOKUP(C917,基本字段定义!$B$3:$C$3013,2,FALSE)</f>
        <v>760</v>
      </c>
      <c r="E917" s="71" t="s">
        <v>563</v>
      </c>
      <c r="F917" s="71"/>
      <c r="G917" s="73" t="s">
        <v>851</v>
      </c>
    </row>
    <row r="918" spans="2:7" x14ac:dyDescent="0.15">
      <c r="B918" s="299"/>
      <c r="C918" s="69" t="s">
        <v>687</v>
      </c>
      <c r="D918" s="70">
        <f>VLOOKUP(C918,基本字段定义!$B$3:$C$3013,2,FALSE)</f>
        <v>591</v>
      </c>
      <c r="E918" s="71" t="s">
        <v>363</v>
      </c>
      <c r="F918" s="71"/>
      <c r="G918" s="73" t="s">
        <v>852</v>
      </c>
    </row>
    <row r="919" spans="2:7" x14ac:dyDescent="0.15">
      <c r="B919" s="299"/>
      <c r="C919" s="69" t="s">
        <v>691</v>
      </c>
      <c r="D919" s="70">
        <f>VLOOKUP(C919,基本字段定义!$B$3:$C$3013,2,FALSE)</f>
        <v>729</v>
      </c>
      <c r="E919" s="71" t="s">
        <v>563</v>
      </c>
      <c r="F919" s="71"/>
      <c r="G919" s="73" t="s">
        <v>853</v>
      </c>
    </row>
    <row r="920" spans="2:7" x14ac:dyDescent="0.15">
      <c r="B920" s="299"/>
      <c r="C920" s="69" t="s">
        <v>701</v>
      </c>
      <c r="D920" s="70">
        <f>VLOOKUP(C920,基本字段定义!$B$3:$C$3013,2,FALSE)</f>
        <v>961</v>
      </c>
      <c r="E920" s="71" t="s">
        <v>563</v>
      </c>
      <c r="F920" s="71"/>
      <c r="G920" s="73" t="s">
        <v>854</v>
      </c>
    </row>
    <row r="921" spans="2:7" x14ac:dyDescent="0.15">
      <c r="B921" s="299"/>
      <c r="C921" s="69" t="s">
        <v>855</v>
      </c>
      <c r="D921" s="70">
        <f>VLOOKUP(C921,基本字段定义!$B$3:$C$3013,2,FALSE)</f>
        <v>636</v>
      </c>
      <c r="E921" s="71" t="s">
        <v>563</v>
      </c>
      <c r="F921" s="71"/>
      <c r="G921" s="73" t="s">
        <v>856</v>
      </c>
    </row>
    <row r="922" spans="2:7" x14ac:dyDescent="0.15">
      <c r="B922" s="299"/>
      <c r="C922" s="69" t="s">
        <v>857</v>
      </c>
      <c r="D922" s="70">
        <f>VLOOKUP(C922,基本字段定义!$B$3:$C$3013,2,FALSE)</f>
        <v>1209</v>
      </c>
      <c r="E922" s="71" t="s">
        <v>563</v>
      </c>
      <c r="F922" s="71" t="s">
        <v>858</v>
      </c>
      <c r="G922" s="73" t="s">
        <v>859</v>
      </c>
    </row>
    <row r="923" spans="2:7" x14ac:dyDescent="0.15">
      <c r="B923" s="299"/>
      <c r="C923" s="69" t="s">
        <v>860</v>
      </c>
      <c r="D923" s="70">
        <f>VLOOKUP(C923,基本字段定义!$B$3:$C$3013,2,FALSE)</f>
        <v>1098</v>
      </c>
      <c r="E923" s="71" t="s">
        <v>563</v>
      </c>
      <c r="F923" s="71"/>
      <c r="G923" s="73" t="s">
        <v>861</v>
      </c>
    </row>
    <row r="924" spans="2:7" x14ac:dyDescent="0.15">
      <c r="B924" s="299"/>
      <c r="C924" s="69" t="s">
        <v>862</v>
      </c>
      <c r="D924" s="70">
        <f>VLOOKUP(C924,基本字段定义!$B$3:$C$3013,2,FALSE)</f>
        <v>761</v>
      </c>
      <c r="E924" s="71" t="s">
        <v>563</v>
      </c>
      <c r="F924" s="71"/>
      <c r="G924" s="73" t="s">
        <v>863</v>
      </c>
    </row>
    <row r="925" spans="2:7" x14ac:dyDescent="0.15">
      <c r="B925" s="299"/>
      <c r="C925" s="69" t="s">
        <v>864</v>
      </c>
      <c r="D925" s="70">
        <f>VLOOKUP(C925,基本字段定义!$B$3:$C$3013,2,FALSE)</f>
        <v>1210</v>
      </c>
      <c r="E925" s="71" t="s">
        <v>563</v>
      </c>
      <c r="F925" s="71"/>
      <c r="G925" s="73" t="s">
        <v>865</v>
      </c>
    </row>
    <row r="926" spans="2:7" x14ac:dyDescent="0.15">
      <c r="B926" s="299"/>
      <c r="C926" s="69" t="s">
        <v>866</v>
      </c>
      <c r="D926" s="70">
        <f>VLOOKUP(C926,基本字段定义!$B$3:$C$3013,2,FALSE)</f>
        <v>671</v>
      </c>
      <c r="E926" s="71" t="s">
        <v>563</v>
      </c>
      <c r="F926" s="71" t="s">
        <v>867</v>
      </c>
      <c r="G926" s="73" t="s">
        <v>868</v>
      </c>
    </row>
    <row r="927" spans="2:7" x14ac:dyDescent="0.15">
      <c r="B927" s="299"/>
      <c r="C927" s="69" t="s">
        <v>869</v>
      </c>
      <c r="D927" s="70">
        <f>VLOOKUP(C927,基本字段定义!$B$3:$C$3013,2,FALSE)</f>
        <v>748</v>
      </c>
      <c r="E927" s="71" t="s">
        <v>563</v>
      </c>
      <c r="F927" s="71"/>
      <c r="G927" s="73" t="s">
        <v>870</v>
      </c>
    </row>
    <row r="928" spans="2:7" x14ac:dyDescent="0.15">
      <c r="B928" s="299"/>
      <c r="C928" s="69" t="s">
        <v>871</v>
      </c>
      <c r="D928" s="70">
        <f>VLOOKUP(C928,基本字段定义!$B$3:$C$3013,2,FALSE)</f>
        <v>749</v>
      </c>
      <c r="E928" s="71" t="s">
        <v>563</v>
      </c>
      <c r="F928" s="71"/>
      <c r="G928" s="73" t="s">
        <v>872</v>
      </c>
    </row>
    <row r="929" spans="2:7" ht="14.25" thickBot="1" x14ac:dyDescent="0.2">
      <c r="B929" s="304"/>
      <c r="C929" s="75"/>
      <c r="D929" s="83"/>
      <c r="E929" s="77"/>
      <c r="F929" s="77"/>
      <c r="G929" s="78"/>
    </row>
    <row r="931" spans="2:7" x14ac:dyDescent="0.15">
      <c r="B931" s="57" t="s">
        <v>163</v>
      </c>
      <c r="C931" s="84">
        <v>304004</v>
      </c>
      <c r="D931" s="85"/>
      <c r="E931" s="86"/>
      <c r="F931" s="58" t="s">
        <v>352</v>
      </c>
      <c r="G931" s="59"/>
    </row>
    <row r="932" spans="2:7" x14ac:dyDescent="0.15">
      <c r="B932" s="60" t="s">
        <v>353</v>
      </c>
      <c r="C932" s="87" t="str">
        <f>VLOOKUP(C931,功能索引!$C$3:$D$278,2,FALSE)</f>
        <v>查询客户委托佣金折扣参数</v>
      </c>
      <c r="D932" s="88"/>
      <c r="E932" s="89"/>
      <c r="F932" s="61" t="s">
        <v>165</v>
      </c>
      <c r="G932" s="62" t="str">
        <f>VLOOKUP(C931,功能索引!$C$3:$E1288,3,FALSE)</f>
        <v>Y</v>
      </c>
    </row>
    <row r="933" spans="2:7" x14ac:dyDescent="0.15">
      <c r="B933" s="299" t="s">
        <v>354</v>
      </c>
      <c r="C933" s="99"/>
      <c r="D933" s="100"/>
      <c r="E933" s="100"/>
      <c r="F933" s="100"/>
      <c r="G933" s="101"/>
    </row>
    <row r="934" spans="2:7" ht="14.25" thickBot="1" x14ac:dyDescent="0.2">
      <c r="B934" s="304"/>
      <c r="C934" s="102"/>
      <c r="D934" s="103"/>
      <c r="E934" s="103"/>
      <c r="F934" s="103"/>
      <c r="G934" s="104"/>
    </row>
    <row r="935" spans="2:7" x14ac:dyDescent="0.15">
      <c r="B935" s="298" t="s">
        <v>355</v>
      </c>
      <c r="C935" s="58" t="s">
        <v>356</v>
      </c>
      <c r="D935" s="58" t="s">
        <v>357</v>
      </c>
      <c r="E935" s="58" t="s">
        <v>358</v>
      </c>
      <c r="F935" s="58" t="s">
        <v>359</v>
      </c>
      <c r="G935" s="64" t="s">
        <v>360</v>
      </c>
    </row>
    <row r="936" spans="2:7" x14ac:dyDescent="0.15">
      <c r="B936" s="299"/>
      <c r="C936" s="65" t="s">
        <v>428</v>
      </c>
      <c r="D936" s="66">
        <f>VLOOKUP(C936,基本字段定义!$B$3:$C$3013,2,FALSE)</f>
        <v>605</v>
      </c>
      <c r="E936" s="67" t="s">
        <v>429</v>
      </c>
      <c r="F936" s="67" t="s">
        <v>169</v>
      </c>
      <c r="G936" s="68" t="s">
        <v>430</v>
      </c>
    </row>
    <row r="937" spans="2:7" x14ac:dyDescent="0.15">
      <c r="B937" s="299"/>
      <c r="C937" s="65" t="s">
        <v>589</v>
      </c>
      <c r="D937" s="66">
        <f>VLOOKUP(C937,基本字段定义!$B$3:$C$3013,2,FALSE)</f>
        <v>1991</v>
      </c>
      <c r="E937" s="67" t="s">
        <v>371</v>
      </c>
      <c r="F937" s="67" t="s">
        <v>169</v>
      </c>
      <c r="G937" s="68" t="s">
        <v>873</v>
      </c>
    </row>
    <row r="938" spans="2:7" x14ac:dyDescent="0.15">
      <c r="B938" s="299"/>
      <c r="C938" s="65" t="s">
        <v>443</v>
      </c>
      <c r="D938" s="66">
        <f>VLOOKUP(C938,基本字段定义!$B$3:$C$3013,2,FALSE)</f>
        <v>610</v>
      </c>
      <c r="E938" s="67" t="s">
        <v>388</v>
      </c>
      <c r="F938" s="67" t="s">
        <v>169</v>
      </c>
      <c r="G938" s="68" t="s">
        <v>874</v>
      </c>
    </row>
    <row r="939" spans="2:7" x14ac:dyDescent="0.15">
      <c r="B939" s="299"/>
      <c r="C939" s="65" t="s">
        <v>875</v>
      </c>
      <c r="D939" s="66">
        <f>VLOOKUP(C939,基本字段定义!$B$3:$C$3013,2,FALSE)</f>
        <v>595</v>
      </c>
      <c r="E939" s="67" t="s">
        <v>363</v>
      </c>
      <c r="F939" s="67" t="s">
        <v>169</v>
      </c>
      <c r="G939" s="68" t="s">
        <v>876</v>
      </c>
    </row>
    <row r="940" spans="2:7" x14ac:dyDescent="0.15">
      <c r="B940" s="299"/>
      <c r="C940" s="65" t="s">
        <v>387</v>
      </c>
      <c r="D940" s="66">
        <f>VLOOKUP(C940,基本字段定义!$B$3:$C$3013,2,FALSE)</f>
        <v>599</v>
      </c>
      <c r="E940" s="67" t="s">
        <v>388</v>
      </c>
      <c r="F940" s="67"/>
      <c r="G940" s="68" t="s">
        <v>389</v>
      </c>
    </row>
    <row r="941" spans="2:7" x14ac:dyDescent="0.15">
      <c r="B941" s="299"/>
      <c r="C941" s="65" t="s">
        <v>666</v>
      </c>
      <c r="D941" s="66">
        <f>VLOOKUP(C941,基本字段定义!$B$3:$C$3013,2,FALSE)</f>
        <v>719</v>
      </c>
      <c r="E941" s="67" t="s">
        <v>506</v>
      </c>
      <c r="F941" s="67"/>
      <c r="G941" s="68" t="s">
        <v>683</v>
      </c>
    </row>
    <row r="942" spans="2:7" x14ac:dyDescent="0.15">
      <c r="B942" s="299" t="s">
        <v>361</v>
      </c>
      <c r="C942" s="69" t="s">
        <v>877</v>
      </c>
      <c r="D942" s="70">
        <f>VLOOKUP(C942,基本字段定义!$B$3:$C$3013,2,FALSE)</f>
        <v>1057</v>
      </c>
      <c r="E942" s="71" t="s">
        <v>363</v>
      </c>
      <c r="F942" s="71"/>
      <c r="G942" s="72" t="s">
        <v>878</v>
      </c>
    </row>
    <row r="943" spans="2:7" x14ac:dyDescent="0.15">
      <c r="B943" s="299"/>
      <c r="C943" s="69" t="s">
        <v>879</v>
      </c>
      <c r="D943" s="70">
        <f>VLOOKUP(C943,基本字段定义!$B$3:$C$3013,2,FALSE)</f>
        <v>887</v>
      </c>
      <c r="E943" s="71" t="s">
        <v>563</v>
      </c>
      <c r="F943" s="71"/>
      <c r="G943" s="73" t="s">
        <v>880</v>
      </c>
    </row>
    <row r="944" spans="2:7" x14ac:dyDescent="0.15">
      <c r="B944" s="299"/>
      <c r="C944" s="69" t="s">
        <v>881</v>
      </c>
      <c r="D944" s="70">
        <f>VLOOKUP(C944,基本字段定义!$B$3:$C$3013,2,FALSE)</f>
        <v>1305</v>
      </c>
      <c r="E944" s="71" t="s">
        <v>563</v>
      </c>
      <c r="F944" s="71"/>
      <c r="G944" s="73" t="s">
        <v>882</v>
      </c>
    </row>
    <row r="945" spans="2:7" x14ac:dyDescent="0.15">
      <c r="B945" s="299"/>
      <c r="C945" s="69" t="s">
        <v>883</v>
      </c>
      <c r="D945" s="70">
        <f>VLOOKUP(C945,基本字段定义!$B$3:$C$3013,2,FALSE)</f>
        <v>1306</v>
      </c>
      <c r="E945" s="71" t="s">
        <v>563</v>
      </c>
      <c r="F945" s="71"/>
      <c r="G945" s="73" t="s">
        <v>884</v>
      </c>
    </row>
    <row r="946" spans="2:7" ht="14.25" thickBot="1" x14ac:dyDescent="0.2">
      <c r="B946" s="304"/>
      <c r="C946" s="75"/>
      <c r="D946" s="83"/>
      <c r="E946" s="77"/>
      <c r="F946" s="77"/>
      <c r="G946" s="78"/>
    </row>
    <row r="948" spans="2:7" x14ac:dyDescent="0.15">
      <c r="B948" s="57" t="s">
        <v>163</v>
      </c>
      <c r="C948" s="84">
        <v>204002</v>
      </c>
      <c r="D948" s="85"/>
      <c r="E948" s="86"/>
      <c r="F948" s="58" t="s">
        <v>352</v>
      </c>
      <c r="G948" s="59"/>
    </row>
    <row r="949" spans="2:7" x14ac:dyDescent="0.15">
      <c r="B949" s="60" t="s">
        <v>353</v>
      </c>
      <c r="C949" s="87" t="str">
        <f>VLOOKUP(C948,功能索引!$C$3:$D$278,2,FALSE)</f>
        <v>股东帐户信息修改</v>
      </c>
      <c r="D949" s="88"/>
      <c r="E949" s="89"/>
      <c r="F949" s="61" t="s">
        <v>165</v>
      </c>
      <c r="G949" s="62">
        <f>VLOOKUP(C948,功能索引!$C$3:$E1291,3,FALSE)</f>
        <v>0</v>
      </c>
    </row>
    <row r="950" spans="2:7" x14ac:dyDescent="0.15">
      <c r="B950" s="299" t="s">
        <v>354</v>
      </c>
      <c r="C950" s="99"/>
      <c r="D950" s="100"/>
      <c r="E950" s="100"/>
      <c r="F950" s="100"/>
      <c r="G950" s="101"/>
    </row>
    <row r="951" spans="2:7" ht="14.25" thickBot="1" x14ac:dyDescent="0.2">
      <c r="B951" s="304"/>
      <c r="C951" s="102"/>
      <c r="D951" s="103"/>
      <c r="E951" s="103"/>
      <c r="F951" s="103"/>
      <c r="G951" s="104"/>
    </row>
    <row r="952" spans="2:7" x14ac:dyDescent="0.15">
      <c r="B952" s="298" t="s">
        <v>355</v>
      </c>
      <c r="C952" s="58" t="s">
        <v>356</v>
      </c>
      <c r="D952" s="58" t="s">
        <v>357</v>
      </c>
      <c r="E952" s="58" t="s">
        <v>358</v>
      </c>
      <c r="F952" s="58" t="s">
        <v>359</v>
      </c>
      <c r="G952" s="64" t="s">
        <v>360</v>
      </c>
    </row>
    <row r="953" spans="2:7" x14ac:dyDescent="0.15">
      <c r="B953" s="299"/>
      <c r="C953" s="65" t="s">
        <v>428</v>
      </c>
      <c r="D953" s="66">
        <f>VLOOKUP(C953,基本字段定义!$B$3:$C$3013,2,FALSE)</f>
        <v>605</v>
      </c>
      <c r="E953" s="67" t="s">
        <v>429</v>
      </c>
      <c r="F953" s="67" t="s">
        <v>169</v>
      </c>
      <c r="G953" s="68" t="s">
        <v>430</v>
      </c>
    </row>
    <row r="954" spans="2:7" x14ac:dyDescent="0.15">
      <c r="B954" s="299"/>
      <c r="C954" s="65" t="s">
        <v>431</v>
      </c>
      <c r="D954" s="66">
        <f>VLOOKUP(C954,基本字段定义!$B$3:$C$3013,2,FALSE)</f>
        <v>571</v>
      </c>
      <c r="E954" s="67" t="s">
        <v>432</v>
      </c>
      <c r="F954" s="67" t="s">
        <v>169</v>
      </c>
      <c r="G954" s="68" t="s">
        <v>433</v>
      </c>
    </row>
    <row r="955" spans="2:7" x14ac:dyDescent="0.15">
      <c r="B955" s="299"/>
      <c r="C955" s="65" t="s">
        <v>387</v>
      </c>
      <c r="D955" s="66">
        <f>VLOOKUP(C955,基本字段定义!$B$3:$C$3013,2,FALSE)</f>
        <v>599</v>
      </c>
      <c r="E955" s="67" t="s">
        <v>388</v>
      </c>
      <c r="F955" s="67" t="s">
        <v>169</v>
      </c>
      <c r="G955" s="68" t="s">
        <v>389</v>
      </c>
    </row>
    <row r="956" spans="2:7" x14ac:dyDescent="0.15">
      <c r="B956" s="299"/>
      <c r="C956" s="65" t="s">
        <v>589</v>
      </c>
      <c r="D956" s="66">
        <f>VLOOKUP(C956,基本字段定义!$B$3:$C$3013,2,FALSE)</f>
        <v>1991</v>
      </c>
      <c r="E956" s="67" t="s">
        <v>371</v>
      </c>
      <c r="F956" s="67" t="s">
        <v>169</v>
      </c>
      <c r="G956" s="68" t="s">
        <v>885</v>
      </c>
    </row>
    <row r="957" spans="2:7" x14ac:dyDescent="0.15">
      <c r="B957" s="299"/>
      <c r="C957" s="65" t="s">
        <v>443</v>
      </c>
      <c r="D957" s="66">
        <f>VLOOKUP(C957,基本字段定义!$B$3:$C$3013,2,FALSE)</f>
        <v>610</v>
      </c>
      <c r="E957" s="67" t="s">
        <v>388</v>
      </c>
      <c r="F957" s="67" t="s">
        <v>169</v>
      </c>
      <c r="G957" s="68" t="s">
        <v>886</v>
      </c>
    </row>
    <row r="958" spans="2:7" ht="27.75" customHeight="1" x14ac:dyDescent="0.15">
      <c r="B958" s="299"/>
      <c r="C958" s="65" t="s">
        <v>821</v>
      </c>
      <c r="D958" s="66">
        <f>VLOOKUP(C958,基本字段定义!$B$3:$C$3013,2,FALSE)</f>
        <v>1532</v>
      </c>
      <c r="E958" s="67" t="s">
        <v>363</v>
      </c>
      <c r="F958" s="67" t="s">
        <v>169</v>
      </c>
      <c r="G958" s="90" t="s">
        <v>887</v>
      </c>
    </row>
    <row r="959" spans="2:7" x14ac:dyDescent="0.15">
      <c r="B959" s="299" t="s">
        <v>361</v>
      </c>
      <c r="C959" s="69" t="s">
        <v>362</v>
      </c>
      <c r="D959" s="70">
        <f>VLOOKUP(C959,基本字段定义!$B$3:$C$3013,2,FALSE)</f>
        <v>507</v>
      </c>
      <c r="E959" s="71" t="s">
        <v>363</v>
      </c>
      <c r="F959" s="71"/>
      <c r="G959" s="73"/>
    </row>
    <row r="960" spans="2:7" x14ac:dyDescent="0.15">
      <c r="B960" s="299"/>
      <c r="C960" s="69" t="s">
        <v>364</v>
      </c>
      <c r="D960" s="70">
        <f>VLOOKUP(C960,基本字段定义!$B$3:$C$3013,2,FALSE)</f>
        <v>508</v>
      </c>
      <c r="E960" s="71" t="s">
        <v>365</v>
      </c>
      <c r="F960" s="71"/>
      <c r="G960" s="73"/>
    </row>
    <row r="961" spans="2:7" ht="14.25" thickBot="1" x14ac:dyDescent="0.2">
      <c r="B961" s="304"/>
      <c r="C961" s="75"/>
      <c r="D961" s="83"/>
      <c r="E961" s="77"/>
      <c r="F961" s="77"/>
      <c r="G961" s="78"/>
    </row>
    <row r="963" spans="2:7" x14ac:dyDescent="0.15">
      <c r="B963" s="57" t="s">
        <v>163</v>
      </c>
      <c r="C963" s="84">
        <v>204500</v>
      </c>
      <c r="D963" s="85"/>
      <c r="E963" s="86"/>
      <c r="F963" s="58" t="s">
        <v>352</v>
      </c>
      <c r="G963" s="59"/>
    </row>
    <row r="964" spans="2:7" x14ac:dyDescent="0.15">
      <c r="B964" s="60" t="s">
        <v>353</v>
      </c>
      <c r="C964" s="87" t="str">
        <f>VLOOKUP(C963,功能索引!$C$3:$D$278,2,FALSE)</f>
        <v>检查客户证券风险匹配</v>
      </c>
      <c r="D964" s="88"/>
      <c r="E964" s="89"/>
      <c r="F964" s="61" t="s">
        <v>165</v>
      </c>
      <c r="G964" s="62">
        <f>VLOOKUP(C963,功能索引!$C$3:$E1308,3,FALSE)</f>
        <v>0</v>
      </c>
    </row>
    <row r="965" spans="2:7" ht="13.5" customHeight="1" x14ac:dyDescent="0.15">
      <c r="B965" s="299" t="s">
        <v>354</v>
      </c>
      <c r="C965" s="99" t="s">
        <v>888</v>
      </c>
      <c r="D965" s="100"/>
      <c r="E965" s="100"/>
      <c r="F965" s="100"/>
      <c r="G965" s="101"/>
    </row>
    <row r="966" spans="2:7" ht="14.25" thickBot="1" x14ac:dyDescent="0.2">
      <c r="B966" s="304"/>
      <c r="C966" s="102"/>
      <c r="D966" s="103"/>
      <c r="E966" s="103"/>
      <c r="F966" s="103"/>
      <c r="G966" s="104"/>
    </row>
    <row r="967" spans="2:7" x14ac:dyDescent="0.15">
      <c r="B967" s="298" t="s">
        <v>355</v>
      </c>
      <c r="C967" s="58" t="s">
        <v>356</v>
      </c>
      <c r="D967" s="58" t="s">
        <v>357</v>
      </c>
      <c r="E967" s="58" t="s">
        <v>358</v>
      </c>
      <c r="F967" s="58" t="s">
        <v>359</v>
      </c>
      <c r="G967" s="64" t="s">
        <v>360</v>
      </c>
    </row>
    <row r="968" spans="2:7" x14ac:dyDescent="0.15">
      <c r="B968" s="299"/>
      <c r="C968" s="65" t="s">
        <v>428</v>
      </c>
      <c r="D968" s="66">
        <f>VLOOKUP(C968,基本字段定义!$B$3:$C$3013,2,FALSE)</f>
        <v>605</v>
      </c>
      <c r="E968" s="67" t="s">
        <v>429</v>
      </c>
      <c r="F968" s="67" t="s">
        <v>169</v>
      </c>
      <c r="G968" s="68" t="s">
        <v>430</v>
      </c>
    </row>
    <row r="969" spans="2:7" x14ac:dyDescent="0.15">
      <c r="B969" s="299"/>
      <c r="C969" s="65" t="s">
        <v>387</v>
      </c>
      <c r="D969" s="66">
        <f>VLOOKUP(C969,基本字段定义!$B$3:$C$3013,2,FALSE)</f>
        <v>599</v>
      </c>
      <c r="E969" s="67" t="s">
        <v>388</v>
      </c>
      <c r="F969" s="67" t="s">
        <v>169</v>
      </c>
      <c r="G969" s="68" t="s">
        <v>389</v>
      </c>
    </row>
    <row r="970" spans="2:7" x14ac:dyDescent="0.15">
      <c r="B970" s="299"/>
      <c r="C970" s="65" t="s">
        <v>666</v>
      </c>
      <c r="D970" s="66">
        <f>VLOOKUP(C970,基本字段定义!$B$3:$C$3013,2,FALSE)</f>
        <v>719</v>
      </c>
      <c r="E970" s="67" t="s">
        <v>506</v>
      </c>
      <c r="F970" s="67" t="s">
        <v>169</v>
      </c>
      <c r="G970" s="68" t="s">
        <v>683</v>
      </c>
    </row>
    <row r="971" spans="2:7" x14ac:dyDescent="0.15">
      <c r="B971" s="299" t="s">
        <v>361</v>
      </c>
      <c r="C971" s="69" t="s">
        <v>362</v>
      </c>
      <c r="D971" s="70">
        <f>VLOOKUP(C971,基本字段定义!$B$3:$C$3013,2,FALSE)</f>
        <v>507</v>
      </c>
      <c r="E971" s="71" t="s">
        <v>363</v>
      </c>
      <c r="F971" s="71"/>
      <c r="G971" s="72" t="s">
        <v>889</v>
      </c>
    </row>
    <row r="972" spans="2:7" x14ac:dyDescent="0.15">
      <c r="B972" s="299"/>
      <c r="C972" s="69" t="s">
        <v>364</v>
      </c>
      <c r="D972" s="70">
        <f>VLOOKUP(C972,基本字段定义!$B$3:$C$3013,2,FALSE)</f>
        <v>508</v>
      </c>
      <c r="E972" s="71" t="s">
        <v>365</v>
      </c>
      <c r="F972" s="71"/>
      <c r="G972" s="73" t="s">
        <v>890</v>
      </c>
    </row>
    <row r="973" spans="2:7" ht="14.25" thickBot="1" x14ac:dyDescent="0.2">
      <c r="B973" s="304"/>
      <c r="C973" s="75"/>
      <c r="D973" s="83"/>
      <c r="E973" s="77"/>
      <c r="F973" s="77"/>
      <c r="G973" s="78"/>
    </row>
    <row r="975" spans="2:7" x14ac:dyDescent="0.15">
      <c r="B975" s="57" t="s">
        <v>163</v>
      </c>
      <c r="C975" s="84">
        <v>204503</v>
      </c>
      <c r="D975" s="85"/>
      <c r="E975" s="86"/>
      <c r="F975" s="58" t="s">
        <v>352</v>
      </c>
      <c r="G975" s="59"/>
    </row>
    <row r="976" spans="2:7" x14ac:dyDescent="0.15">
      <c r="B976" s="60" t="s">
        <v>353</v>
      </c>
      <c r="C976" s="87" t="str">
        <f>VLOOKUP(C975,功能索引!$C$3:$D$278,2,FALSE)</f>
        <v>可委托数量计算</v>
      </c>
      <c r="D976" s="88"/>
      <c r="E976" s="89"/>
      <c r="F976" s="61" t="s">
        <v>165</v>
      </c>
      <c r="G976" s="62">
        <f>VLOOKUP(C975,功能索引!$C$3:$E1320,3,FALSE)</f>
        <v>0</v>
      </c>
    </row>
    <row r="977" spans="2:7" x14ac:dyDescent="0.15">
      <c r="B977" s="299" t="s">
        <v>354</v>
      </c>
      <c r="C977" s="99"/>
      <c r="D977" s="100"/>
      <c r="E977" s="100"/>
      <c r="F977" s="100"/>
      <c r="G977" s="101"/>
    </row>
    <row r="978" spans="2:7" ht="14.25" thickBot="1" x14ac:dyDescent="0.2">
      <c r="B978" s="304"/>
      <c r="C978" s="102"/>
      <c r="D978" s="103"/>
      <c r="E978" s="103"/>
      <c r="F978" s="103"/>
      <c r="G978" s="104"/>
    </row>
    <row r="979" spans="2:7" x14ac:dyDescent="0.15">
      <c r="B979" s="298" t="s">
        <v>355</v>
      </c>
      <c r="C979" s="58" t="s">
        <v>356</v>
      </c>
      <c r="D979" s="58" t="s">
        <v>357</v>
      </c>
      <c r="E979" s="58" t="s">
        <v>358</v>
      </c>
      <c r="F979" s="58" t="s">
        <v>359</v>
      </c>
      <c r="G979" s="64" t="s">
        <v>360</v>
      </c>
    </row>
    <row r="980" spans="2:7" x14ac:dyDescent="0.15">
      <c r="B980" s="299"/>
      <c r="C980" s="65" t="s">
        <v>428</v>
      </c>
      <c r="D980" s="66">
        <f>VLOOKUP(C980,基本字段定义!$B$3:$C$3013,2,FALSE)</f>
        <v>605</v>
      </c>
      <c r="E980" s="67" t="s">
        <v>429</v>
      </c>
      <c r="F980" s="67" t="s">
        <v>169</v>
      </c>
      <c r="G980" s="68" t="s">
        <v>430</v>
      </c>
    </row>
    <row r="981" spans="2:7" x14ac:dyDescent="0.15">
      <c r="B981" s="299"/>
      <c r="C981" s="65" t="s">
        <v>431</v>
      </c>
      <c r="D981" s="66">
        <f>VLOOKUP(C981,基本字段定义!$B$3:$C$3013,2,FALSE)</f>
        <v>571</v>
      </c>
      <c r="E981" s="67" t="s">
        <v>432</v>
      </c>
      <c r="F981" s="67" t="s">
        <v>169</v>
      </c>
      <c r="G981" s="68" t="s">
        <v>433</v>
      </c>
    </row>
    <row r="982" spans="2:7" x14ac:dyDescent="0.15">
      <c r="B982" s="299"/>
      <c r="C982" s="65" t="s">
        <v>387</v>
      </c>
      <c r="D982" s="66">
        <f>VLOOKUP(C982,基本字段定义!$B$3:$C$3013,2,FALSE)</f>
        <v>599</v>
      </c>
      <c r="E982" s="67" t="s">
        <v>388</v>
      </c>
      <c r="F982" s="67" t="s">
        <v>169</v>
      </c>
      <c r="G982" s="68" t="s">
        <v>389</v>
      </c>
    </row>
    <row r="983" spans="2:7" x14ac:dyDescent="0.15">
      <c r="B983" s="299"/>
      <c r="C983" s="65" t="s">
        <v>666</v>
      </c>
      <c r="D983" s="66">
        <f>VLOOKUP(C983,基本字段定义!$B$3:$C$3013,2,FALSE)</f>
        <v>719</v>
      </c>
      <c r="E983" s="67" t="s">
        <v>506</v>
      </c>
      <c r="F983" s="67" t="s">
        <v>169</v>
      </c>
      <c r="G983" s="68" t="s">
        <v>683</v>
      </c>
    </row>
    <row r="984" spans="2:7" x14ac:dyDescent="0.15">
      <c r="B984" s="299"/>
      <c r="C984" s="65" t="s">
        <v>806</v>
      </c>
      <c r="D984" s="66">
        <f>VLOOKUP(C984,基本字段定义!$B$3:$C$3013,2,FALSE)</f>
        <v>683</v>
      </c>
      <c r="E984" s="67" t="s">
        <v>363</v>
      </c>
      <c r="F984" s="67" t="s">
        <v>169</v>
      </c>
      <c r="G984" s="68" t="s">
        <v>891</v>
      </c>
    </row>
    <row r="985" spans="2:7" x14ac:dyDescent="0.15">
      <c r="B985" s="299"/>
      <c r="C985" s="65" t="s">
        <v>812</v>
      </c>
      <c r="D985" s="66">
        <f>VLOOKUP(C985,基本字段定义!$B$3:$C$3013,2,FALSE)</f>
        <v>682</v>
      </c>
      <c r="E985" s="67" t="s">
        <v>563</v>
      </c>
      <c r="F985" s="67" t="s">
        <v>169</v>
      </c>
      <c r="G985" s="68" t="s">
        <v>892</v>
      </c>
    </row>
    <row r="986" spans="2:7" x14ac:dyDescent="0.15">
      <c r="B986" s="299"/>
      <c r="C986" s="65" t="s">
        <v>893</v>
      </c>
      <c r="D986" s="66">
        <f>VLOOKUP(C986,基本字段定义!$B$3:$C$3013,2,FALSE)</f>
        <v>1013</v>
      </c>
      <c r="E986" s="67" t="s">
        <v>363</v>
      </c>
      <c r="F986" s="67"/>
      <c r="G986" s="68" t="s">
        <v>894</v>
      </c>
    </row>
    <row r="987" spans="2:7" x14ac:dyDescent="0.15">
      <c r="B987" s="299" t="s">
        <v>361</v>
      </c>
      <c r="C987" s="69" t="s">
        <v>362</v>
      </c>
      <c r="D987" s="70">
        <f>VLOOKUP(C987,基本字段定义!$B$3:$C$3013,2,FALSE)</f>
        <v>507</v>
      </c>
      <c r="E987" s="71" t="s">
        <v>363</v>
      </c>
      <c r="F987" s="71"/>
      <c r="G987" s="73"/>
    </row>
    <row r="988" spans="2:7" x14ac:dyDescent="0.15">
      <c r="B988" s="299"/>
      <c r="C988" s="69" t="s">
        <v>364</v>
      </c>
      <c r="D988" s="70">
        <f>VLOOKUP(C988,基本字段定义!$B$3:$C$3013,2,FALSE)</f>
        <v>508</v>
      </c>
      <c r="E988" s="71" t="s">
        <v>365</v>
      </c>
      <c r="F988" s="71"/>
      <c r="G988" s="73"/>
    </row>
    <row r="989" spans="2:7" x14ac:dyDescent="0.15">
      <c r="B989" s="299"/>
      <c r="C989" s="69" t="s">
        <v>810</v>
      </c>
      <c r="D989" s="70">
        <f>VLOOKUP(C989,基本字段定义!$B$3:$C$3013,2,FALSE)</f>
        <v>684</v>
      </c>
      <c r="E989" s="71" t="s">
        <v>363</v>
      </c>
      <c r="F989" s="71"/>
      <c r="G989" s="72" t="s">
        <v>895</v>
      </c>
    </row>
    <row r="990" spans="2:7" ht="14.25" thickBot="1" x14ac:dyDescent="0.2">
      <c r="B990" s="304"/>
      <c r="C990" s="75"/>
      <c r="D990" s="83"/>
      <c r="E990" s="77"/>
      <c r="F990" s="77"/>
      <c r="G990" s="78"/>
    </row>
    <row r="991" spans="2:7" ht="14.25" thickBot="1" x14ac:dyDescent="0.2"/>
    <row r="992" spans="2:7" x14ac:dyDescent="0.15">
      <c r="B992" s="57" t="s">
        <v>163</v>
      </c>
      <c r="C992" s="84">
        <v>204501</v>
      </c>
      <c r="D992" s="85"/>
      <c r="E992" s="86"/>
      <c r="F992" s="58" t="s">
        <v>352</v>
      </c>
      <c r="G992" s="59">
        <v>20120425</v>
      </c>
    </row>
    <row r="993" spans="2:7" x14ac:dyDescent="0.15">
      <c r="B993" s="60" t="s">
        <v>353</v>
      </c>
      <c r="C993" s="87" t="str">
        <f>VLOOKUP(C992,功能索引!$C$3:$D$278,2,FALSE)</f>
        <v>股票买卖委托</v>
      </c>
      <c r="D993" s="88"/>
      <c r="E993" s="89"/>
      <c r="F993" s="61" t="s">
        <v>165</v>
      </c>
      <c r="G993" s="62">
        <f>VLOOKUP(C992,功能索引!$C$3:$E1338,3,FALSE)</f>
        <v>0</v>
      </c>
    </row>
    <row r="994" spans="2:7" x14ac:dyDescent="0.15">
      <c r="B994" s="299" t="s">
        <v>354</v>
      </c>
      <c r="C994" s="99"/>
      <c r="D994" s="100"/>
      <c r="E994" s="100"/>
      <c r="F994" s="100"/>
      <c r="G994" s="101"/>
    </row>
    <row r="995" spans="2:7" ht="14.25" thickBot="1" x14ac:dyDescent="0.2">
      <c r="B995" s="304"/>
      <c r="C995" s="102"/>
      <c r="D995" s="103"/>
      <c r="E995" s="103"/>
      <c r="F995" s="103"/>
      <c r="G995" s="104"/>
    </row>
    <row r="996" spans="2:7" x14ac:dyDescent="0.15">
      <c r="B996" s="315" t="s">
        <v>355</v>
      </c>
      <c r="C996" s="58" t="s">
        <v>356</v>
      </c>
      <c r="D996" s="58" t="s">
        <v>357</v>
      </c>
      <c r="E996" s="58" t="s">
        <v>358</v>
      </c>
      <c r="F996" s="58" t="s">
        <v>359</v>
      </c>
      <c r="G996" s="64" t="s">
        <v>360</v>
      </c>
    </row>
    <row r="997" spans="2:7" x14ac:dyDescent="0.15">
      <c r="B997" s="301"/>
      <c r="C997" s="65" t="s">
        <v>428</v>
      </c>
      <c r="D997" s="66">
        <f>VLOOKUP(C997,基本字段定义!$B$3:$C$3013,2,FALSE)</f>
        <v>605</v>
      </c>
      <c r="E997" s="67" t="s">
        <v>429</v>
      </c>
      <c r="F997" s="67" t="s">
        <v>169</v>
      </c>
      <c r="G997" s="68" t="s">
        <v>430</v>
      </c>
    </row>
    <row r="998" spans="2:7" x14ac:dyDescent="0.15">
      <c r="B998" s="301"/>
      <c r="C998" s="65" t="s">
        <v>437</v>
      </c>
      <c r="D998" s="66">
        <f>VLOOKUP(C998,基本字段定义!$B$3:$C$3013,2,FALSE)</f>
        <v>598</v>
      </c>
      <c r="E998" s="67" t="s">
        <v>438</v>
      </c>
      <c r="F998" s="67" t="s">
        <v>169</v>
      </c>
      <c r="G998" s="68" t="s">
        <v>482</v>
      </c>
    </row>
    <row r="999" spans="2:7" x14ac:dyDescent="0.15">
      <c r="B999" s="301"/>
      <c r="C999" s="65" t="s">
        <v>440</v>
      </c>
      <c r="D999" s="66">
        <f>VLOOKUP(C999,基本字段定义!$B$3:$C$3013,2,FALSE)</f>
        <v>781</v>
      </c>
      <c r="E999" s="67" t="s">
        <v>363</v>
      </c>
      <c r="F999" s="67" t="s">
        <v>169</v>
      </c>
      <c r="G999" s="68" t="s">
        <v>441</v>
      </c>
    </row>
    <row r="1000" spans="2:7" x14ac:dyDescent="0.15">
      <c r="B1000" s="301"/>
      <c r="C1000" s="65" t="s">
        <v>431</v>
      </c>
      <c r="D1000" s="66">
        <f>VLOOKUP(C1000,基本字段定义!$B$3:$C$3013,2,FALSE)</f>
        <v>571</v>
      </c>
      <c r="E1000" s="67" t="s">
        <v>432</v>
      </c>
      <c r="F1000" s="67" t="s">
        <v>169</v>
      </c>
      <c r="G1000" s="68" t="s">
        <v>433</v>
      </c>
    </row>
    <row r="1001" spans="2:7" x14ac:dyDescent="0.15">
      <c r="B1001" s="301"/>
      <c r="C1001" s="65" t="s">
        <v>387</v>
      </c>
      <c r="D1001" s="66">
        <f>VLOOKUP(C1001,基本字段定义!$B$3:$C$3013,2,FALSE)</f>
        <v>599</v>
      </c>
      <c r="E1001" s="67" t="s">
        <v>388</v>
      </c>
      <c r="F1001" s="67" t="s">
        <v>169</v>
      </c>
      <c r="G1001" s="68" t="s">
        <v>389</v>
      </c>
    </row>
    <row r="1002" spans="2:7" x14ac:dyDescent="0.15">
      <c r="B1002" s="301"/>
      <c r="C1002" s="65" t="s">
        <v>666</v>
      </c>
      <c r="D1002" s="66">
        <f>VLOOKUP(C1002,基本字段定义!$B$3:$C$3013,2,FALSE)</f>
        <v>719</v>
      </c>
      <c r="E1002" s="67" t="s">
        <v>506</v>
      </c>
      <c r="F1002" s="67" t="s">
        <v>169</v>
      </c>
      <c r="G1002" s="68" t="s">
        <v>683</v>
      </c>
    </row>
    <row r="1003" spans="2:7" x14ac:dyDescent="0.15">
      <c r="B1003" s="301"/>
      <c r="C1003" s="65" t="s">
        <v>875</v>
      </c>
      <c r="D1003" s="66">
        <f>VLOOKUP(C1003,基本字段定义!$B$3:$C$3013,2,FALSE)</f>
        <v>595</v>
      </c>
      <c r="E1003" s="67" t="s">
        <v>363</v>
      </c>
      <c r="F1003" s="67" t="s">
        <v>169</v>
      </c>
      <c r="G1003" s="68" t="s">
        <v>896</v>
      </c>
    </row>
    <row r="1004" spans="2:7" x14ac:dyDescent="0.15">
      <c r="B1004" s="301"/>
      <c r="C1004" s="65" t="s">
        <v>810</v>
      </c>
      <c r="D1004" s="66">
        <f>VLOOKUP(C1004,基本字段定义!$B$3:$C$3013,2,FALSE)</f>
        <v>684</v>
      </c>
      <c r="E1004" s="67" t="s">
        <v>363</v>
      </c>
      <c r="F1004" s="67" t="s">
        <v>169</v>
      </c>
      <c r="G1004" s="68" t="s">
        <v>811</v>
      </c>
    </row>
    <row r="1005" spans="2:7" x14ac:dyDescent="0.15">
      <c r="B1005" s="301"/>
      <c r="C1005" s="65" t="s">
        <v>812</v>
      </c>
      <c r="D1005" s="66">
        <f>VLOOKUP(C1005,基本字段定义!$B$3:$C$3013,2,FALSE)</f>
        <v>682</v>
      </c>
      <c r="E1005" s="67" t="s">
        <v>563</v>
      </c>
      <c r="F1005" s="67" t="s">
        <v>169</v>
      </c>
      <c r="G1005" s="68" t="s">
        <v>897</v>
      </c>
    </row>
    <row r="1006" spans="2:7" x14ac:dyDescent="0.15">
      <c r="B1006" s="301"/>
      <c r="C1006" s="65" t="s">
        <v>893</v>
      </c>
      <c r="D1006" s="66">
        <f>VLOOKUP(C1006,基本字段定义!$B$3:$C$3013,2,FALSE)</f>
        <v>1013</v>
      </c>
      <c r="E1006" s="67" t="s">
        <v>363</v>
      </c>
      <c r="F1006" s="67"/>
      <c r="G1006" s="68" t="s">
        <v>898</v>
      </c>
    </row>
    <row r="1007" spans="2:7" x14ac:dyDescent="0.15">
      <c r="B1007" s="301"/>
      <c r="C1007" s="65" t="s">
        <v>899</v>
      </c>
      <c r="D1007" s="66">
        <f>VLOOKUP(C1007,基本字段定义!$B$3:$C$3013,2,FALSE)</f>
        <v>1536</v>
      </c>
      <c r="E1007" s="67" t="s">
        <v>363</v>
      </c>
      <c r="F1007" s="67"/>
      <c r="G1007" s="68" t="s">
        <v>900</v>
      </c>
    </row>
    <row r="1008" spans="2:7" x14ac:dyDescent="0.15">
      <c r="B1008" s="301"/>
      <c r="C1008" s="65" t="s">
        <v>901</v>
      </c>
      <c r="D1008" s="66">
        <f>VLOOKUP(C1008,基本字段定义!$B$3:$C$3013,2,FALSE)</f>
        <v>1251</v>
      </c>
      <c r="E1008" s="67" t="s">
        <v>363</v>
      </c>
      <c r="F1008" s="67"/>
      <c r="G1008" s="68" t="s">
        <v>902</v>
      </c>
    </row>
    <row r="1009" spans="2:7" x14ac:dyDescent="0.15">
      <c r="B1009" s="301"/>
      <c r="C1009" s="65" t="s">
        <v>903</v>
      </c>
      <c r="D1009" s="66">
        <f>VLOOKUP(C1009,基本字段定义!$B$3:$C$3013,2,FALSE)</f>
        <v>522</v>
      </c>
      <c r="E1009" s="67" t="s">
        <v>429</v>
      </c>
      <c r="F1009" s="67"/>
      <c r="G1009" s="68" t="s">
        <v>904</v>
      </c>
    </row>
    <row r="1010" spans="2:7" x14ac:dyDescent="0.15">
      <c r="B1010" s="301"/>
      <c r="C1010" s="65" t="s">
        <v>804</v>
      </c>
      <c r="D1010" s="66">
        <f>VLOOKUP(C1010,基本字段定义!$B$3:$C$3013,2,FALSE)</f>
        <v>1616</v>
      </c>
      <c r="E1010" s="67" t="s">
        <v>429</v>
      </c>
      <c r="F1010" s="67"/>
      <c r="G1010" s="68" t="s">
        <v>905</v>
      </c>
    </row>
    <row r="1011" spans="2:7" x14ac:dyDescent="0.15">
      <c r="B1011" s="301"/>
      <c r="C1011" s="65" t="s">
        <v>906</v>
      </c>
      <c r="D1011" s="66">
        <f>VLOOKUP(C1011,基本字段定义!$B$3:$C$3013,2,FALSE)</f>
        <v>1935</v>
      </c>
      <c r="E1011" s="67" t="s">
        <v>506</v>
      </c>
      <c r="F1011" s="67"/>
      <c r="G1011" s="68" t="s">
        <v>907</v>
      </c>
    </row>
    <row r="1012" spans="2:7" x14ac:dyDescent="0.15">
      <c r="B1012" s="301"/>
      <c r="C1012" s="65" t="s">
        <v>908</v>
      </c>
      <c r="D1012" s="66">
        <f>VLOOKUP(C1012,基本字段定义!$B$3:$C$3013,2,FALSE)</f>
        <v>1936</v>
      </c>
      <c r="E1012" s="67" t="s">
        <v>432</v>
      </c>
      <c r="F1012" s="67"/>
      <c r="G1012" s="68" t="s">
        <v>909</v>
      </c>
    </row>
    <row r="1013" spans="2:7" x14ac:dyDescent="0.15">
      <c r="B1013" s="301"/>
      <c r="C1013" s="65" t="s">
        <v>910</v>
      </c>
      <c r="D1013" s="66">
        <f>VLOOKUP(C1013,基本字段定义!$B$3:$C$3013,2,FALSE)</f>
        <v>1017</v>
      </c>
      <c r="E1013" s="67" t="s">
        <v>363</v>
      </c>
      <c r="F1013" s="67"/>
      <c r="G1013" s="68" t="s">
        <v>911</v>
      </c>
    </row>
    <row r="1014" spans="2:7" x14ac:dyDescent="0.15">
      <c r="B1014" s="301"/>
      <c r="C1014" s="65" t="s">
        <v>912</v>
      </c>
      <c r="D1014" s="66">
        <f>VLOOKUP(C1014,基本字段定义!$B$3:$C$3013,2,FALSE)</f>
        <v>1538</v>
      </c>
      <c r="E1014" s="67" t="s">
        <v>363</v>
      </c>
      <c r="F1014" s="67"/>
      <c r="G1014" s="68" t="s">
        <v>913</v>
      </c>
    </row>
    <row r="1015" spans="2:7" x14ac:dyDescent="0.15">
      <c r="B1015" s="306"/>
      <c r="C1015" s="65" t="s">
        <v>914</v>
      </c>
      <c r="D1015" s="66">
        <f>VLOOKUP(C1015,基本字段定义!$B$3:$C$3013,2,FALSE)</f>
        <v>1537</v>
      </c>
      <c r="E1015" s="67" t="s">
        <v>363</v>
      </c>
      <c r="F1015" s="67"/>
      <c r="G1015" s="68" t="s">
        <v>915</v>
      </c>
    </row>
    <row r="1016" spans="2:7" x14ac:dyDescent="0.15">
      <c r="B1016" s="299" t="s">
        <v>361</v>
      </c>
      <c r="C1016" s="69" t="s">
        <v>362</v>
      </c>
      <c r="D1016" s="70">
        <f>VLOOKUP(C1016,基本字段定义!$B$3:$C$3013,2,FALSE)</f>
        <v>507</v>
      </c>
      <c r="E1016" s="71" t="s">
        <v>363</v>
      </c>
      <c r="F1016" s="71"/>
      <c r="G1016" s="72"/>
    </row>
    <row r="1017" spans="2:7" x14ac:dyDescent="0.15">
      <c r="B1017" s="299"/>
      <c r="C1017" s="69" t="s">
        <v>364</v>
      </c>
      <c r="D1017" s="70">
        <f>VLOOKUP(C1017,基本字段定义!$B$3:$C$3013,2,FALSE)</f>
        <v>508</v>
      </c>
      <c r="E1017" s="71" t="s">
        <v>365</v>
      </c>
      <c r="F1017" s="71"/>
      <c r="G1017" s="73"/>
    </row>
    <row r="1018" spans="2:7" x14ac:dyDescent="0.15">
      <c r="B1018" s="299"/>
      <c r="C1018" s="69" t="s">
        <v>916</v>
      </c>
      <c r="D1018" s="70">
        <f>VLOOKUP(C1018,基本字段定义!$B$3:$C$3013,2,FALSE)</f>
        <v>681</v>
      </c>
      <c r="E1018" s="71" t="s">
        <v>363</v>
      </c>
      <c r="F1018" s="71"/>
      <c r="G1018" s="73" t="s">
        <v>917</v>
      </c>
    </row>
    <row r="1019" spans="2:7" ht="14.25" thickBot="1" x14ac:dyDescent="0.2">
      <c r="B1019" s="304"/>
      <c r="C1019" s="75"/>
      <c r="D1019" s="83"/>
      <c r="E1019" s="77"/>
      <c r="F1019" s="77"/>
      <c r="G1019" s="78"/>
    </row>
    <row r="1021" spans="2:7" x14ac:dyDescent="0.15">
      <c r="B1021" s="57" t="s">
        <v>163</v>
      </c>
      <c r="C1021" s="84">
        <v>204502</v>
      </c>
      <c r="D1021" s="85"/>
      <c r="E1021" s="86"/>
      <c r="F1021" s="58" t="s">
        <v>352</v>
      </c>
      <c r="G1021" s="59"/>
    </row>
    <row r="1022" spans="2:7" x14ac:dyDescent="0.15">
      <c r="B1022" s="60" t="s">
        <v>353</v>
      </c>
      <c r="C1022" s="87" t="str">
        <f>VLOOKUP(C1021,功能索引!$C$3:$D$278,2,FALSE)</f>
        <v>股票委托撤单</v>
      </c>
      <c r="D1022" s="88"/>
      <c r="E1022" s="89"/>
      <c r="F1022" s="61" t="s">
        <v>165</v>
      </c>
      <c r="G1022" s="62">
        <f>VLOOKUP(C1021,功能索引!$C$3:$E1364,3,FALSE)</f>
        <v>0</v>
      </c>
    </row>
    <row r="1023" spans="2:7" x14ac:dyDescent="0.15">
      <c r="B1023" s="299" t="s">
        <v>354</v>
      </c>
      <c r="C1023" s="99"/>
      <c r="D1023" s="100"/>
      <c r="E1023" s="100"/>
      <c r="F1023" s="100"/>
      <c r="G1023" s="101"/>
    </row>
    <row r="1024" spans="2:7" ht="14.25" thickBot="1" x14ac:dyDescent="0.2">
      <c r="B1024" s="304"/>
      <c r="C1024" s="102"/>
      <c r="D1024" s="103"/>
      <c r="E1024" s="103"/>
      <c r="F1024" s="103"/>
      <c r="G1024" s="104"/>
    </row>
    <row r="1025" spans="2:7" x14ac:dyDescent="0.15">
      <c r="B1025" s="298" t="s">
        <v>355</v>
      </c>
      <c r="C1025" s="58" t="s">
        <v>356</v>
      </c>
      <c r="D1025" s="58" t="s">
        <v>357</v>
      </c>
      <c r="E1025" s="58" t="s">
        <v>358</v>
      </c>
      <c r="F1025" s="58" t="s">
        <v>359</v>
      </c>
      <c r="G1025" s="64" t="s">
        <v>360</v>
      </c>
    </row>
    <row r="1026" spans="2:7" x14ac:dyDescent="0.15">
      <c r="B1026" s="299"/>
      <c r="C1026" s="65" t="s">
        <v>428</v>
      </c>
      <c r="D1026" s="66">
        <f>VLOOKUP(C1026,基本字段定义!$B$3:$C$3013,2,FALSE)</f>
        <v>605</v>
      </c>
      <c r="E1026" s="67" t="s">
        <v>429</v>
      </c>
      <c r="F1026" s="67" t="s">
        <v>169</v>
      </c>
      <c r="G1026" s="68" t="s">
        <v>430</v>
      </c>
    </row>
    <row r="1027" spans="2:7" x14ac:dyDescent="0.15">
      <c r="B1027" s="299"/>
      <c r="C1027" s="65" t="s">
        <v>431</v>
      </c>
      <c r="D1027" s="66">
        <f>VLOOKUP(C1027,基本字段定义!$B$3:$C$3013,2,FALSE)</f>
        <v>571</v>
      </c>
      <c r="E1027" s="67" t="s">
        <v>432</v>
      </c>
      <c r="F1027" s="67" t="s">
        <v>169</v>
      </c>
      <c r="G1027" s="68" t="s">
        <v>433</v>
      </c>
    </row>
    <row r="1028" spans="2:7" x14ac:dyDescent="0.15">
      <c r="B1028" s="299"/>
      <c r="C1028" s="65" t="s">
        <v>387</v>
      </c>
      <c r="D1028" s="66">
        <f>VLOOKUP(C1028,基本字段定义!$B$3:$C$3013,2,FALSE)</f>
        <v>599</v>
      </c>
      <c r="E1028" s="67" t="s">
        <v>388</v>
      </c>
      <c r="F1028" s="67" t="s">
        <v>169</v>
      </c>
      <c r="G1028" s="68" t="s">
        <v>389</v>
      </c>
    </row>
    <row r="1029" spans="2:7" x14ac:dyDescent="0.15">
      <c r="B1029" s="299"/>
      <c r="C1029" s="65" t="s">
        <v>916</v>
      </c>
      <c r="D1029" s="66">
        <f>VLOOKUP(C1029,基本字段定义!$B$3:$C$3013,2,FALSE)</f>
        <v>681</v>
      </c>
      <c r="E1029" s="67" t="s">
        <v>363</v>
      </c>
      <c r="F1029" s="67" t="s">
        <v>169</v>
      </c>
      <c r="G1029" s="68" t="s">
        <v>918</v>
      </c>
    </row>
    <row r="1030" spans="2:7" x14ac:dyDescent="0.15">
      <c r="B1030" s="299" t="s">
        <v>361</v>
      </c>
      <c r="C1030" s="69" t="s">
        <v>362</v>
      </c>
      <c r="D1030" s="70">
        <f>VLOOKUP(C1030,基本字段定义!$B$3:$C$3013,2,FALSE)</f>
        <v>507</v>
      </c>
      <c r="E1030" s="71" t="s">
        <v>363</v>
      </c>
      <c r="F1030" s="71"/>
      <c r="G1030" s="72"/>
    </row>
    <row r="1031" spans="2:7" x14ac:dyDescent="0.15">
      <c r="B1031" s="299"/>
      <c r="C1031" s="69" t="s">
        <v>364</v>
      </c>
      <c r="D1031" s="70">
        <f>VLOOKUP(C1031,基本字段定义!$B$3:$C$3013,2,FALSE)</f>
        <v>508</v>
      </c>
      <c r="E1031" s="71" t="s">
        <v>365</v>
      </c>
      <c r="F1031" s="71"/>
      <c r="G1031" s="73"/>
    </row>
    <row r="1032" spans="2:7" ht="14.25" thickBot="1" x14ac:dyDescent="0.2">
      <c r="B1032" s="304"/>
      <c r="C1032" s="75"/>
      <c r="D1032" s="83"/>
      <c r="E1032" s="77"/>
      <c r="F1032" s="77"/>
      <c r="G1032" s="78"/>
    </row>
    <row r="1034" spans="2:7" x14ac:dyDescent="0.15">
      <c r="B1034" s="57" t="s">
        <v>163</v>
      </c>
      <c r="C1034" s="84">
        <v>204547</v>
      </c>
      <c r="D1034" s="85"/>
      <c r="E1034" s="86"/>
      <c r="F1034" s="58" t="s">
        <v>352</v>
      </c>
      <c r="G1034" s="59"/>
    </row>
    <row r="1035" spans="2:7" x14ac:dyDescent="0.15">
      <c r="B1035" s="60" t="s">
        <v>353</v>
      </c>
      <c r="C1035" s="87" t="str">
        <f>VLOOKUP(C1034,功能索引!$C$3:$D$278,2,FALSE)</f>
        <v>港股通可买卖数量计算</v>
      </c>
      <c r="D1035" s="88"/>
      <c r="E1035" s="89"/>
      <c r="F1035" s="61" t="s">
        <v>165</v>
      </c>
      <c r="G1035" s="62">
        <f>VLOOKUP(C1034,功能索引!$C$3:$E1379,3,FALSE)</f>
        <v>0</v>
      </c>
    </row>
    <row r="1036" spans="2:7" x14ac:dyDescent="0.15">
      <c r="B1036" s="299" t="s">
        <v>354</v>
      </c>
      <c r="C1036" s="99"/>
      <c r="D1036" s="100"/>
      <c r="E1036" s="100"/>
      <c r="F1036" s="100"/>
      <c r="G1036" s="101"/>
    </row>
    <row r="1037" spans="2:7" ht="14.25" thickBot="1" x14ac:dyDescent="0.2">
      <c r="B1037" s="304"/>
      <c r="C1037" s="102"/>
      <c r="D1037" s="103"/>
      <c r="E1037" s="103"/>
      <c r="F1037" s="103"/>
      <c r="G1037" s="104"/>
    </row>
    <row r="1038" spans="2:7" x14ac:dyDescent="0.15">
      <c r="B1038" s="298" t="s">
        <v>355</v>
      </c>
      <c r="C1038" s="58" t="s">
        <v>356</v>
      </c>
      <c r="D1038" s="58" t="s">
        <v>357</v>
      </c>
      <c r="E1038" s="58" t="s">
        <v>358</v>
      </c>
      <c r="F1038" s="58" t="s">
        <v>359</v>
      </c>
      <c r="G1038" s="64" t="s">
        <v>360</v>
      </c>
    </row>
    <row r="1039" spans="2:7" x14ac:dyDescent="0.15">
      <c r="B1039" s="299"/>
      <c r="C1039" s="65" t="s">
        <v>428</v>
      </c>
      <c r="D1039" s="66">
        <f>VLOOKUP(C1039,基本字段定义!$B$3:$C$3013,2,FALSE)</f>
        <v>605</v>
      </c>
      <c r="E1039" s="67" t="s">
        <v>429</v>
      </c>
      <c r="F1039" s="67" t="s">
        <v>169</v>
      </c>
      <c r="G1039" s="68" t="s">
        <v>430</v>
      </c>
    </row>
    <row r="1040" spans="2:7" x14ac:dyDescent="0.15">
      <c r="B1040" s="299"/>
      <c r="C1040" s="65" t="s">
        <v>431</v>
      </c>
      <c r="D1040" s="66">
        <f>VLOOKUP(C1040,基本字段定义!$B$3:$C$3013,2,FALSE)</f>
        <v>571</v>
      </c>
      <c r="E1040" s="67" t="s">
        <v>432</v>
      </c>
      <c r="F1040" s="67" t="s">
        <v>169</v>
      </c>
      <c r="G1040" s="68" t="s">
        <v>433</v>
      </c>
    </row>
    <row r="1041" spans="2:7" x14ac:dyDescent="0.15">
      <c r="B1041" s="299"/>
      <c r="C1041" s="65" t="s">
        <v>387</v>
      </c>
      <c r="D1041" s="66">
        <f>VLOOKUP(C1041,基本字段定义!$B$3:$C$3013,2,FALSE)</f>
        <v>599</v>
      </c>
      <c r="E1041" s="67" t="s">
        <v>388</v>
      </c>
      <c r="F1041" s="67" t="s">
        <v>169</v>
      </c>
      <c r="G1041" s="68" t="s">
        <v>389</v>
      </c>
    </row>
    <row r="1042" spans="2:7" x14ac:dyDescent="0.15">
      <c r="B1042" s="299"/>
      <c r="C1042" s="65" t="s">
        <v>666</v>
      </c>
      <c r="D1042" s="66">
        <f>VLOOKUP(C1042,基本字段定义!$B$3:$C$3013,2,FALSE)</f>
        <v>719</v>
      </c>
      <c r="E1042" s="67" t="s">
        <v>506</v>
      </c>
      <c r="F1042" s="67" t="s">
        <v>169</v>
      </c>
      <c r="G1042" s="68" t="s">
        <v>683</v>
      </c>
    </row>
    <row r="1043" spans="2:7" x14ac:dyDescent="0.15">
      <c r="B1043" s="299"/>
      <c r="C1043" s="65" t="s">
        <v>806</v>
      </c>
      <c r="D1043" s="66">
        <f>VLOOKUP(C1043,基本字段定义!$B$3:$C$3013,2,FALSE)</f>
        <v>683</v>
      </c>
      <c r="E1043" s="67" t="s">
        <v>363</v>
      </c>
      <c r="F1043" s="67" t="s">
        <v>169</v>
      </c>
      <c r="G1043" s="68" t="s">
        <v>891</v>
      </c>
    </row>
    <row r="1044" spans="2:7" x14ac:dyDescent="0.15">
      <c r="B1044" s="299"/>
      <c r="C1044" s="65" t="s">
        <v>812</v>
      </c>
      <c r="D1044" s="66">
        <f>VLOOKUP(C1044,基本字段定义!$B$3:$C$3013,2,FALSE)</f>
        <v>682</v>
      </c>
      <c r="E1044" s="67" t="s">
        <v>563</v>
      </c>
      <c r="F1044" s="67" t="s">
        <v>169</v>
      </c>
      <c r="G1044" s="68" t="s">
        <v>892</v>
      </c>
    </row>
    <row r="1045" spans="2:7" x14ac:dyDescent="0.15">
      <c r="B1045" s="299"/>
      <c r="C1045" s="65" t="s">
        <v>893</v>
      </c>
      <c r="D1045" s="66">
        <f>VLOOKUP(C1045,基本字段定义!$B$3:$C$3013,2,FALSE)</f>
        <v>1013</v>
      </c>
      <c r="E1045" s="67" t="s">
        <v>363</v>
      </c>
      <c r="F1045" s="67"/>
      <c r="G1045" s="68" t="s">
        <v>894</v>
      </c>
    </row>
    <row r="1046" spans="2:7" x14ac:dyDescent="0.15">
      <c r="B1046" s="299" t="s">
        <v>361</v>
      </c>
      <c r="C1046" s="69" t="s">
        <v>362</v>
      </c>
      <c r="D1046" s="70">
        <f>VLOOKUP(C1046,基本字段定义!$B$3:$C$3013,2,FALSE)</f>
        <v>507</v>
      </c>
      <c r="E1046" s="71" t="s">
        <v>363</v>
      </c>
      <c r="F1046" s="71"/>
      <c r="G1046" s="73"/>
    </row>
    <row r="1047" spans="2:7" x14ac:dyDescent="0.15">
      <c r="B1047" s="299"/>
      <c r="C1047" s="69" t="s">
        <v>364</v>
      </c>
      <c r="D1047" s="70">
        <f>VLOOKUP(C1047,基本字段定义!$B$3:$C$3013,2,FALSE)</f>
        <v>508</v>
      </c>
      <c r="E1047" s="71" t="s">
        <v>365</v>
      </c>
      <c r="F1047" s="71"/>
      <c r="G1047" s="73"/>
    </row>
    <row r="1048" spans="2:7" x14ac:dyDescent="0.15">
      <c r="B1048" s="299"/>
      <c r="C1048" s="69" t="s">
        <v>810</v>
      </c>
      <c r="D1048" s="70">
        <f>VLOOKUP(C1048,基本字段定义!$B$3:$C$3013,2,FALSE)</f>
        <v>684</v>
      </c>
      <c r="E1048" s="71" t="s">
        <v>363</v>
      </c>
      <c r="F1048" s="71"/>
      <c r="G1048" s="72" t="s">
        <v>895</v>
      </c>
    </row>
    <row r="1049" spans="2:7" ht="14.25" thickBot="1" x14ac:dyDescent="0.2">
      <c r="B1049" s="304"/>
      <c r="C1049" s="75"/>
      <c r="D1049" s="83"/>
      <c r="E1049" s="77"/>
      <c r="F1049" s="77"/>
      <c r="G1049" s="78"/>
    </row>
    <row r="1051" spans="2:7" x14ac:dyDescent="0.15">
      <c r="B1051" s="57" t="s">
        <v>163</v>
      </c>
      <c r="C1051" s="84">
        <v>204545</v>
      </c>
      <c r="D1051" s="85"/>
      <c r="E1051" s="86"/>
      <c r="F1051" s="58" t="s">
        <v>352</v>
      </c>
      <c r="G1051" s="59">
        <v>20120425</v>
      </c>
    </row>
    <row r="1052" spans="2:7" x14ac:dyDescent="0.15">
      <c r="B1052" s="60" t="s">
        <v>353</v>
      </c>
      <c r="C1052" s="87" t="str">
        <f>VLOOKUP(C1051,功能索引!$C$3:$D$278,2,FALSE)</f>
        <v>港股通买卖委托</v>
      </c>
      <c r="D1052" s="88"/>
      <c r="E1052" s="89"/>
      <c r="F1052" s="61" t="s">
        <v>165</v>
      </c>
      <c r="G1052" s="62">
        <f>VLOOKUP(C1051,功能索引!$C$3:$E1397,3,FALSE)</f>
        <v>0</v>
      </c>
    </row>
    <row r="1053" spans="2:7" x14ac:dyDescent="0.15">
      <c r="B1053" s="299" t="s">
        <v>354</v>
      </c>
      <c r="C1053" s="99"/>
      <c r="D1053" s="100"/>
      <c r="E1053" s="100"/>
      <c r="F1053" s="100"/>
      <c r="G1053" s="101"/>
    </row>
    <row r="1054" spans="2:7" ht="14.25" thickBot="1" x14ac:dyDescent="0.2">
      <c r="B1054" s="304"/>
      <c r="C1054" s="102"/>
      <c r="D1054" s="103"/>
      <c r="E1054" s="103"/>
      <c r="F1054" s="103"/>
      <c r="G1054" s="104"/>
    </row>
    <row r="1055" spans="2:7" x14ac:dyDescent="0.15">
      <c r="B1055" s="315" t="s">
        <v>355</v>
      </c>
      <c r="C1055" s="58" t="s">
        <v>356</v>
      </c>
      <c r="D1055" s="58" t="s">
        <v>357</v>
      </c>
      <c r="E1055" s="58" t="s">
        <v>358</v>
      </c>
      <c r="F1055" s="58" t="s">
        <v>359</v>
      </c>
      <c r="G1055" s="64" t="s">
        <v>360</v>
      </c>
    </row>
    <row r="1056" spans="2:7" x14ac:dyDescent="0.15">
      <c r="B1056" s="301"/>
      <c r="C1056" s="65" t="s">
        <v>428</v>
      </c>
      <c r="D1056" s="66">
        <f>VLOOKUP(C1056,基本字段定义!$B$3:$C$3013,2,FALSE)</f>
        <v>605</v>
      </c>
      <c r="E1056" s="67" t="s">
        <v>429</v>
      </c>
      <c r="F1056" s="67" t="s">
        <v>169</v>
      </c>
      <c r="G1056" s="68" t="s">
        <v>430</v>
      </c>
    </row>
    <row r="1057" spans="2:7" x14ac:dyDescent="0.15">
      <c r="B1057" s="301"/>
      <c r="C1057" s="65" t="s">
        <v>437</v>
      </c>
      <c r="D1057" s="66">
        <f>VLOOKUP(C1057,基本字段定义!$B$3:$C$3013,2,FALSE)</f>
        <v>598</v>
      </c>
      <c r="E1057" s="67" t="s">
        <v>438</v>
      </c>
      <c r="F1057" s="67" t="s">
        <v>169</v>
      </c>
      <c r="G1057" s="68" t="s">
        <v>482</v>
      </c>
    </row>
    <row r="1058" spans="2:7" x14ac:dyDescent="0.15">
      <c r="B1058" s="301"/>
      <c r="C1058" s="65" t="s">
        <v>440</v>
      </c>
      <c r="D1058" s="66">
        <f>VLOOKUP(C1058,基本字段定义!$B$3:$C$3013,2,FALSE)</f>
        <v>781</v>
      </c>
      <c r="E1058" s="67" t="s">
        <v>363</v>
      </c>
      <c r="F1058" s="67" t="s">
        <v>169</v>
      </c>
      <c r="G1058" s="68" t="s">
        <v>441</v>
      </c>
    </row>
    <row r="1059" spans="2:7" x14ac:dyDescent="0.15">
      <c r="B1059" s="301"/>
      <c r="C1059" s="65" t="s">
        <v>431</v>
      </c>
      <c r="D1059" s="66">
        <f>VLOOKUP(C1059,基本字段定义!$B$3:$C$3013,2,FALSE)</f>
        <v>571</v>
      </c>
      <c r="E1059" s="67" t="s">
        <v>432</v>
      </c>
      <c r="F1059" s="67" t="s">
        <v>169</v>
      </c>
      <c r="G1059" s="68" t="s">
        <v>433</v>
      </c>
    </row>
    <row r="1060" spans="2:7" x14ac:dyDescent="0.15">
      <c r="B1060" s="301"/>
      <c r="C1060" s="65" t="s">
        <v>387</v>
      </c>
      <c r="D1060" s="66">
        <f>VLOOKUP(C1060,基本字段定义!$B$3:$C$3013,2,FALSE)</f>
        <v>599</v>
      </c>
      <c r="E1060" s="67" t="s">
        <v>388</v>
      </c>
      <c r="F1060" s="67" t="s">
        <v>169</v>
      </c>
      <c r="G1060" s="68" t="s">
        <v>389</v>
      </c>
    </row>
    <row r="1061" spans="2:7" x14ac:dyDescent="0.15">
      <c r="B1061" s="301"/>
      <c r="C1061" s="65" t="s">
        <v>666</v>
      </c>
      <c r="D1061" s="66">
        <f>VLOOKUP(C1061,基本字段定义!$B$3:$C$3013,2,FALSE)</f>
        <v>719</v>
      </c>
      <c r="E1061" s="67" t="s">
        <v>506</v>
      </c>
      <c r="F1061" s="67" t="s">
        <v>169</v>
      </c>
      <c r="G1061" s="68" t="s">
        <v>683</v>
      </c>
    </row>
    <row r="1062" spans="2:7" x14ac:dyDescent="0.15">
      <c r="B1062" s="301"/>
      <c r="C1062" s="65" t="s">
        <v>875</v>
      </c>
      <c r="D1062" s="66">
        <f>VLOOKUP(C1062,基本字段定义!$B$3:$C$3013,2,FALSE)</f>
        <v>595</v>
      </c>
      <c r="E1062" s="67" t="s">
        <v>363</v>
      </c>
      <c r="F1062" s="67" t="s">
        <v>169</v>
      </c>
      <c r="G1062" s="68" t="s">
        <v>896</v>
      </c>
    </row>
    <row r="1063" spans="2:7" x14ac:dyDescent="0.15">
      <c r="B1063" s="301"/>
      <c r="C1063" s="65" t="s">
        <v>810</v>
      </c>
      <c r="D1063" s="66">
        <f>VLOOKUP(C1063,基本字段定义!$B$3:$C$3013,2,FALSE)</f>
        <v>684</v>
      </c>
      <c r="E1063" s="67" t="s">
        <v>363</v>
      </c>
      <c r="F1063" s="67" t="s">
        <v>169</v>
      </c>
      <c r="G1063" s="68" t="s">
        <v>811</v>
      </c>
    </row>
    <row r="1064" spans="2:7" x14ac:dyDescent="0.15">
      <c r="B1064" s="301"/>
      <c r="C1064" s="65" t="s">
        <v>812</v>
      </c>
      <c r="D1064" s="66">
        <f>VLOOKUP(C1064,基本字段定义!$B$3:$C$3013,2,FALSE)</f>
        <v>682</v>
      </c>
      <c r="E1064" s="67" t="s">
        <v>563</v>
      </c>
      <c r="F1064" s="67" t="s">
        <v>169</v>
      </c>
      <c r="G1064" s="68" t="s">
        <v>897</v>
      </c>
    </row>
    <row r="1065" spans="2:7" x14ac:dyDescent="0.15">
      <c r="B1065" s="301"/>
      <c r="C1065" s="65" t="s">
        <v>893</v>
      </c>
      <c r="D1065" s="66">
        <f>VLOOKUP(C1065,基本字段定义!$B$3:$C$3013,2,FALSE)</f>
        <v>1013</v>
      </c>
      <c r="E1065" s="67" t="s">
        <v>363</v>
      </c>
      <c r="F1065" s="67"/>
      <c r="G1065" s="68" t="s">
        <v>898</v>
      </c>
    </row>
    <row r="1066" spans="2:7" x14ac:dyDescent="0.15">
      <c r="B1066" s="301"/>
      <c r="C1066" s="65" t="s">
        <v>899</v>
      </c>
      <c r="D1066" s="66">
        <f>VLOOKUP(C1066,基本字段定义!$B$3:$C$3013,2,FALSE)</f>
        <v>1536</v>
      </c>
      <c r="E1066" s="67" t="s">
        <v>363</v>
      </c>
      <c r="F1066" s="67"/>
      <c r="G1066" s="68" t="s">
        <v>900</v>
      </c>
    </row>
    <row r="1067" spans="2:7" x14ac:dyDescent="0.15">
      <c r="B1067" s="301"/>
      <c r="C1067" s="65" t="s">
        <v>901</v>
      </c>
      <c r="D1067" s="66">
        <f>VLOOKUP(C1067,基本字段定义!$B$3:$C$3013,2,FALSE)</f>
        <v>1251</v>
      </c>
      <c r="E1067" s="67" t="s">
        <v>363</v>
      </c>
      <c r="F1067" s="67"/>
      <c r="G1067" s="68" t="s">
        <v>902</v>
      </c>
    </row>
    <row r="1068" spans="2:7" x14ac:dyDescent="0.15">
      <c r="B1068" s="301"/>
      <c r="C1068" s="65" t="s">
        <v>903</v>
      </c>
      <c r="D1068" s="66">
        <f>VLOOKUP(C1068,基本字段定义!$B$3:$C$3013,2,FALSE)</f>
        <v>522</v>
      </c>
      <c r="E1068" s="67" t="s">
        <v>429</v>
      </c>
      <c r="F1068" s="67"/>
      <c r="G1068" s="68" t="s">
        <v>904</v>
      </c>
    </row>
    <row r="1069" spans="2:7" x14ac:dyDescent="0.15">
      <c r="B1069" s="301"/>
      <c r="C1069" s="65" t="s">
        <v>804</v>
      </c>
      <c r="D1069" s="66">
        <f>VLOOKUP(C1069,基本字段定义!$B$3:$C$3013,2,FALSE)</f>
        <v>1616</v>
      </c>
      <c r="E1069" s="67" t="s">
        <v>429</v>
      </c>
      <c r="F1069" s="67"/>
      <c r="G1069" s="68" t="s">
        <v>905</v>
      </c>
    </row>
    <row r="1070" spans="2:7" x14ac:dyDescent="0.15">
      <c r="B1070" s="301"/>
      <c r="C1070" s="65" t="s">
        <v>906</v>
      </c>
      <c r="D1070" s="66">
        <f>VLOOKUP(C1070,基本字段定义!$B$3:$C$3013,2,FALSE)</f>
        <v>1935</v>
      </c>
      <c r="E1070" s="67" t="s">
        <v>506</v>
      </c>
      <c r="F1070" s="67"/>
      <c r="G1070" s="68" t="s">
        <v>907</v>
      </c>
    </row>
    <row r="1071" spans="2:7" x14ac:dyDescent="0.15">
      <c r="B1071" s="301"/>
      <c r="C1071" s="65" t="s">
        <v>908</v>
      </c>
      <c r="D1071" s="66">
        <f>VLOOKUP(C1071,基本字段定义!$B$3:$C$3013,2,FALSE)</f>
        <v>1936</v>
      </c>
      <c r="E1071" s="67" t="s">
        <v>432</v>
      </c>
      <c r="F1071" s="67"/>
      <c r="G1071" s="68" t="s">
        <v>909</v>
      </c>
    </row>
    <row r="1072" spans="2:7" x14ac:dyDescent="0.15">
      <c r="B1072" s="301"/>
      <c r="C1072" s="65" t="s">
        <v>910</v>
      </c>
      <c r="D1072" s="66">
        <f>VLOOKUP(C1072,基本字段定义!$B$3:$C$3013,2,FALSE)</f>
        <v>1017</v>
      </c>
      <c r="E1072" s="67" t="s">
        <v>363</v>
      </c>
      <c r="F1072" s="67"/>
      <c r="G1072" s="68" t="s">
        <v>911</v>
      </c>
    </row>
    <row r="1073" spans="2:7" x14ac:dyDescent="0.15">
      <c r="B1073" s="301"/>
      <c r="C1073" s="65" t="s">
        <v>912</v>
      </c>
      <c r="D1073" s="66">
        <f>VLOOKUP(C1073,基本字段定义!$B$3:$C$3013,2,FALSE)</f>
        <v>1538</v>
      </c>
      <c r="E1073" s="67" t="s">
        <v>363</v>
      </c>
      <c r="F1073" s="67"/>
      <c r="G1073" s="68" t="s">
        <v>913</v>
      </c>
    </row>
    <row r="1074" spans="2:7" x14ac:dyDescent="0.15">
      <c r="B1074" s="306"/>
      <c r="C1074" s="65" t="s">
        <v>914</v>
      </c>
      <c r="D1074" s="66">
        <f>VLOOKUP(C1074,基本字段定义!$B$3:$C$3013,2,FALSE)</f>
        <v>1537</v>
      </c>
      <c r="E1074" s="67" t="s">
        <v>363</v>
      </c>
      <c r="F1074" s="67"/>
      <c r="G1074" s="68" t="s">
        <v>915</v>
      </c>
    </row>
    <row r="1075" spans="2:7" x14ac:dyDescent="0.15">
      <c r="B1075" s="299" t="s">
        <v>361</v>
      </c>
      <c r="C1075" s="69" t="s">
        <v>362</v>
      </c>
      <c r="D1075" s="70">
        <f>VLOOKUP(C1075,基本字段定义!$B$3:$C$3013,2,FALSE)</f>
        <v>507</v>
      </c>
      <c r="E1075" s="71" t="s">
        <v>363</v>
      </c>
      <c r="F1075" s="71"/>
      <c r="G1075" s="72"/>
    </row>
    <row r="1076" spans="2:7" x14ac:dyDescent="0.15">
      <c r="B1076" s="299"/>
      <c r="C1076" s="69" t="s">
        <v>364</v>
      </c>
      <c r="D1076" s="70">
        <f>VLOOKUP(C1076,基本字段定义!$B$3:$C$3013,2,FALSE)</f>
        <v>508</v>
      </c>
      <c r="E1076" s="71" t="s">
        <v>365</v>
      </c>
      <c r="F1076" s="71"/>
      <c r="G1076" s="73"/>
    </row>
    <row r="1077" spans="2:7" x14ac:dyDescent="0.15">
      <c r="B1077" s="299"/>
      <c r="C1077" s="69" t="s">
        <v>916</v>
      </c>
      <c r="D1077" s="70">
        <f>VLOOKUP(C1077,基本字段定义!$B$3:$C$3013,2,FALSE)</f>
        <v>681</v>
      </c>
      <c r="E1077" s="71" t="s">
        <v>363</v>
      </c>
      <c r="F1077" s="71"/>
      <c r="G1077" s="73" t="s">
        <v>917</v>
      </c>
    </row>
    <row r="1078" spans="2:7" ht="14.25" thickBot="1" x14ac:dyDescent="0.2">
      <c r="B1078" s="304"/>
      <c r="C1078" s="75"/>
      <c r="D1078" s="83"/>
      <c r="E1078" s="77"/>
      <c r="F1078" s="77"/>
      <c r="G1078" s="78"/>
    </row>
    <row r="1080" spans="2:7" x14ac:dyDescent="0.15">
      <c r="B1080" s="57" t="s">
        <v>163</v>
      </c>
      <c r="C1080" s="84">
        <v>204546</v>
      </c>
      <c r="D1080" s="85"/>
      <c r="E1080" s="86"/>
      <c r="F1080" s="58" t="s">
        <v>352</v>
      </c>
      <c r="G1080" s="59"/>
    </row>
    <row r="1081" spans="2:7" x14ac:dyDescent="0.15">
      <c r="B1081" s="60" t="s">
        <v>353</v>
      </c>
      <c r="C1081" s="87" t="str">
        <f>VLOOKUP(C1080,功能索引!$C$3:$D$278,2,FALSE)</f>
        <v>港股通委托撤单</v>
      </c>
      <c r="D1081" s="88"/>
      <c r="E1081" s="89"/>
      <c r="F1081" s="61" t="s">
        <v>165</v>
      </c>
      <c r="G1081" s="62">
        <f>VLOOKUP(C1080,功能索引!$C$3:$E1423,3,FALSE)</f>
        <v>0</v>
      </c>
    </row>
    <row r="1082" spans="2:7" x14ac:dyDescent="0.15">
      <c r="B1082" s="299" t="s">
        <v>354</v>
      </c>
      <c r="C1082" s="99"/>
      <c r="D1082" s="100"/>
      <c r="E1082" s="100"/>
      <c r="F1082" s="100"/>
      <c r="G1082" s="101"/>
    </row>
    <row r="1083" spans="2:7" ht="14.25" thickBot="1" x14ac:dyDescent="0.2">
      <c r="B1083" s="304"/>
      <c r="C1083" s="102"/>
      <c r="D1083" s="103"/>
      <c r="E1083" s="103"/>
      <c r="F1083" s="103"/>
      <c r="G1083" s="104"/>
    </row>
    <row r="1084" spans="2:7" x14ac:dyDescent="0.15">
      <c r="B1084" s="298" t="s">
        <v>355</v>
      </c>
      <c r="C1084" s="58" t="s">
        <v>356</v>
      </c>
      <c r="D1084" s="58" t="s">
        <v>357</v>
      </c>
      <c r="E1084" s="58" t="s">
        <v>358</v>
      </c>
      <c r="F1084" s="58" t="s">
        <v>359</v>
      </c>
      <c r="G1084" s="64" t="s">
        <v>360</v>
      </c>
    </row>
    <row r="1085" spans="2:7" x14ac:dyDescent="0.15">
      <c r="B1085" s="299"/>
      <c r="C1085" s="65" t="s">
        <v>428</v>
      </c>
      <c r="D1085" s="66">
        <f>VLOOKUP(C1085,基本字段定义!$B$3:$C$3013,2,FALSE)</f>
        <v>605</v>
      </c>
      <c r="E1085" s="67" t="s">
        <v>429</v>
      </c>
      <c r="F1085" s="67" t="s">
        <v>169</v>
      </c>
      <c r="G1085" s="68" t="s">
        <v>430</v>
      </c>
    </row>
    <row r="1086" spans="2:7" x14ac:dyDescent="0.15">
      <c r="B1086" s="299"/>
      <c r="C1086" s="65" t="s">
        <v>431</v>
      </c>
      <c r="D1086" s="66">
        <f>VLOOKUP(C1086,基本字段定义!$B$3:$C$3013,2,FALSE)</f>
        <v>571</v>
      </c>
      <c r="E1086" s="67" t="s">
        <v>432</v>
      </c>
      <c r="F1086" s="67" t="s">
        <v>169</v>
      </c>
      <c r="G1086" s="68" t="s">
        <v>433</v>
      </c>
    </row>
    <row r="1087" spans="2:7" x14ac:dyDescent="0.15">
      <c r="B1087" s="299"/>
      <c r="C1087" s="65" t="s">
        <v>387</v>
      </c>
      <c r="D1087" s="66">
        <f>VLOOKUP(C1087,基本字段定义!$B$3:$C$3013,2,FALSE)</f>
        <v>599</v>
      </c>
      <c r="E1087" s="67" t="s">
        <v>388</v>
      </c>
      <c r="F1087" s="67" t="s">
        <v>169</v>
      </c>
      <c r="G1087" s="68" t="s">
        <v>389</v>
      </c>
    </row>
    <row r="1088" spans="2:7" x14ac:dyDescent="0.15">
      <c r="B1088" s="299"/>
      <c r="C1088" s="65" t="s">
        <v>916</v>
      </c>
      <c r="D1088" s="66">
        <f>VLOOKUP(C1088,基本字段定义!$B$3:$C$3013,2,FALSE)</f>
        <v>681</v>
      </c>
      <c r="E1088" s="67" t="s">
        <v>363</v>
      </c>
      <c r="F1088" s="67" t="s">
        <v>169</v>
      </c>
      <c r="G1088" s="68" t="s">
        <v>918</v>
      </c>
    </row>
    <row r="1089" spans="2:7" x14ac:dyDescent="0.15">
      <c r="B1089" s="299" t="s">
        <v>361</v>
      </c>
      <c r="C1089" s="69" t="s">
        <v>362</v>
      </c>
      <c r="D1089" s="70">
        <f>VLOOKUP(C1089,基本字段定义!$B$3:$C$3013,2,FALSE)</f>
        <v>507</v>
      </c>
      <c r="E1089" s="71" t="s">
        <v>363</v>
      </c>
      <c r="F1089" s="71"/>
      <c r="G1089" s="72"/>
    </row>
    <row r="1090" spans="2:7" x14ac:dyDescent="0.15">
      <c r="B1090" s="299"/>
      <c r="C1090" s="69" t="s">
        <v>364</v>
      </c>
      <c r="D1090" s="70">
        <f>VLOOKUP(C1090,基本字段定义!$B$3:$C$3013,2,FALSE)</f>
        <v>508</v>
      </c>
      <c r="E1090" s="71" t="s">
        <v>365</v>
      </c>
      <c r="F1090" s="71"/>
      <c r="G1090" s="73"/>
    </row>
    <row r="1091" spans="2:7" ht="14.25" thickBot="1" x14ac:dyDescent="0.2">
      <c r="B1091" s="304"/>
      <c r="C1091" s="75"/>
      <c r="D1091" s="83"/>
      <c r="E1091" s="77"/>
      <c r="F1091" s="77"/>
      <c r="G1091" s="78"/>
    </row>
    <row r="1093" spans="2:7" x14ac:dyDescent="0.15">
      <c r="B1093" s="57" t="s">
        <v>163</v>
      </c>
      <c r="C1093" s="84">
        <v>204513</v>
      </c>
      <c r="D1093" s="85"/>
      <c r="E1093" s="86"/>
      <c r="F1093" s="58" t="s">
        <v>352</v>
      </c>
      <c r="G1093" s="59"/>
    </row>
    <row r="1094" spans="2:7" x14ac:dyDescent="0.15">
      <c r="B1094" s="60" t="s">
        <v>353</v>
      </c>
      <c r="C1094" s="87" t="str">
        <f>VLOOKUP(C1093,功能索引!$C$3:$D$278,2,FALSE)</f>
        <v>批量买卖</v>
      </c>
      <c r="D1094" s="88"/>
      <c r="E1094" s="89"/>
      <c r="F1094" s="61" t="s">
        <v>165</v>
      </c>
      <c r="G1094" s="62">
        <f>VLOOKUP(C1093,功能索引!$C$3:$E1379,3,FALSE)</f>
        <v>0</v>
      </c>
    </row>
    <row r="1095" spans="2:7" ht="13.5" customHeight="1" x14ac:dyDescent="0.15">
      <c r="B1095" s="299" t="s">
        <v>354</v>
      </c>
      <c r="C1095" s="99" t="s">
        <v>919</v>
      </c>
      <c r="D1095" s="100"/>
      <c r="E1095" s="100"/>
      <c r="F1095" s="100"/>
      <c r="G1095" s="101"/>
    </row>
    <row r="1096" spans="2:7" ht="14.25" thickBot="1" x14ac:dyDescent="0.2">
      <c r="B1096" s="304"/>
      <c r="C1096" s="102"/>
      <c r="D1096" s="103"/>
      <c r="E1096" s="103"/>
      <c r="F1096" s="103"/>
      <c r="G1096" s="104"/>
    </row>
    <row r="1097" spans="2:7" x14ac:dyDescent="0.15">
      <c r="B1097" s="298" t="s">
        <v>355</v>
      </c>
      <c r="C1097" s="58" t="s">
        <v>356</v>
      </c>
      <c r="D1097" s="58" t="s">
        <v>357</v>
      </c>
      <c r="E1097" s="58" t="s">
        <v>358</v>
      </c>
      <c r="F1097" s="58" t="s">
        <v>359</v>
      </c>
      <c r="G1097" s="64" t="s">
        <v>360</v>
      </c>
    </row>
    <row r="1098" spans="2:7" x14ac:dyDescent="0.15">
      <c r="B1098" s="299"/>
      <c r="C1098" s="65" t="s">
        <v>428</v>
      </c>
      <c r="D1098" s="66">
        <f>VLOOKUP(C1098,基本字段定义!$B$3:$C$3013,2,FALSE)</f>
        <v>605</v>
      </c>
      <c r="E1098" s="67" t="s">
        <v>429</v>
      </c>
      <c r="F1098" s="67" t="s">
        <v>169</v>
      </c>
      <c r="G1098" s="68" t="s">
        <v>430</v>
      </c>
    </row>
    <row r="1099" spans="2:7" x14ac:dyDescent="0.15">
      <c r="B1099" s="299"/>
      <c r="C1099" s="65" t="s">
        <v>781</v>
      </c>
      <c r="D1099" s="66">
        <f>VLOOKUP(C1099,基本字段定义!$B$3:$C$3013,2,FALSE)</f>
        <v>788</v>
      </c>
      <c r="E1099" s="67" t="s">
        <v>363</v>
      </c>
      <c r="F1099" s="67" t="s">
        <v>169</v>
      </c>
      <c r="G1099" s="68" t="s">
        <v>920</v>
      </c>
    </row>
    <row r="1100" spans="2:7" ht="25.5" x14ac:dyDescent="0.15">
      <c r="B1100" s="299"/>
      <c r="C1100" s="65" t="s">
        <v>921</v>
      </c>
      <c r="D1100" s="66">
        <f>VLOOKUP(C1100,基本字段定义!$B$3:$C$3013,2,FALSE)</f>
        <v>922</v>
      </c>
      <c r="E1100" s="67" t="s">
        <v>922</v>
      </c>
      <c r="F1100" s="67" t="s">
        <v>169</v>
      </c>
      <c r="G1100" s="90" t="s">
        <v>923</v>
      </c>
    </row>
    <row r="1101" spans="2:7" x14ac:dyDescent="0.15">
      <c r="B1101" s="299"/>
      <c r="C1101" s="65" t="s">
        <v>437</v>
      </c>
      <c r="D1101" s="66">
        <f>VLOOKUP(C1101,基本字段定义!$B$3:$C$3013,2,FALSE)</f>
        <v>598</v>
      </c>
      <c r="E1101" s="67" t="s">
        <v>438</v>
      </c>
      <c r="F1101" s="67" t="s">
        <v>169</v>
      </c>
      <c r="G1101" s="68" t="s">
        <v>482</v>
      </c>
    </row>
    <row r="1102" spans="2:7" x14ac:dyDescent="0.15">
      <c r="B1102" s="299"/>
      <c r="C1102" s="65" t="s">
        <v>440</v>
      </c>
      <c r="D1102" s="66">
        <f>VLOOKUP(C1102,基本字段定义!$B$3:$C$3013,2,FALSE)</f>
        <v>781</v>
      </c>
      <c r="E1102" s="67" t="s">
        <v>363</v>
      </c>
      <c r="F1102" s="67" t="s">
        <v>169</v>
      </c>
      <c r="G1102" s="68" t="s">
        <v>441</v>
      </c>
    </row>
    <row r="1103" spans="2:7" x14ac:dyDescent="0.15">
      <c r="B1103" s="299"/>
      <c r="C1103" s="65" t="s">
        <v>910</v>
      </c>
      <c r="D1103" s="66">
        <f>VLOOKUP(C1103,基本字段定义!$B$3:$C$3013,2,FALSE)</f>
        <v>1017</v>
      </c>
      <c r="E1103" s="67" t="s">
        <v>363</v>
      </c>
      <c r="F1103" s="67"/>
      <c r="G1103" s="68" t="s">
        <v>924</v>
      </c>
    </row>
    <row r="1104" spans="2:7" x14ac:dyDescent="0.15">
      <c r="B1104" s="299" t="s">
        <v>361</v>
      </c>
      <c r="C1104" s="69" t="s">
        <v>362</v>
      </c>
      <c r="D1104" s="70">
        <f>VLOOKUP(C1104,基本字段定义!$B$3:$C$3013,2,FALSE)</f>
        <v>507</v>
      </c>
      <c r="E1104" s="71" t="s">
        <v>363</v>
      </c>
      <c r="F1104" s="71"/>
      <c r="G1104" s="73" t="s">
        <v>925</v>
      </c>
    </row>
    <row r="1105" spans="2:7" x14ac:dyDescent="0.15">
      <c r="B1105" s="299"/>
      <c r="C1105" s="69" t="s">
        <v>364</v>
      </c>
      <c r="D1105" s="70">
        <f>VLOOKUP(C1105,基本字段定义!$B$3:$C$3013,2,FALSE)</f>
        <v>508</v>
      </c>
      <c r="E1105" s="71" t="s">
        <v>365</v>
      </c>
      <c r="F1105" s="71"/>
      <c r="G1105" s="73"/>
    </row>
    <row r="1106" spans="2:7" x14ac:dyDescent="0.15">
      <c r="B1106" s="299"/>
      <c r="C1106" s="69" t="s">
        <v>781</v>
      </c>
      <c r="D1106" s="70">
        <f>VLOOKUP(C1106,基本字段定义!$B$3:$C$3013,2,FALSE)</f>
        <v>788</v>
      </c>
      <c r="E1106" s="71" t="s">
        <v>363</v>
      </c>
      <c r="F1106" s="71"/>
      <c r="G1106" s="73" t="s">
        <v>926</v>
      </c>
    </row>
    <row r="1107" spans="2:7" x14ac:dyDescent="0.15">
      <c r="B1107" s="299"/>
      <c r="C1107" s="69" t="s">
        <v>910</v>
      </c>
      <c r="D1107" s="70">
        <f>VLOOKUP(C1107,基本字段定义!$B$3:$C$3013,2,FALSE)</f>
        <v>1017</v>
      </c>
      <c r="E1107" s="71" t="s">
        <v>363</v>
      </c>
      <c r="F1107" s="71"/>
      <c r="G1107" s="72" t="s">
        <v>927</v>
      </c>
    </row>
    <row r="1108" spans="2:7" x14ac:dyDescent="0.15">
      <c r="B1108" s="299"/>
      <c r="C1108" s="69" t="s">
        <v>928</v>
      </c>
      <c r="D1108" s="70">
        <f>VLOOKUP(C1108,基本字段定义!$B$3:$C$3013,2,FALSE)</f>
        <v>705</v>
      </c>
      <c r="E1108" s="71" t="s">
        <v>365</v>
      </c>
      <c r="F1108" s="71"/>
      <c r="G1108" s="73" t="s">
        <v>929</v>
      </c>
    </row>
    <row r="1109" spans="2:7" ht="14.25" thickBot="1" x14ac:dyDescent="0.2">
      <c r="B1109" s="304"/>
      <c r="C1109" s="75"/>
      <c r="D1109" s="83"/>
      <c r="E1109" s="77"/>
      <c r="F1109" s="77"/>
      <c r="G1109" s="78"/>
    </row>
    <row r="1111" spans="2:7" x14ac:dyDescent="0.15">
      <c r="B1111" s="57" t="s">
        <v>163</v>
      </c>
      <c r="C1111" s="84">
        <v>204511</v>
      </c>
      <c r="D1111" s="85"/>
      <c r="E1111" s="86"/>
      <c r="F1111" s="58" t="s">
        <v>352</v>
      </c>
      <c r="G1111" s="59"/>
    </row>
    <row r="1112" spans="2:7" x14ac:dyDescent="0.15">
      <c r="B1112" s="60" t="s">
        <v>353</v>
      </c>
      <c r="C1112" s="87" t="str">
        <f>VLOOKUP(C1111,功能索引!$C$3:$D$278,2,FALSE)</f>
        <v>批量撤单</v>
      </c>
      <c r="D1112" s="88"/>
      <c r="E1112" s="89"/>
      <c r="F1112" s="61" t="s">
        <v>165</v>
      </c>
      <c r="G1112" s="62">
        <f>VLOOKUP(C1111,功能索引!$C$3:$E1397,3,FALSE)</f>
        <v>0</v>
      </c>
    </row>
    <row r="1113" spans="2:7" x14ac:dyDescent="0.15">
      <c r="B1113" s="299" t="s">
        <v>354</v>
      </c>
      <c r="C1113" s="99"/>
      <c r="D1113" s="100"/>
      <c r="E1113" s="100"/>
      <c r="F1113" s="100"/>
      <c r="G1113" s="101"/>
    </row>
    <row r="1114" spans="2:7" ht="14.25" thickBot="1" x14ac:dyDescent="0.2">
      <c r="B1114" s="304"/>
      <c r="C1114" s="102"/>
      <c r="D1114" s="103"/>
      <c r="E1114" s="103"/>
      <c r="F1114" s="103"/>
      <c r="G1114" s="104"/>
    </row>
    <row r="1115" spans="2:7" x14ac:dyDescent="0.15">
      <c r="B1115" s="298" t="s">
        <v>355</v>
      </c>
      <c r="C1115" s="58" t="s">
        <v>356</v>
      </c>
      <c r="D1115" s="58" t="s">
        <v>357</v>
      </c>
      <c r="E1115" s="58" t="s">
        <v>358</v>
      </c>
      <c r="F1115" s="58" t="s">
        <v>359</v>
      </c>
      <c r="G1115" s="64" t="s">
        <v>360</v>
      </c>
    </row>
    <row r="1116" spans="2:7" x14ac:dyDescent="0.15">
      <c r="B1116" s="299"/>
      <c r="C1116" s="65" t="s">
        <v>428</v>
      </c>
      <c r="D1116" s="66">
        <f>VLOOKUP(C1116,基本字段定义!$B$3:$C$3013,2,FALSE)</f>
        <v>605</v>
      </c>
      <c r="E1116" s="67" t="s">
        <v>429</v>
      </c>
      <c r="F1116" s="67" t="s">
        <v>169</v>
      </c>
      <c r="G1116" s="68" t="s">
        <v>430</v>
      </c>
    </row>
    <row r="1117" spans="2:7" x14ac:dyDescent="0.15">
      <c r="B1117" s="299"/>
      <c r="C1117" s="65" t="s">
        <v>437</v>
      </c>
      <c r="D1117" s="66">
        <f>VLOOKUP(C1117,基本字段定义!$B$3:$C$3013,2,FALSE)</f>
        <v>598</v>
      </c>
      <c r="E1117" s="67" t="s">
        <v>438</v>
      </c>
      <c r="F1117" s="67" t="s">
        <v>169</v>
      </c>
      <c r="G1117" s="68" t="s">
        <v>482</v>
      </c>
    </row>
    <row r="1118" spans="2:7" x14ac:dyDescent="0.15">
      <c r="B1118" s="299"/>
      <c r="C1118" s="65" t="s">
        <v>440</v>
      </c>
      <c r="D1118" s="66">
        <f>VLOOKUP(C1118,基本字段定义!$B$3:$C$3013,2,FALSE)</f>
        <v>781</v>
      </c>
      <c r="E1118" s="67" t="s">
        <v>363</v>
      </c>
      <c r="F1118" s="67" t="s">
        <v>169</v>
      </c>
      <c r="G1118" s="68" t="s">
        <v>441</v>
      </c>
    </row>
    <row r="1119" spans="2:7" x14ac:dyDescent="0.15">
      <c r="B1119" s="299"/>
      <c r="C1119" s="65" t="s">
        <v>910</v>
      </c>
      <c r="D1119" s="66">
        <f>VLOOKUP(C1119,基本字段定义!$B$3:$C$3013,2,FALSE)</f>
        <v>1017</v>
      </c>
      <c r="E1119" s="67" t="s">
        <v>363</v>
      </c>
      <c r="F1119" s="67"/>
      <c r="G1119" s="68" t="s">
        <v>911</v>
      </c>
    </row>
    <row r="1120" spans="2:7" x14ac:dyDescent="0.15">
      <c r="B1120" s="299"/>
      <c r="C1120" s="65" t="s">
        <v>666</v>
      </c>
      <c r="D1120" s="66">
        <f>VLOOKUP(C1120,基本字段定义!$B$3:$C$3013,2,FALSE)</f>
        <v>719</v>
      </c>
      <c r="E1120" s="67" t="s">
        <v>506</v>
      </c>
      <c r="F1120" s="67"/>
      <c r="G1120" s="68" t="s">
        <v>683</v>
      </c>
    </row>
    <row r="1121" spans="2:7" x14ac:dyDescent="0.15">
      <c r="B1121" s="299"/>
      <c r="C1121" s="65" t="s">
        <v>806</v>
      </c>
      <c r="D1121" s="66">
        <f>VLOOKUP(C1121,基本字段定义!$B$3:$C$3013,2,FALSE)</f>
        <v>683</v>
      </c>
      <c r="E1121" s="67" t="s">
        <v>363</v>
      </c>
      <c r="F1121" s="67"/>
      <c r="G1121" s="68" t="s">
        <v>930</v>
      </c>
    </row>
    <row r="1122" spans="2:7" x14ac:dyDescent="0.15">
      <c r="B1122" s="299" t="s">
        <v>361</v>
      </c>
      <c r="C1122" s="69" t="s">
        <v>362</v>
      </c>
      <c r="D1122" s="70">
        <f>VLOOKUP(C1122,基本字段定义!$B$3:$C$3013,2,FALSE)</f>
        <v>507</v>
      </c>
      <c r="E1122" s="71" t="s">
        <v>363</v>
      </c>
      <c r="F1122" s="71"/>
      <c r="G1122" s="72"/>
    </row>
    <row r="1123" spans="2:7" x14ac:dyDescent="0.15">
      <c r="B1123" s="299"/>
      <c r="C1123" s="69" t="s">
        <v>364</v>
      </c>
      <c r="D1123" s="70">
        <f>VLOOKUP(C1123,基本字段定义!$B$3:$C$3013,2,FALSE)</f>
        <v>508</v>
      </c>
      <c r="E1123" s="71" t="s">
        <v>365</v>
      </c>
      <c r="F1123" s="71"/>
      <c r="G1123" s="73"/>
    </row>
    <row r="1124" spans="2:7" x14ac:dyDescent="0.15">
      <c r="B1124" s="299"/>
      <c r="C1124" s="69" t="s">
        <v>931</v>
      </c>
      <c r="D1124" s="70">
        <f>VLOOKUP(C1124,基本字段定义!$B$3:$C$3013,2,FALSE)</f>
        <v>1297</v>
      </c>
      <c r="E1124" s="71" t="s">
        <v>363</v>
      </c>
      <c r="F1124" s="71"/>
      <c r="G1124" s="73" t="s">
        <v>932</v>
      </c>
    </row>
    <row r="1125" spans="2:7" ht="14.25" thickBot="1" x14ac:dyDescent="0.2">
      <c r="B1125" s="304"/>
      <c r="C1125" s="75"/>
      <c r="D1125" s="83"/>
      <c r="E1125" s="77"/>
      <c r="F1125" s="77"/>
      <c r="G1125" s="78"/>
    </row>
    <row r="1127" spans="2:7" x14ac:dyDescent="0.15">
      <c r="B1127" s="57" t="s">
        <v>163</v>
      </c>
      <c r="C1127" s="84">
        <v>304103</v>
      </c>
      <c r="D1127" s="85"/>
      <c r="E1127" s="86"/>
      <c r="F1127" s="58" t="s">
        <v>352</v>
      </c>
      <c r="G1127" s="59"/>
    </row>
    <row r="1128" spans="2:7" x14ac:dyDescent="0.15">
      <c r="B1128" s="60" t="s">
        <v>353</v>
      </c>
      <c r="C1128" s="87" t="str">
        <f>VLOOKUP(C1127,功能索引!$C$3:$D$278,2,FALSE)</f>
        <v>客户当日委托查询</v>
      </c>
      <c r="D1128" s="88"/>
      <c r="E1128" s="89"/>
      <c r="F1128" s="61" t="s">
        <v>165</v>
      </c>
      <c r="G1128" s="62" t="str">
        <f>VLOOKUP(C1127,功能索引!$C$3:$E1415,3,FALSE)</f>
        <v>Y</v>
      </c>
    </row>
    <row r="1129" spans="2:7" x14ac:dyDescent="0.15">
      <c r="B1129" s="299" t="s">
        <v>354</v>
      </c>
      <c r="C1129" s="99"/>
      <c r="D1129" s="100"/>
      <c r="E1129" s="100"/>
      <c r="F1129" s="100"/>
      <c r="G1129" s="101"/>
    </row>
    <row r="1130" spans="2:7" ht="14.25" thickBot="1" x14ac:dyDescent="0.2">
      <c r="B1130" s="304"/>
      <c r="C1130" s="102"/>
      <c r="D1130" s="103"/>
      <c r="E1130" s="103"/>
      <c r="F1130" s="103"/>
      <c r="G1130" s="104"/>
    </row>
    <row r="1131" spans="2:7" x14ac:dyDescent="0.15">
      <c r="B1131" s="298" t="s">
        <v>355</v>
      </c>
      <c r="C1131" s="58" t="s">
        <v>356</v>
      </c>
      <c r="D1131" s="58" t="s">
        <v>357</v>
      </c>
      <c r="E1131" s="58" t="s">
        <v>358</v>
      </c>
      <c r="F1131" s="58" t="s">
        <v>359</v>
      </c>
      <c r="G1131" s="64" t="s">
        <v>360</v>
      </c>
    </row>
    <row r="1132" spans="2:7" x14ac:dyDescent="0.15">
      <c r="B1132" s="299"/>
      <c r="C1132" s="65" t="s">
        <v>428</v>
      </c>
      <c r="D1132" s="66">
        <f>VLOOKUP(C1132,基本字段定义!$B$3:$C$3013,2,FALSE)</f>
        <v>605</v>
      </c>
      <c r="E1132" s="67" t="s">
        <v>429</v>
      </c>
      <c r="F1132" s="67" t="s">
        <v>169</v>
      </c>
      <c r="G1132" s="68" t="s">
        <v>430</v>
      </c>
    </row>
    <row r="1133" spans="2:7" x14ac:dyDescent="0.15">
      <c r="B1133" s="299"/>
      <c r="C1133" s="65" t="s">
        <v>387</v>
      </c>
      <c r="D1133" s="66">
        <f>VLOOKUP(C1133,基本字段定义!$B$3:$C$3013,2,FALSE)</f>
        <v>599</v>
      </c>
      <c r="E1133" s="67" t="s">
        <v>388</v>
      </c>
      <c r="F1133" s="67"/>
      <c r="G1133" s="68" t="s">
        <v>389</v>
      </c>
    </row>
    <row r="1134" spans="2:7" x14ac:dyDescent="0.15">
      <c r="B1134" s="299"/>
      <c r="C1134" s="65" t="s">
        <v>431</v>
      </c>
      <c r="D1134" s="66">
        <f>VLOOKUP(C1134,基本字段定义!$B$3:$C$3013,2,FALSE)</f>
        <v>571</v>
      </c>
      <c r="E1134" s="67" t="s">
        <v>432</v>
      </c>
      <c r="F1134" s="67"/>
      <c r="G1134" s="68" t="s">
        <v>433</v>
      </c>
    </row>
    <row r="1135" spans="2:7" x14ac:dyDescent="0.15">
      <c r="B1135" s="299"/>
      <c r="C1135" s="65" t="s">
        <v>806</v>
      </c>
      <c r="D1135" s="66">
        <f>VLOOKUP(C1135,基本字段定义!$B$3:$C$3013,2,FALSE)</f>
        <v>683</v>
      </c>
      <c r="E1135" s="67" t="s">
        <v>363</v>
      </c>
      <c r="F1135" s="67"/>
      <c r="G1135" s="68" t="s">
        <v>930</v>
      </c>
    </row>
    <row r="1136" spans="2:7" x14ac:dyDescent="0.15">
      <c r="B1136" s="299"/>
      <c r="C1136" s="65" t="s">
        <v>933</v>
      </c>
      <c r="D1136" s="66">
        <f>VLOOKUP(C1136,基本字段定义!$B$3:$C$3013,2,FALSE)</f>
        <v>755</v>
      </c>
      <c r="E1136" s="67" t="s">
        <v>604</v>
      </c>
      <c r="F1136" s="67"/>
      <c r="G1136" s="68" t="s">
        <v>934</v>
      </c>
    </row>
    <row r="1137" spans="2:7" x14ac:dyDescent="0.15">
      <c r="B1137" s="299"/>
      <c r="C1137" s="65" t="s">
        <v>666</v>
      </c>
      <c r="D1137" s="66">
        <f>VLOOKUP(C1137,基本字段定义!$B$3:$C$3013,2,FALSE)</f>
        <v>719</v>
      </c>
      <c r="E1137" s="67" t="s">
        <v>506</v>
      </c>
      <c r="F1137" s="67"/>
      <c r="G1137" s="68" t="s">
        <v>683</v>
      </c>
    </row>
    <row r="1138" spans="2:7" x14ac:dyDescent="0.15">
      <c r="B1138" s="299"/>
      <c r="C1138" s="65" t="s">
        <v>910</v>
      </c>
      <c r="D1138" s="66">
        <f>VLOOKUP(C1138,基本字段定义!$B$3:$C$3013,2,FALSE)</f>
        <v>1017</v>
      </c>
      <c r="E1138" s="67" t="s">
        <v>363</v>
      </c>
      <c r="F1138" s="67"/>
      <c r="G1138" s="68" t="s">
        <v>935</v>
      </c>
    </row>
    <row r="1139" spans="2:7" x14ac:dyDescent="0.15">
      <c r="B1139" s="299"/>
      <c r="C1139" s="65" t="s">
        <v>585</v>
      </c>
      <c r="D1139" s="66">
        <f>VLOOKUP(C1139,基本字段定义!$B$3:$C$3013,2,FALSE)</f>
        <v>9020</v>
      </c>
      <c r="E1139" s="67" t="s">
        <v>363</v>
      </c>
      <c r="F1139" s="67"/>
      <c r="G1139" s="68" t="s">
        <v>936</v>
      </c>
    </row>
    <row r="1140" spans="2:7" x14ac:dyDescent="0.15">
      <c r="B1140" s="299"/>
      <c r="C1140" s="65" t="s">
        <v>612</v>
      </c>
      <c r="D1140" s="66">
        <f>VLOOKUP(C1140,基本字段定义!$B$3:$C$3013,2,FALSE)</f>
        <v>9109</v>
      </c>
      <c r="E1140" s="67" t="s">
        <v>363</v>
      </c>
      <c r="F1140" s="67"/>
      <c r="G1140" s="68" t="s">
        <v>613</v>
      </c>
    </row>
    <row r="1141" spans="2:7" x14ac:dyDescent="0.15">
      <c r="B1141" s="299"/>
      <c r="C1141" s="65" t="s">
        <v>616</v>
      </c>
      <c r="D1141" s="66">
        <f>VLOOKUP(C1141,基本字段定义!$B$3:$C$3013,2,FALSE)</f>
        <v>9110</v>
      </c>
      <c r="E1141" s="67" t="s">
        <v>363</v>
      </c>
      <c r="F1141" s="67"/>
      <c r="G1141" s="68" t="s">
        <v>937</v>
      </c>
    </row>
    <row r="1142" spans="2:7" x14ac:dyDescent="0.15">
      <c r="B1142" s="299"/>
      <c r="C1142" s="65" t="s">
        <v>614</v>
      </c>
      <c r="D1142" s="66">
        <f>VLOOKUP(C1142,基本字段定义!$B$3:$C$3013,2,FALSE)</f>
        <v>763</v>
      </c>
      <c r="E1142" s="67" t="s">
        <v>497</v>
      </c>
      <c r="F1142" s="67"/>
      <c r="G1142" s="68" t="s">
        <v>938</v>
      </c>
    </row>
    <row r="1143" spans="2:7" x14ac:dyDescent="0.15">
      <c r="B1143" s="299" t="s">
        <v>361</v>
      </c>
      <c r="C1143" s="69" t="s">
        <v>614</v>
      </c>
      <c r="D1143" s="70">
        <f>VLOOKUP(C1143,基本字段定义!$B$3:$C$3013,2,FALSE)</f>
        <v>763</v>
      </c>
      <c r="E1143" s="71" t="s">
        <v>365</v>
      </c>
      <c r="F1143" s="71"/>
      <c r="G1143" s="73" t="s">
        <v>618</v>
      </c>
    </row>
    <row r="1144" spans="2:7" x14ac:dyDescent="0.15">
      <c r="B1144" s="299"/>
      <c r="C1144" s="69" t="s">
        <v>387</v>
      </c>
      <c r="D1144" s="70">
        <f>VLOOKUP(C1144,基本字段定义!$B$3:$C$3013,2,FALSE)</f>
        <v>599</v>
      </c>
      <c r="E1144" s="71" t="s">
        <v>365</v>
      </c>
      <c r="F1144" s="71"/>
      <c r="G1144" s="73" t="s">
        <v>389</v>
      </c>
    </row>
    <row r="1145" spans="2:7" x14ac:dyDescent="0.15">
      <c r="B1145" s="299"/>
      <c r="C1145" s="69" t="s">
        <v>431</v>
      </c>
      <c r="D1145" s="70">
        <f>VLOOKUP(C1145,基本字段定义!$B$3:$C$3013,2,FALSE)</f>
        <v>571</v>
      </c>
      <c r="E1145" s="71" t="s">
        <v>365</v>
      </c>
      <c r="F1145" s="71"/>
      <c r="G1145" s="73" t="s">
        <v>433</v>
      </c>
    </row>
    <row r="1146" spans="2:7" x14ac:dyDescent="0.15">
      <c r="B1146" s="299"/>
      <c r="C1146" s="69" t="s">
        <v>916</v>
      </c>
      <c r="D1146" s="70">
        <f>VLOOKUP(C1146,基本字段定义!$B$3:$C$3013,2,FALSE)</f>
        <v>681</v>
      </c>
      <c r="E1146" s="71" t="s">
        <v>363</v>
      </c>
      <c r="F1146" s="71"/>
      <c r="G1146" s="73" t="s">
        <v>918</v>
      </c>
    </row>
    <row r="1147" spans="2:7" x14ac:dyDescent="0.15">
      <c r="B1147" s="299"/>
      <c r="C1147" s="69" t="s">
        <v>806</v>
      </c>
      <c r="D1147" s="70">
        <f>VLOOKUP(C1147,基本字段定义!$B$3:$C$3013,2,FALSE)</f>
        <v>683</v>
      </c>
      <c r="E1147" s="71" t="s">
        <v>363</v>
      </c>
      <c r="F1147" s="71"/>
      <c r="G1147" s="73" t="s">
        <v>930</v>
      </c>
    </row>
    <row r="1148" spans="2:7" x14ac:dyDescent="0.15">
      <c r="B1148" s="299"/>
      <c r="C1148" s="69" t="s">
        <v>933</v>
      </c>
      <c r="D1148" s="70">
        <f>VLOOKUP(C1148,基本字段定义!$B$3:$C$3013,2,FALSE)</f>
        <v>755</v>
      </c>
      <c r="E1148" s="71" t="s">
        <v>365</v>
      </c>
      <c r="F1148" s="71"/>
      <c r="G1148" s="73" t="s">
        <v>939</v>
      </c>
    </row>
    <row r="1149" spans="2:7" x14ac:dyDescent="0.15">
      <c r="B1149" s="299"/>
      <c r="C1149" s="69" t="s">
        <v>666</v>
      </c>
      <c r="D1149" s="70">
        <f>VLOOKUP(C1149,基本字段定义!$B$3:$C$3013,2,FALSE)</f>
        <v>719</v>
      </c>
      <c r="E1149" s="71" t="s">
        <v>365</v>
      </c>
      <c r="F1149" s="71"/>
      <c r="G1149" s="73" t="s">
        <v>683</v>
      </c>
    </row>
    <row r="1150" spans="2:7" x14ac:dyDescent="0.15">
      <c r="B1150" s="299"/>
      <c r="C1150" s="69" t="s">
        <v>685</v>
      </c>
      <c r="D1150" s="70">
        <f>VLOOKUP(C1150,基本字段定义!$B$3:$C$3013,2,FALSE)</f>
        <v>722</v>
      </c>
      <c r="E1150" s="71" t="s">
        <v>365</v>
      </c>
      <c r="F1150" s="71"/>
      <c r="G1150" s="73" t="s">
        <v>686</v>
      </c>
    </row>
    <row r="1151" spans="2:7" x14ac:dyDescent="0.15">
      <c r="B1151" s="299"/>
      <c r="C1151" s="69" t="s">
        <v>893</v>
      </c>
      <c r="D1151" s="70">
        <f>VLOOKUP(C1151,基本字段定义!$B$3:$C$3013,2,FALSE)</f>
        <v>1013</v>
      </c>
      <c r="E1151" s="71" t="s">
        <v>363</v>
      </c>
      <c r="F1151" s="71"/>
      <c r="G1151" s="73" t="s">
        <v>940</v>
      </c>
    </row>
    <row r="1152" spans="2:7" x14ac:dyDescent="0.15">
      <c r="B1152" s="299"/>
      <c r="C1152" s="69" t="s">
        <v>810</v>
      </c>
      <c r="D1152" s="70">
        <f>VLOOKUP(C1152,基本字段定义!$B$3:$C$3013,2,FALSE)</f>
        <v>684</v>
      </c>
      <c r="E1152" s="71" t="s">
        <v>363</v>
      </c>
      <c r="F1152" s="71"/>
      <c r="G1152" s="73" t="s">
        <v>811</v>
      </c>
    </row>
    <row r="1153" spans="2:7" x14ac:dyDescent="0.15">
      <c r="B1153" s="299"/>
      <c r="C1153" s="69" t="s">
        <v>812</v>
      </c>
      <c r="D1153" s="70">
        <f>VLOOKUP(C1153,基本字段定义!$B$3:$C$3013,2,FALSE)</f>
        <v>682</v>
      </c>
      <c r="E1153" s="71" t="s">
        <v>563</v>
      </c>
      <c r="F1153" s="71"/>
      <c r="G1153" s="73" t="s">
        <v>813</v>
      </c>
    </row>
    <row r="1154" spans="2:7" x14ac:dyDescent="0.15">
      <c r="B1154" s="299"/>
      <c r="C1154" s="69" t="s">
        <v>941</v>
      </c>
      <c r="D1154" s="70">
        <f>VLOOKUP(C1154,基本字段定义!$B$3:$C$3013,2,FALSE)</f>
        <v>750</v>
      </c>
      <c r="E1154" s="71" t="s">
        <v>365</v>
      </c>
      <c r="F1154" s="71"/>
      <c r="G1154" s="73" t="s">
        <v>942</v>
      </c>
    </row>
    <row r="1155" spans="2:7" x14ac:dyDescent="0.15">
      <c r="B1155" s="299"/>
      <c r="C1155" s="69" t="s">
        <v>943</v>
      </c>
      <c r="D1155" s="70">
        <f>VLOOKUP(C1155,基本字段定义!$B$3:$C$3013,2,FALSE)</f>
        <v>751</v>
      </c>
      <c r="E1155" s="71" t="s">
        <v>365</v>
      </c>
      <c r="F1155" s="71"/>
      <c r="G1155" s="73" t="s">
        <v>944</v>
      </c>
    </row>
    <row r="1156" spans="2:7" ht="25.5" x14ac:dyDescent="0.15">
      <c r="B1156" s="299"/>
      <c r="C1156" s="69" t="s">
        <v>945</v>
      </c>
      <c r="D1156" s="70">
        <f>VLOOKUP(C1156,基本字段定义!$B$3:$C$3013,2,FALSE)</f>
        <v>753</v>
      </c>
      <c r="E1156" s="71" t="s">
        <v>363</v>
      </c>
      <c r="F1156" s="71"/>
      <c r="G1156" s="74" t="s">
        <v>946</v>
      </c>
    </row>
    <row r="1157" spans="2:7" x14ac:dyDescent="0.15">
      <c r="B1157" s="299"/>
      <c r="C1157" s="69" t="s">
        <v>661</v>
      </c>
      <c r="D1157" s="70">
        <f>VLOOKUP(C1157,基本字段定义!$B$3:$C$3013,2,FALSE)</f>
        <v>830</v>
      </c>
      <c r="E1157" s="71" t="s">
        <v>365</v>
      </c>
      <c r="F1157" s="71"/>
      <c r="G1157" s="73" t="s">
        <v>947</v>
      </c>
    </row>
    <row r="1158" spans="2:7" x14ac:dyDescent="0.15">
      <c r="B1158" s="299"/>
      <c r="C1158" s="69" t="s">
        <v>948</v>
      </c>
      <c r="D1158" s="70">
        <f>VLOOKUP(C1158,基本字段定义!$B$3:$C$3013,2,FALSE)</f>
        <v>886</v>
      </c>
      <c r="E1158" s="71" t="s">
        <v>363</v>
      </c>
      <c r="F1158" s="71"/>
      <c r="G1158" s="73" t="s">
        <v>949</v>
      </c>
    </row>
    <row r="1159" spans="2:7" x14ac:dyDescent="0.15">
      <c r="B1159" s="299"/>
      <c r="C1159" s="69" t="s">
        <v>707</v>
      </c>
      <c r="D1159" s="70">
        <f>VLOOKUP(C1159,基本字段定义!$B$3:$C$3013,2,FALSE)</f>
        <v>528</v>
      </c>
      <c r="E1159" s="71" t="s">
        <v>363</v>
      </c>
      <c r="F1159" s="71"/>
      <c r="G1159" s="73" t="s">
        <v>950</v>
      </c>
    </row>
    <row r="1160" spans="2:7" x14ac:dyDescent="0.15">
      <c r="B1160" s="299"/>
      <c r="C1160" s="69" t="s">
        <v>709</v>
      </c>
      <c r="D1160" s="70">
        <f>VLOOKUP(C1160,基本字段定义!$B$3:$C$3013,2,FALSE)</f>
        <v>524</v>
      </c>
      <c r="E1160" s="71" t="s">
        <v>563</v>
      </c>
      <c r="F1160" s="71"/>
      <c r="G1160" s="73" t="s">
        <v>951</v>
      </c>
    </row>
    <row r="1161" spans="2:7" x14ac:dyDescent="0.15">
      <c r="B1161" s="299"/>
      <c r="C1161" s="69" t="s">
        <v>952</v>
      </c>
      <c r="D1161" s="70">
        <f>VLOOKUP(C1161,基本字段定义!$B$3:$C$3013,2,FALSE)</f>
        <v>525</v>
      </c>
      <c r="E1161" s="71" t="s">
        <v>563</v>
      </c>
      <c r="F1161" s="71"/>
      <c r="G1161" s="73" t="s">
        <v>953</v>
      </c>
    </row>
    <row r="1162" spans="2:7" x14ac:dyDescent="0.15">
      <c r="B1162" s="299"/>
      <c r="C1162" s="69" t="s">
        <v>550</v>
      </c>
      <c r="D1162" s="70">
        <f>VLOOKUP(C1162,基本字段定义!$B$3:$C$3013,2,FALSE)</f>
        <v>511</v>
      </c>
      <c r="E1162" s="71" t="s">
        <v>365</v>
      </c>
      <c r="F1162" s="71"/>
      <c r="G1162" s="73" t="s">
        <v>551</v>
      </c>
    </row>
    <row r="1163" spans="2:7" x14ac:dyDescent="0.15">
      <c r="B1163" s="299"/>
      <c r="C1163" s="69" t="s">
        <v>954</v>
      </c>
      <c r="D1163" s="70">
        <f>VLOOKUP(C1163,基本字段定义!$B$3:$C$3013,2,FALSE)</f>
        <v>647</v>
      </c>
      <c r="E1163" s="71" t="s">
        <v>563</v>
      </c>
      <c r="F1163" s="71"/>
      <c r="G1163" s="73" t="s">
        <v>955</v>
      </c>
    </row>
    <row r="1164" spans="2:7" x14ac:dyDescent="0.15">
      <c r="B1164" s="299"/>
      <c r="C1164" s="69" t="s">
        <v>956</v>
      </c>
      <c r="D1164" s="70">
        <f>VLOOKUP(C1164,基本字段定义!$B$3:$C$3013,2,FALSE)</f>
        <v>641</v>
      </c>
      <c r="E1164" s="71" t="s">
        <v>365</v>
      </c>
      <c r="F1164" s="71"/>
      <c r="G1164" s="73" t="s">
        <v>957</v>
      </c>
    </row>
    <row r="1165" spans="2:7" x14ac:dyDescent="0.15">
      <c r="B1165" s="299"/>
      <c r="C1165" s="69" t="s">
        <v>910</v>
      </c>
      <c r="D1165" s="70">
        <f>VLOOKUP(C1165,基本字段定义!$B$3:$C$3013,2,FALSE)</f>
        <v>1017</v>
      </c>
      <c r="E1165" s="71" t="s">
        <v>365</v>
      </c>
      <c r="F1165" s="71"/>
      <c r="G1165" s="73" t="s">
        <v>911</v>
      </c>
    </row>
    <row r="1166" spans="2:7" ht="14.25" thickBot="1" x14ac:dyDescent="0.2">
      <c r="B1166" s="304"/>
      <c r="C1166" s="75"/>
      <c r="D1166" s="83"/>
      <c r="E1166" s="77"/>
      <c r="F1166" s="77"/>
      <c r="G1166" s="78"/>
    </row>
    <row r="1167" spans="2:7" ht="14.25" thickBot="1" x14ac:dyDescent="0.2"/>
    <row r="1168" spans="2:7" x14ac:dyDescent="0.15">
      <c r="B1168" s="57" t="s">
        <v>163</v>
      </c>
      <c r="C1168" s="84">
        <v>304116</v>
      </c>
      <c r="D1168" s="85"/>
      <c r="E1168" s="86"/>
      <c r="F1168" s="58" t="s">
        <v>352</v>
      </c>
      <c r="G1168" s="59"/>
    </row>
    <row r="1169" spans="2:7" x14ac:dyDescent="0.15">
      <c r="B1169" s="60" t="s">
        <v>353</v>
      </c>
      <c r="C1169" s="87" t="str">
        <f>VLOOKUP(C1168,功能索引!$C$3:$D$278,2,FALSE)</f>
        <v>查询指定委托号的委托详细信息</v>
      </c>
      <c r="D1169" s="88"/>
      <c r="E1169" s="89"/>
      <c r="F1169" s="61" t="s">
        <v>165</v>
      </c>
      <c r="G1169" s="62">
        <f>VLOOKUP(C1168,功能索引!$C$3:$E1488,3,FALSE)</f>
        <v>0</v>
      </c>
    </row>
    <row r="1170" spans="2:7" x14ac:dyDescent="0.15">
      <c r="B1170" s="299" t="s">
        <v>354</v>
      </c>
      <c r="C1170" s="99"/>
      <c r="D1170" s="100"/>
      <c r="E1170" s="100"/>
      <c r="F1170" s="100"/>
      <c r="G1170" s="101"/>
    </row>
    <row r="1171" spans="2:7" ht="14.25" thickBot="1" x14ac:dyDescent="0.2">
      <c r="B1171" s="304"/>
      <c r="C1171" s="102"/>
      <c r="D1171" s="103"/>
      <c r="E1171" s="103"/>
      <c r="F1171" s="103"/>
      <c r="G1171" s="104"/>
    </row>
    <row r="1172" spans="2:7" x14ac:dyDescent="0.15">
      <c r="B1172" s="298" t="s">
        <v>355</v>
      </c>
      <c r="C1172" s="58" t="s">
        <v>356</v>
      </c>
      <c r="D1172" s="58" t="s">
        <v>357</v>
      </c>
      <c r="E1172" s="58" t="s">
        <v>358</v>
      </c>
      <c r="F1172" s="58" t="s">
        <v>359</v>
      </c>
      <c r="G1172" s="64" t="s">
        <v>360</v>
      </c>
    </row>
    <row r="1173" spans="2:7" x14ac:dyDescent="0.15">
      <c r="B1173" s="299"/>
      <c r="C1173" s="65" t="s">
        <v>387</v>
      </c>
      <c r="D1173" s="66">
        <f>VLOOKUP(C1173,基本字段定义!$B$3:$C$3013,2,FALSE)</f>
        <v>599</v>
      </c>
      <c r="E1173" s="67" t="s">
        <v>388</v>
      </c>
      <c r="F1173" s="67" t="s">
        <v>169</v>
      </c>
      <c r="G1173" s="68" t="s">
        <v>389</v>
      </c>
    </row>
    <row r="1174" spans="2:7" x14ac:dyDescent="0.15">
      <c r="B1174" s="299"/>
      <c r="C1174" s="65" t="s">
        <v>916</v>
      </c>
      <c r="D1174" s="66">
        <f>VLOOKUP(C1174,基本字段定义!$B$3:$C$3013,2,FALSE)</f>
        <v>681</v>
      </c>
      <c r="E1174" s="67" t="s">
        <v>363</v>
      </c>
      <c r="F1174" s="67"/>
      <c r="G1174" s="68" t="s">
        <v>958</v>
      </c>
    </row>
    <row r="1175" spans="2:7" x14ac:dyDescent="0.15">
      <c r="B1175" s="299"/>
      <c r="C1175" s="65" t="s">
        <v>959</v>
      </c>
      <c r="D1175" s="66">
        <f>VLOOKUP(C1175,基本字段定义!$B$3:$C$3013,2,FALSE)</f>
        <v>1011</v>
      </c>
      <c r="E1175" s="67" t="s">
        <v>438</v>
      </c>
      <c r="F1175" s="67"/>
      <c r="G1175" s="68" t="s">
        <v>960</v>
      </c>
    </row>
    <row r="1176" spans="2:7" x14ac:dyDescent="0.15">
      <c r="B1176" s="299"/>
      <c r="C1176" s="65" t="s">
        <v>933</v>
      </c>
      <c r="D1176" s="66">
        <f>VLOOKUP(C1176,基本字段定义!$B$3:$C$3013,2,FALSE)</f>
        <v>755</v>
      </c>
      <c r="E1176" s="67" t="s">
        <v>604</v>
      </c>
      <c r="F1176" s="67"/>
      <c r="G1176" s="68" t="s">
        <v>961</v>
      </c>
    </row>
    <row r="1177" spans="2:7" x14ac:dyDescent="0.15">
      <c r="B1177" s="299" t="s">
        <v>361</v>
      </c>
      <c r="C1177" s="69" t="s">
        <v>362</v>
      </c>
      <c r="D1177" s="70">
        <f>VLOOKUP(C1177,基本字段定义!$B$3:$C$3013,2,FALSE)</f>
        <v>507</v>
      </c>
      <c r="E1177" s="71" t="s">
        <v>363</v>
      </c>
      <c r="F1177" s="71"/>
      <c r="G1177" s="73"/>
    </row>
    <row r="1178" spans="2:7" x14ac:dyDescent="0.15">
      <c r="B1178" s="299"/>
      <c r="C1178" s="69" t="s">
        <v>364</v>
      </c>
      <c r="D1178" s="70">
        <f>VLOOKUP(C1178,基本字段定义!$B$3:$C$3013,2,FALSE)</f>
        <v>508</v>
      </c>
      <c r="E1178" s="71" t="s">
        <v>365</v>
      </c>
      <c r="F1178" s="71"/>
      <c r="G1178" s="73"/>
    </row>
    <row r="1179" spans="2:7" x14ac:dyDescent="0.15">
      <c r="B1179" s="299"/>
      <c r="C1179" s="69" t="s">
        <v>428</v>
      </c>
      <c r="D1179" s="70">
        <f>VLOOKUP(C1179,基本字段定义!$B$3:$C$3013,2,FALSE)</f>
        <v>605</v>
      </c>
      <c r="E1179" s="71" t="s">
        <v>365</v>
      </c>
      <c r="F1179" s="71"/>
      <c r="G1179" s="73"/>
    </row>
    <row r="1180" spans="2:7" x14ac:dyDescent="0.15">
      <c r="B1180" s="299"/>
      <c r="C1180" s="69" t="s">
        <v>431</v>
      </c>
      <c r="D1180" s="70">
        <f>VLOOKUP(C1180,基本字段定义!$B$3:$C$3013,2,FALSE)</f>
        <v>571</v>
      </c>
      <c r="E1180" s="71" t="s">
        <v>365</v>
      </c>
      <c r="F1180" s="71"/>
      <c r="G1180" s="73" t="s">
        <v>433</v>
      </c>
    </row>
    <row r="1181" spans="2:7" x14ac:dyDescent="0.15">
      <c r="B1181" s="299"/>
      <c r="C1181" s="69" t="s">
        <v>387</v>
      </c>
      <c r="D1181" s="70">
        <f>VLOOKUP(C1181,基本字段定义!$B$3:$C$3013,2,FALSE)</f>
        <v>599</v>
      </c>
      <c r="E1181" s="71" t="s">
        <v>365</v>
      </c>
      <c r="F1181" s="71"/>
      <c r="G1181" s="73" t="s">
        <v>389</v>
      </c>
    </row>
    <row r="1182" spans="2:7" x14ac:dyDescent="0.15">
      <c r="B1182" s="299"/>
      <c r="C1182" s="69" t="s">
        <v>916</v>
      </c>
      <c r="D1182" s="70">
        <f>VLOOKUP(C1182,基本字段定义!$B$3:$C$3013,2,FALSE)</f>
        <v>681</v>
      </c>
      <c r="E1182" s="71" t="s">
        <v>363</v>
      </c>
      <c r="F1182" s="71"/>
      <c r="G1182" s="73" t="s">
        <v>918</v>
      </c>
    </row>
    <row r="1183" spans="2:7" x14ac:dyDescent="0.15">
      <c r="B1183" s="299"/>
      <c r="C1183" s="69" t="s">
        <v>959</v>
      </c>
      <c r="D1183" s="70">
        <f>VLOOKUP(C1183,基本字段定义!$B$3:$C$3013,2,FALSE)</f>
        <v>1011</v>
      </c>
      <c r="E1183" s="71" t="s">
        <v>365</v>
      </c>
      <c r="F1183" s="71"/>
      <c r="G1183" s="73"/>
    </row>
    <row r="1184" spans="2:7" x14ac:dyDescent="0.15">
      <c r="B1184" s="299"/>
      <c r="C1184" s="69" t="s">
        <v>933</v>
      </c>
      <c r="D1184" s="70">
        <f>VLOOKUP(C1184,基本字段定义!$B$3:$C$3013,2,FALSE)</f>
        <v>755</v>
      </c>
      <c r="E1184" s="71" t="s">
        <v>365</v>
      </c>
      <c r="F1184" s="71"/>
      <c r="G1184" s="73" t="s">
        <v>939</v>
      </c>
    </row>
    <row r="1185" spans="2:7" x14ac:dyDescent="0.15">
      <c r="B1185" s="299"/>
      <c r="C1185" s="69" t="s">
        <v>806</v>
      </c>
      <c r="D1185" s="70">
        <f>VLOOKUP(C1185,基本字段定义!$B$3:$C$3013,2,FALSE)</f>
        <v>683</v>
      </c>
      <c r="E1185" s="71" t="s">
        <v>363</v>
      </c>
      <c r="F1185" s="71"/>
      <c r="G1185" s="73" t="s">
        <v>930</v>
      </c>
    </row>
    <row r="1186" spans="2:7" x14ac:dyDescent="0.15">
      <c r="B1186" s="299"/>
      <c r="C1186" s="69" t="s">
        <v>666</v>
      </c>
      <c r="D1186" s="70">
        <f>VLOOKUP(C1186,基本字段定义!$B$3:$C$3013,2,FALSE)</f>
        <v>719</v>
      </c>
      <c r="E1186" s="71" t="s">
        <v>365</v>
      </c>
      <c r="F1186" s="71"/>
      <c r="G1186" s="73" t="s">
        <v>683</v>
      </c>
    </row>
    <row r="1187" spans="2:7" x14ac:dyDescent="0.15">
      <c r="B1187" s="299"/>
      <c r="C1187" s="69" t="s">
        <v>685</v>
      </c>
      <c r="D1187" s="70">
        <f>VLOOKUP(C1187,基本字段定义!$B$3:$C$3013,2,FALSE)</f>
        <v>722</v>
      </c>
      <c r="E1187" s="71" t="s">
        <v>365</v>
      </c>
      <c r="F1187" s="71"/>
      <c r="G1187" s="73" t="s">
        <v>686</v>
      </c>
    </row>
    <row r="1188" spans="2:7" x14ac:dyDescent="0.15">
      <c r="B1188" s="299"/>
      <c r="C1188" s="69" t="s">
        <v>893</v>
      </c>
      <c r="D1188" s="70">
        <f>VLOOKUP(C1188,基本字段定义!$B$3:$C$3013,2,FALSE)</f>
        <v>1013</v>
      </c>
      <c r="E1188" s="71" t="s">
        <v>363</v>
      </c>
      <c r="F1188" s="71"/>
      <c r="G1188" s="73" t="s">
        <v>940</v>
      </c>
    </row>
    <row r="1189" spans="2:7" x14ac:dyDescent="0.15">
      <c r="B1189" s="299"/>
      <c r="C1189" s="69" t="s">
        <v>810</v>
      </c>
      <c r="D1189" s="70">
        <f>VLOOKUP(C1189,基本字段定义!$B$3:$C$3013,2,FALSE)</f>
        <v>684</v>
      </c>
      <c r="E1189" s="71" t="s">
        <v>363</v>
      </c>
      <c r="F1189" s="71"/>
      <c r="G1189" s="73" t="s">
        <v>811</v>
      </c>
    </row>
    <row r="1190" spans="2:7" x14ac:dyDescent="0.15">
      <c r="B1190" s="299"/>
      <c r="C1190" s="69" t="s">
        <v>812</v>
      </c>
      <c r="D1190" s="70">
        <f>VLOOKUP(C1190,基本字段定义!$B$3:$C$3013,2,FALSE)</f>
        <v>682</v>
      </c>
      <c r="E1190" s="71" t="s">
        <v>563</v>
      </c>
      <c r="F1190" s="71"/>
      <c r="G1190" s="73" t="s">
        <v>813</v>
      </c>
    </row>
    <row r="1191" spans="2:7" x14ac:dyDescent="0.15">
      <c r="B1191" s="299"/>
      <c r="C1191" s="69" t="s">
        <v>941</v>
      </c>
      <c r="D1191" s="70">
        <f>VLOOKUP(C1191,基本字段定义!$B$3:$C$3013,2,FALSE)</f>
        <v>750</v>
      </c>
      <c r="E1191" s="71" t="s">
        <v>365</v>
      </c>
      <c r="F1191" s="71"/>
      <c r="G1191" s="73" t="s">
        <v>942</v>
      </c>
    </row>
    <row r="1192" spans="2:7" x14ac:dyDescent="0.15">
      <c r="B1192" s="299"/>
      <c r="C1192" s="69" t="s">
        <v>943</v>
      </c>
      <c r="D1192" s="70">
        <f>VLOOKUP(C1192,基本字段定义!$B$3:$C$3013,2,FALSE)</f>
        <v>751</v>
      </c>
      <c r="E1192" s="71" t="s">
        <v>365</v>
      </c>
      <c r="F1192" s="71"/>
      <c r="G1192" s="73" t="s">
        <v>944</v>
      </c>
    </row>
    <row r="1193" spans="2:7" ht="25.5" x14ac:dyDescent="0.15">
      <c r="B1193" s="299"/>
      <c r="C1193" s="69" t="s">
        <v>945</v>
      </c>
      <c r="D1193" s="70">
        <f>VLOOKUP(C1193,基本字段定义!$B$3:$C$3013,2,FALSE)</f>
        <v>753</v>
      </c>
      <c r="E1193" s="71" t="s">
        <v>363</v>
      </c>
      <c r="F1193" s="71"/>
      <c r="G1193" s="74" t="s">
        <v>946</v>
      </c>
    </row>
    <row r="1194" spans="2:7" x14ac:dyDescent="0.15">
      <c r="B1194" s="299"/>
      <c r="C1194" s="69" t="s">
        <v>661</v>
      </c>
      <c r="D1194" s="70">
        <f>VLOOKUP(C1194,基本字段定义!$B$3:$C$3013,2,FALSE)</f>
        <v>830</v>
      </c>
      <c r="E1194" s="71" t="s">
        <v>365</v>
      </c>
      <c r="F1194" s="71"/>
      <c r="G1194" s="73" t="s">
        <v>947</v>
      </c>
    </row>
    <row r="1195" spans="2:7" x14ac:dyDescent="0.15">
      <c r="B1195" s="299"/>
      <c r="C1195" s="69" t="s">
        <v>948</v>
      </c>
      <c r="D1195" s="70">
        <f>VLOOKUP(C1195,基本字段定义!$B$3:$C$3013,2,FALSE)</f>
        <v>886</v>
      </c>
      <c r="E1195" s="71" t="s">
        <v>363</v>
      </c>
      <c r="F1195" s="71"/>
      <c r="G1195" s="73" t="s">
        <v>949</v>
      </c>
    </row>
    <row r="1196" spans="2:7" x14ac:dyDescent="0.15">
      <c r="B1196" s="299"/>
      <c r="C1196" s="69" t="s">
        <v>707</v>
      </c>
      <c r="D1196" s="70">
        <f>VLOOKUP(C1196,基本字段定义!$B$3:$C$3013,2,FALSE)</f>
        <v>528</v>
      </c>
      <c r="E1196" s="71" t="s">
        <v>363</v>
      </c>
      <c r="F1196" s="71"/>
      <c r="G1196" s="73" t="s">
        <v>950</v>
      </c>
    </row>
    <row r="1197" spans="2:7" x14ac:dyDescent="0.15">
      <c r="B1197" s="299"/>
      <c r="C1197" s="69" t="s">
        <v>709</v>
      </c>
      <c r="D1197" s="70">
        <f>VLOOKUP(C1197,基本字段定义!$B$3:$C$3013,2,FALSE)</f>
        <v>524</v>
      </c>
      <c r="E1197" s="71" t="s">
        <v>563</v>
      </c>
      <c r="F1197" s="71"/>
      <c r="G1197" s="73" t="s">
        <v>951</v>
      </c>
    </row>
    <row r="1198" spans="2:7" x14ac:dyDescent="0.15">
      <c r="B1198" s="299"/>
      <c r="C1198" s="69" t="s">
        <v>952</v>
      </c>
      <c r="D1198" s="70">
        <f>VLOOKUP(C1198,基本字段定义!$B$3:$C$3013,2,FALSE)</f>
        <v>525</v>
      </c>
      <c r="E1198" s="71" t="s">
        <v>563</v>
      </c>
      <c r="F1198" s="71"/>
      <c r="G1198" s="73" t="s">
        <v>953</v>
      </c>
    </row>
    <row r="1199" spans="2:7" x14ac:dyDescent="0.15">
      <c r="B1199" s="299"/>
      <c r="C1199" s="69" t="s">
        <v>550</v>
      </c>
      <c r="D1199" s="70">
        <f>VLOOKUP(C1199,基本字段定义!$B$3:$C$3013,2,FALSE)</f>
        <v>511</v>
      </c>
      <c r="E1199" s="71" t="s">
        <v>365</v>
      </c>
      <c r="F1199" s="71"/>
      <c r="G1199" s="73" t="s">
        <v>551</v>
      </c>
    </row>
    <row r="1200" spans="2:7" x14ac:dyDescent="0.15">
      <c r="B1200" s="299"/>
      <c r="C1200" s="69" t="s">
        <v>954</v>
      </c>
      <c r="D1200" s="70">
        <f>VLOOKUP(C1200,基本字段定义!$B$3:$C$3013,2,FALSE)</f>
        <v>647</v>
      </c>
      <c r="E1200" s="71" t="s">
        <v>563</v>
      </c>
      <c r="F1200" s="71"/>
      <c r="G1200" s="73" t="s">
        <v>955</v>
      </c>
    </row>
    <row r="1201" spans="2:7" x14ac:dyDescent="0.15">
      <c r="B1201" s="299"/>
      <c r="C1201" s="69" t="s">
        <v>956</v>
      </c>
      <c r="D1201" s="70">
        <f>VLOOKUP(C1201,基本字段定义!$B$3:$C$3013,2,FALSE)</f>
        <v>641</v>
      </c>
      <c r="E1201" s="71" t="s">
        <v>365</v>
      </c>
      <c r="F1201" s="71"/>
      <c r="G1201" s="73" t="s">
        <v>957</v>
      </c>
    </row>
    <row r="1202" spans="2:7" x14ac:dyDescent="0.15">
      <c r="B1202" s="299"/>
      <c r="C1202" s="69" t="s">
        <v>910</v>
      </c>
      <c r="D1202" s="70">
        <f>VLOOKUP(C1202,基本字段定义!$B$3:$C$3013,2,FALSE)</f>
        <v>1017</v>
      </c>
      <c r="E1202" s="71" t="s">
        <v>365</v>
      </c>
      <c r="F1202" s="71"/>
      <c r="G1202" s="73" t="s">
        <v>911</v>
      </c>
    </row>
    <row r="1203" spans="2:7" ht="14.25" thickBot="1" x14ac:dyDescent="0.2">
      <c r="B1203" s="304"/>
      <c r="C1203" s="75"/>
      <c r="D1203" s="83"/>
      <c r="E1203" s="77"/>
      <c r="F1203" s="77"/>
      <c r="G1203" s="78"/>
    </row>
    <row r="1205" spans="2:7" x14ac:dyDescent="0.15">
      <c r="B1205" s="57" t="s">
        <v>163</v>
      </c>
      <c r="C1205" s="84">
        <v>304109</v>
      </c>
      <c r="D1205" s="85"/>
      <c r="E1205" s="86"/>
      <c r="F1205" s="58" t="s">
        <v>352</v>
      </c>
      <c r="G1205" s="59"/>
    </row>
    <row r="1206" spans="2:7" x14ac:dyDescent="0.15">
      <c r="B1206" s="60" t="s">
        <v>353</v>
      </c>
      <c r="C1206" s="87" t="str">
        <f>VLOOKUP(C1205,功能索引!$C$3:$D$278,2,FALSE)</f>
        <v>客户实时成交查询</v>
      </c>
      <c r="D1206" s="88"/>
      <c r="E1206" s="89"/>
      <c r="F1206" s="61" t="s">
        <v>165</v>
      </c>
      <c r="G1206" s="62" t="str">
        <f>VLOOKUP(C1205,功能索引!$C$3:$E1562,3,FALSE)</f>
        <v>Y</v>
      </c>
    </row>
    <row r="1207" spans="2:7" x14ac:dyDescent="0.15">
      <c r="B1207" s="299" t="s">
        <v>354</v>
      </c>
      <c r="C1207" s="99"/>
      <c r="D1207" s="100"/>
      <c r="E1207" s="100"/>
      <c r="F1207" s="100"/>
      <c r="G1207" s="101"/>
    </row>
    <row r="1208" spans="2:7" ht="14.25" thickBot="1" x14ac:dyDescent="0.2">
      <c r="B1208" s="304"/>
      <c r="C1208" s="102"/>
      <c r="D1208" s="103"/>
      <c r="E1208" s="103"/>
      <c r="F1208" s="103"/>
      <c r="G1208" s="104"/>
    </row>
    <row r="1209" spans="2:7" x14ac:dyDescent="0.15">
      <c r="B1209" s="298" t="s">
        <v>355</v>
      </c>
      <c r="C1209" s="58" t="s">
        <v>356</v>
      </c>
      <c r="D1209" s="58" t="s">
        <v>357</v>
      </c>
      <c r="E1209" s="58" t="s">
        <v>358</v>
      </c>
      <c r="F1209" s="58" t="s">
        <v>359</v>
      </c>
      <c r="G1209" s="64" t="s">
        <v>360</v>
      </c>
    </row>
    <row r="1210" spans="2:7" x14ac:dyDescent="0.15">
      <c r="B1210" s="299"/>
      <c r="C1210" s="65" t="s">
        <v>428</v>
      </c>
      <c r="D1210" s="66">
        <f>VLOOKUP(C1210,基本字段定义!$B$3:$C$3013,2,FALSE)</f>
        <v>605</v>
      </c>
      <c r="E1210" s="67" t="s">
        <v>429</v>
      </c>
      <c r="F1210" s="67" t="s">
        <v>169</v>
      </c>
      <c r="G1210" s="68" t="s">
        <v>430</v>
      </c>
    </row>
    <row r="1211" spans="2:7" x14ac:dyDescent="0.15">
      <c r="B1211" s="299"/>
      <c r="C1211" s="65" t="s">
        <v>431</v>
      </c>
      <c r="D1211" s="66">
        <f>VLOOKUP(C1211,基本字段定义!$B$3:$C$3013,2,FALSE)</f>
        <v>571</v>
      </c>
      <c r="E1211" s="67" t="s">
        <v>432</v>
      </c>
      <c r="F1211" s="67"/>
      <c r="G1211" s="68" t="s">
        <v>433</v>
      </c>
    </row>
    <row r="1212" spans="2:7" x14ac:dyDescent="0.15">
      <c r="B1212" s="299"/>
      <c r="C1212" s="65" t="s">
        <v>387</v>
      </c>
      <c r="D1212" s="66">
        <f>VLOOKUP(C1212,基本字段定义!$B$3:$C$3013,2,FALSE)</f>
        <v>599</v>
      </c>
      <c r="E1212" s="67" t="s">
        <v>388</v>
      </c>
      <c r="F1212" s="67"/>
      <c r="G1212" s="68" t="s">
        <v>389</v>
      </c>
    </row>
    <row r="1213" spans="2:7" x14ac:dyDescent="0.15">
      <c r="B1213" s="299"/>
      <c r="C1213" s="65" t="s">
        <v>666</v>
      </c>
      <c r="D1213" s="66">
        <f>VLOOKUP(C1213,基本字段定义!$B$3:$C$3013,2,FALSE)</f>
        <v>719</v>
      </c>
      <c r="E1213" s="67" t="s">
        <v>506</v>
      </c>
      <c r="F1213" s="67"/>
      <c r="G1213" s="68" t="s">
        <v>683</v>
      </c>
    </row>
    <row r="1214" spans="2:7" x14ac:dyDescent="0.15">
      <c r="B1214" s="299"/>
      <c r="C1214" s="65" t="s">
        <v>585</v>
      </c>
      <c r="D1214" s="66">
        <f>VLOOKUP(C1214,基本字段定义!$B$3:$C$3013,2,FALSE)</f>
        <v>9020</v>
      </c>
      <c r="E1214" s="67" t="s">
        <v>363</v>
      </c>
      <c r="F1214" s="67"/>
      <c r="G1214" s="68" t="s">
        <v>962</v>
      </c>
    </row>
    <row r="1215" spans="2:7" x14ac:dyDescent="0.15">
      <c r="B1215" s="299"/>
      <c r="C1215" s="65" t="s">
        <v>616</v>
      </c>
      <c r="D1215" s="66">
        <f>VLOOKUP(C1215,基本字段定义!$B$3:$C$3013,2,FALSE)</f>
        <v>9110</v>
      </c>
      <c r="E1215" s="67" t="s">
        <v>363</v>
      </c>
      <c r="F1215" s="67"/>
      <c r="G1215" s="68" t="s">
        <v>937</v>
      </c>
    </row>
    <row r="1216" spans="2:7" x14ac:dyDescent="0.15">
      <c r="B1216" s="299"/>
      <c r="C1216" s="65" t="s">
        <v>614</v>
      </c>
      <c r="D1216" s="66">
        <f>VLOOKUP(C1216,基本字段定义!$B$3:$C$3013,2,FALSE)</f>
        <v>763</v>
      </c>
      <c r="E1216" s="67" t="s">
        <v>497</v>
      </c>
      <c r="F1216" s="67"/>
      <c r="G1216" s="68" t="s">
        <v>615</v>
      </c>
    </row>
    <row r="1217" spans="2:7" x14ac:dyDescent="0.15">
      <c r="B1217" s="300" t="s">
        <v>361</v>
      </c>
      <c r="C1217" s="69" t="s">
        <v>614</v>
      </c>
      <c r="D1217" s="70">
        <f>VLOOKUP(C1217,基本字段定义!$B$3:$C$3013,2,FALSE)</f>
        <v>763</v>
      </c>
      <c r="E1217" s="71" t="s">
        <v>365</v>
      </c>
      <c r="F1217" s="71"/>
      <c r="G1217" s="73" t="s">
        <v>618</v>
      </c>
    </row>
    <row r="1218" spans="2:7" x14ac:dyDescent="0.15">
      <c r="B1218" s="301"/>
      <c r="C1218" s="69" t="s">
        <v>387</v>
      </c>
      <c r="D1218" s="70">
        <f>VLOOKUP(C1218,基本字段定义!$B$3:$C$3013,2,FALSE)</f>
        <v>599</v>
      </c>
      <c r="E1218" s="71" t="s">
        <v>365</v>
      </c>
      <c r="F1218" s="71"/>
      <c r="G1218" s="73" t="s">
        <v>389</v>
      </c>
    </row>
    <row r="1219" spans="2:7" x14ac:dyDescent="0.15">
      <c r="B1219" s="301"/>
      <c r="C1219" s="69" t="s">
        <v>431</v>
      </c>
      <c r="D1219" s="70">
        <f>VLOOKUP(C1219,基本字段定义!$B$3:$C$3013,2,FALSE)</f>
        <v>571</v>
      </c>
      <c r="E1219" s="71" t="s">
        <v>365</v>
      </c>
      <c r="F1219" s="71"/>
      <c r="G1219" s="73" t="s">
        <v>433</v>
      </c>
    </row>
    <row r="1220" spans="2:7" x14ac:dyDescent="0.15">
      <c r="B1220" s="301"/>
      <c r="C1220" s="69" t="s">
        <v>916</v>
      </c>
      <c r="D1220" s="70">
        <f>VLOOKUP(C1220,基本字段定义!$B$3:$C$3013,2,FALSE)</f>
        <v>681</v>
      </c>
      <c r="E1220" s="71" t="s">
        <v>363</v>
      </c>
      <c r="F1220" s="71"/>
      <c r="G1220" s="73" t="s">
        <v>918</v>
      </c>
    </row>
    <row r="1221" spans="2:7" x14ac:dyDescent="0.15">
      <c r="B1221" s="301"/>
      <c r="C1221" s="69" t="s">
        <v>959</v>
      </c>
      <c r="D1221" s="70">
        <f>VLOOKUP(C1221,基本字段定义!$B$3:$C$3013,2,FALSE)</f>
        <v>1011</v>
      </c>
      <c r="E1221" s="71" t="s">
        <v>365</v>
      </c>
      <c r="F1221" s="71"/>
      <c r="G1221" s="73" t="s">
        <v>963</v>
      </c>
    </row>
    <row r="1222" spans="2:7" x14ac:dyDescent="0.15">
      <c r="B1222" s="301"/>
      <c r="C1222" s="69" t="s">
        <v>933</v>
      </c>
      <c r="D1222" s="70">
        <f>VLOOKUP(C1222,基本字段定义!$B$3:$C$3013,2,FALSE)</f>
        <v>755</v>
      </c>
      <c r="E1222" s="71" t="s">
        <v>365</v>
      </c>
      <c r="F1222" s="71"/>
      <c r="G1222" s="73" t="s">
        <v>964</v>
      </c>
    </row>
    <row r="1223" spans="2:7" x14ac:dyDescent="0.15">
      <c r="B1223" s="301"/>
      <c r="C1223" s="69" t="s">
        <v>666</v>
      </c>
      <c r="D1223" s="70">
        <f>VLOOKUP(C1223,基本字段定义!$B$3:$C$3013,2,FALSE)</f>
        <v>719</v>
      </c>
      <c r="E1223" s="71" t="s">
        <v>365</v>
      </c>
      <c r="F1223" s="71"/>
      <c r="G1223" s="73" t="s">
        <v>683</v>
      </c>
    </row>
    <row r="1224" spans="2:7" x14ac:dyDescent="0.15">
      <c r="B1224" s="301"/>
      <c r="C1224" s="69" t="s">
        <v>685</v>
      </c>
      <c r="D1224" s="70">
        <f>VLOOKUP(C1224,基本字段定义!$B$3:$C$3013,2,FALSE)</f>
        <v>722</v>
      </c>
      <c r="E1224" s="71" t="s">
        <v>365</v>
      </c>
      <c r="F1224" s="71"/>
      <c r="G1224" s="73" t="s">
        <v>686</v>
      </c>
    </row>
    <row r="1225" spans="2:7" x14ac:dyDescent="0.15">
      <c r="B1225" s="301"/>
      <c r="C1225" s="69" t="s">
        <v>806</v>
      </c>
      <c r="D1225" s="70">
        <f>VLOOKUP(C1225,基本字段定义!$B$3:$C$3013,2,FALSE)</f>
        <v>683</v>
      </c>
      <c r="E1225" s="71" t="s">
        <v>363</v>
      </c>
      <c r="F1225" s="71"/>
      <c r="G1225" s="73" t="s">
        <v>930</v>
      </c>
    </row>
    <row r="1226" spans="2:7" x14ac:dyDescent="0.15">
      <c r="B1226" s="301"/>
      <c r="C1226" s="69" t="s">
        <v>707</v>
      </c>
      <c r="D1226" s="70">
        <f>VLOOKUP(C1226,基本字段定义!$B$3:$C$3013,2,FALSE)</f>
        <v>528</v>
      </c>
      <c r="E1226" s="71" t="s">
        <v>363</v>
      </c>
      <c r="F1226" s="71"/>
      <c r="G1226" s="73" t="s">
        <v>950</v>
      </c>
    </row>
    <row r="1227" spans="2:7" x14ac:dyDescent="0.15">
      <c r="B1227" s="301"/>
      <c r="C1227" s="69" t="s">
        <v>952</v>
      </c>
      <c r="D1227" s="70">
        <f>VLOOKUP(C1227,基本字段定义!$B$3:$C$3013,2,FALSE)</f>
        <v>525</v>
      </c>
      <c r="E1227" s="71" t="s">
        <v>563</v>
      </c>
      <c r="F1227" s="71"/>
      <c r="G1227" s="73" t="s">
        <v>965</v>
      </c>
    </row>
    <row r="1228" spans="2:7" x14ac:dyDescent="0.15">
      <c r="B1228" s="301"/>
      <c r="C1228" s="69" t="s">
        <v>709</v>
      </c>
      <c r="D1228" s="70">
        <f>VLOOKUP(C1228,基本字段定义!$B$3:$C$3013,2,FALSE)</f>
        <v>524</v>
      </c>
      <c r="E1228" s="71" t="s">
        <v>563</v>
      </c>
      <c r="F1228" s="71"/>
      <c r="G1228" s="73" t="s">
        <v>951</v>
      </c>
    </row>
    <row r="1229" spans="2:7" ht="14.25" thickBot="1" x14ac:dyDescent="0.2">
      <c r="B1229" s="305"/>
      <c r="C1229" s="75"/>
      <c r="D1229" s="83"/>
      <c r="E1229" s="77"/>
      <c r="F1229" s="77"/>
      <c r="G1229" s="78"/>
    </row>
    <row r="1231" spans="2:7" x14ac:dyDescent="0.15">
      <c r="B1231" s="57" t="s">
        <v>163</v>
      </c>
      <c r="C1231" s="84">
        <v>304110</v>
      </c>
      <c r="D1231" s="85"/>
      <c r="E1231" s="86"/>
      <c r="F1231" s="58" t="s">
        <v>352</v>
      </c>
      <c r="G1231" s="59"/>
    </row>
    <row r="1232" spans="2:7" x14ac:dyDescent="0.15">
      <c r="B1232" s="60" t="s">
        <v>353</v>
      </c>
      <c r="C1232" s="87" t="str">
        <f>VLOOKUP(C1231,功能索引!$C$3:$D$278,2,FALSE)</f>
        <v>客户分笔成交查询</v>
      </c>
      <c r="D1232" s="88"/>
      <c r="E1232" s="89"/>
      <c r="F1232" s="61" t="s">
        <v>165</v>
      </c>
      <c r="G1232" s="62" t="str">
        <f>VLOOKUP(C1231,功能索引!$C$3:$E1596,3,FALSE)</f>
        <v>Y</v>
      </c>
    </row>
    <row r="1233" spans="2:7" x14ac:dyDescent="0.15">
      <c r="B1233" s="299" t="s">
        <v>354</v>
      </c>
      <c r="C1233" s="99"/>
      <c r="D1233" s="100"/>
      <c r="E1233" s="100"/>
      <c r="F1233" s="100"/>
      <c r="G1233" s="101"/>
    </row>
    <row r="1234" spans="2:7" ht="14.25" thickBot="1" x14ac:dyDescent="0.2">
      <c r="B1234" s="304"/>
      <c r="C1234" s="102"/>
      <c r="D1234" s="103"/>
      <c r="E1234" s="103"/>
      <c r="F1234" s="103"/>
      <c r="G1234" s="104"/>
    </row>
    <row r="1235" spans="2:7" x14ac:dyDescent="0.15">
      <c r="B1235" s="298" t="s">
        <v>355</v>
      </c>
      <c r="C1235" s="58" t="s">
        <v>356</v>
      </c>
      <c r="D1235" s="58" t="s">
        <v>357</v>
      </c>
      <c r="E1235" s="58" t="s">
        <v>358</v>
      </c>
      <c r="F1235" s="58" t="s">
        <v>359</v>
      </c>
      <c r="G1235" s="64" t="s">
        <v>360</v>
      </c>
    </row>
    <row r="1236" spans="2:7" x14ac:dyDescent="0.15">
      <c r="B1236" s="299"/>
      <c r="C1236" s="65" t="s">
        <v>428</v>
      </c>
      <c r="D1236" s="66">
        <f>VLOOKUP(C1236,基本字段定义!$B$3:$C$3013,2,FALSE)</f>
        <v>605</v>
      </c>
      <c r="E1236" s="67" t="s">
        <v>429</v>
      </c>
      <c r="F1236" s="67" t="s">
        <v>169</v>
      </c>
      <c r="G1236" s="68" t="s">
        <v>430</v>
      </c>
    </row>
    <row r="1237" spans="2:7" x14ac:dyDescent="0.15">
      <c r="B1237" s="299"/>
      <c r="C1237" s="65" t="s">
        <v>928</v>
      </c>
      <c r="D1237" s="66">
        <f>VLOOKUP(C1237,基本字段定义!$B$3:$C$3013,2,FALSE)</f>
        <v>705</v>
      </c>
      <c r="E1237" s="67" t="s">
        <v>497</v>
      </c>
      <c r="F1237" s="67" t="s">
        <v>169</v>
      </c>
      <c r="G1237" s="68" t="s">
        <v>966</v>
      </c>
    </row>
    <row r="1238" spans="2:7" x14ac:dyDescent="0.15">
      <c r="B1238" s="299"/>
      <c r="C1238" s="65" t="s">
        <v>616</v>
      </c>
      <c r="D1238" s="66">
        <f>VLOOKUP(C1238,基本字段定义!$B$3:$C$3013,2,FALSE)</f>
        <v>9110</v>
      </c>
      <c r="E1238" s="67" t="s">
        <v>363</v>
      </c>
      <c r="F1238" s="67"/>
      <c r="G1238" s="68" t="s">
        <v>937</v>
      </c>
    </row>
    <row r="1239" spans="2:7" x14ac:dyDescent="0.15">
      <c r="B1239" s="299"/>
      <c r="C1239" s="65" t="s">
        <v>614</v>
      </c>
      <c r="D1239" s="66">
        <f>VLOOKUP(C1239,基本字段定义!$B$3:$C$3013,2,FALSE)</f>
        <v>763</v>
      </c>
      <c r="E1239" s="67" t="s">
        <v>497</v>
      </c>
      <c r="F1239" s="67"/>
      <c r="G1239" s="68" t="s">
        <v>967</v>
      </c>
    </row>
    <row r="1240" spans="2:7" x14ac:dyDescent="0.15">
      <c r="B1240" s="299" t="s">
        <v>361</v>
      </c>
      <c r="C1240" s="69" t="s">
        <v>614</v>
      </c>
      <c r="D1240" s="70">
        <f>VLOOKUP(C1240,基本字段定义!$B$3:$C$3013,2,FALSE)</f>
        <v>763</v>
      </c>
      <c r="E1240" s="71" t="s">
        <v>365</v>
      </c>
      <c r="F1240" s="71"/>
      <c r="G1240" s="72" t="s">
        <v>618</v>
      </c>
    </row>
    <row r="1241" spans="2:7" x14ac:dyDescent="0.15">
      <c r="B1241" s="299"/>
      <c r="C1241" s="69" t="s">
        <v>387</v>
      </c>
      <c r="D1241" s="70">
        <f>VLOOKUP(C1241,基本字段定义!$B$3:$C$3013,2,FALSE)</f>
        <v>599</v>
      </c>
      <c r="E1241" s="71" t="s">
        <v>365</v>
      </c>
      <c r="F1241" s="71"/>
      <c r="G1241" s="73" t="s">
        <v>389</v>
      </c>
    </row>
    <row r="1242" spans="2:7" x14ac:dyDescent="0.15">
      <c r="B1242" s="299"/>
      <c r="C1242" s="69" t="s">
        <v>431</v>
      </c>
      <c r="D1242" s="70">
        <f>VLOOKUP(C1242,基本字段定义!$B$3:$C$3013,2,FALSE)</f>
        <v>571</v>
      </c>
      <c r="E1242" s="71" t="s">
        <v>365</v>
      </c>
      <c r="F1242" s="71"/>
      <c r="G1242" s="73" t="s">
        <v>433</v>
      </c>
    </row>
    <row r="1243" spans="2:7" x14ac:dyDescent="0.15">
      <c r="B1243" s="299"/>
      <c r="C1243" s="69" t="s">
        <v>916</v>
      </c>
      <c r="D1243" s="70">
        <f>VLOOKUP(C1243,基本字段定义!$B$3:$C$3013,2,FALSE)</f>
        <v>681</v>
      </c>
      <c r="E1243" s="71" t="s">
        <v>363</v>
      </c>
      <c r="F1243" s="71"/>
      <c r="G1243" s="73" t="s">
        <v>918</v>
      </c>
    </row>
    <row r="1244" spans="2:7" x14ac:dyDescent="0.15">
      <c r="B1244" s="299"/>
      <c r="C1244" s="69" t="s">
        <v>959</v>
      </c>
      <c r="D1244" s="70">
        <f>VLOOKUP(C1244,基本字段定义!$B$3:$C$3013,2,FALSE)</f>
        <v>1011</v>
      </c>
      <c r="E1244" s="71" t="s">
        <v>365</v>
      </c>
      <c r="F1244" s="71"/>
      <c r="G1244" s="73" t="s">
        <v>963</v>
      </c>
    </row>
    <row r="1245" spans="2:7" x14ac:dyDescent="0.15">
      <c r="B1245" s="299"/>
      <c r="C1245" s="69" t="s">
        <v>933</v>
      </c>
      <c r="D1245" s="70">
        <f>VLOOKUP(C1245,基本字段定义!$B$3:$C$3013,2,FALSE)</f>
        <v>755</v>
      </c>
      <c r="E1245" s="71" t="s">
        <v>365</v>
      </c>
      <c r="F1245" s="71"/>
      <c r="G1245" s="73" t="s">
        <v>964</v>
      </c>
    </row>
    <row r="1246" spans="2:7" x14ac:dyDescent="0.15">
      <c r="B1246" s="299"/>
      <c r="C1246" s="69" t="s">
        <v>666</v>
      </c>
      <c r="D1246" s="70">
        <f>VLOOKUP(C1246,基本字段定义!$B$3:$C$3013,2,FALSE)</f>
        <v>719</v>
      </c>
      <c r="E1246" s="71" t="s">
        <v>365</v>
      </c>
      <c r="F1246" s="71"/>
      <c r="G1246" s="73" t="s">
        <v>683</v>
      </c>
    </row>
    <row r="1247" spans="2:7" x14ac:dyDescent="0.15">
      <c r="B1247" s="299"/>
      <c r="C1247" s="69" t="s">
        <v>685</v>
      </c>
      <c r="D1247" s="70">
        <f>VLOOKUP(C1247,基本字段定义!$B$3:$C$3013,2,FALSE)</f>
        <v>722</v>
      </c>
      <c r="E1247" s="71" t="s">
        <v>365</v>
      </c>
      <c r="F1247" s="71"/>
      <c r="G1247" s="73" t="s">
        <v>686</v>
      </c>
    </row>
    <row r="1248" spans="2:7" x14ac:dyDescent="0.15">
      <c r="B1248" s="299"/>
      <c r="C1248" s="69" t="s">
        <v>806</v>
      </c>
      <c r="D1248" s="70">
        <f>VLOOKUP(C1248,基本字段定义!$B$3:$C$3013,2,FALSE)</f>
        <v>683</v>
      </c>
      <c r="E1248" s="71" t="s">
        <v>363</v>
      </c>
      <c r="F1248" s="71"/>
      <c r="G1248" s="73" t="s">
        <v>930</v>
      </c>
    </row>
    <row r="1249" spans="2:7" x14ac:dyDescent="0.15">
      <c r="B1249" s="299"/>
      <c r="C1249" s="69" t="s">
        <v>707</v>
      </c>
      <c r="D1249" s="70">
        <f>VLOOKUP(C1249,基本字段定义!$B$3:$C$3013,2,FALSE)</f>
        <v>528</v>
      </c>
      <c r="E1249" s="71" t="s">
        <v>363</v>
      </c>
      <c r="F1249" s="71"/>
      <c r="G1249" s="73" t="s">
        <v>950</v>
      </c>
    </row>
    <row r="1250" spans="2:7" x14ac:dyDescent="0.15">
      <c r="B1250" s="299"/>
      <c r="C1250" s="69" t="s">
        <v>952</v>
      </c>
      <c r="D1250" s="70">
        <f>VLOOKUP(C1250,基本字段定义!$B$3:$C$3013,2,FALSE)</f>
        <v>525</v>
      </c>
      <c r="E1250" s="71" t="s">
        <v>563</v>
      </c>
      <c r="F1250" s="71"/>
      <c r="G1250" s="73" t="s">
        <v>965</v>
      </c>
    </row>
    <row r="1251" spans="2:7" x14ac:dyDescent="0.15">
      <c r="B1251" s="299"/>
      <c r="C1251" s="69" t="s">
        <v>709</v>
      </c>
      <c r="D1251" s="70">
        <f>VLOOKUP(C1251,基本字段定义!$B$3:$C$3013,2,FALSE)</f>
        <v>524</v>
      </c>
      <c r="E1251" s="71" t="s">
        <v>563</v>
      </c>
      <c r="F1251" s="71"/>
      <c r="G1251" s="73" t="s">
        <v>951</v>
      </c>
    </row>
    <row r="1252" spans="2:7" x14ac:dyDescent="0.15">
      <c r="B1252" s="299"/>
      <c r="C1252" s="69" t="s">
        <v>968</v>
      </c>
      <c r="D1252" s="70">
        <f>VLOOKUP(C1252,基本字段定义!$B$3:$C$3013,2,FALSE)</f>
        <v>646</v>
      </c>
      <c r="E1252" s="71" t="s">
        <v>563</v>
      </c>
      <c r="F1252" s="71"/>
      <c r="G1252" s="73" t="s">
        <v>969</v>
      </c>
    </row>
    <row r="1253" spans="2:7" x14ac:dyDescent="0.15">
      <c r="B1253" s="299"/>
      <c r="C1253" s="69" t="s">
        <v>970</v>
      </c>
      <c r="D1253" s="70">
        <f>VLOOKUP(C1253,基本字段定义!$B$3:$C$3013,2,FALSE)</f>
        <v>527</v>
      </c>
      <c r="E1253" s="71" t="s">
        <v>365</v>
      </c>
      <c r="F1253" s="71"/>
      <c r="G1253" s="73" t="s">
        <v>971</v>
      </c>
    </row>
    <row r="1254" spans="2:7" x14ac:dyDescent="0.15">
      <c r="B1254" s="299"/>
      <c r="C1254" s="69" t="s">
        <v>550</v>
      </c>
      <c r="D1254" s="70">
        <f>VLOOKUP(C1254,基本字段定义!$B$3:$C$3013,2,FALSE)</f>
        <v>511</v>
      </c>
      <c r="E1254" s="71" t="s">
        <v>365</v>
      </c>
      <c r="F1254" s="71"/>
      <c r="G1254" s="73" t="s">
        <v>551</v>
      </c>
    </row>
    <row r="1255" spans="2:7" x14ac:dyDescent="0.15">
      <c r="B1255" s="299"/>
      <c r="C1255" s="69" t="s">
        <v>903</v>
      </c>
      <c r="D1255" s="70">
        <f>VLOOKUP(C1255,基本字段定义!$B$3:$C$3013,2,FALSE)</f>
        <v>522</v>
      </c>
      <c r="E1255" s="71" t="s">
        <v>365</v>
      </c>
      <c r="F1255" s="71"/>
      <c r="G1255" s="73" t="s">
        <v>972</v>
      </c>
    </row>
    <row r="1256" spans="2:7" ht="14.25" thickBot="1" x14ac:dyDescent="0.2">
      <c r="B1256" s="304"/>
      <c r="C1256" s="75"/>
      <c r="D1256" s="83"/>
      <c r="E1256" s="77"/>
      <c r="F1256" s="77"/>
      <c r="G1256" s="78"/>
    </row>
    <row r="1258" spans="2:7" x14ac:dyDescent="0.15">
      <c r="B1258" s="57" t="s">
        <v>163</v>
      </c>
      <c r="C1258" s="84">
        <v>304111</v>
      </c>
      <c r="D1258" s="85"/>
      <c r="E1258" s="86"/>
      <c r="F1258" s="58" t="s">
        <v>352</v>
      </c>
      <c r="G1258" s="59"/>
    </row>
    <row r="1259" spans="2:7" x14ac:dyDescent="0.15">
      <c r="B1259" s="60" t="s">
        <v>353</v>
      </c>
      <c r="C1259" s="87" t="str">
        <f>VLOOKUP(C1258,功能索引!$C$3:$D$278,2,FALSE)</f>
        <v>客户实时成交汇总查询</v>
      </c>
      <c r="D1259" s="88"/>
      <c r="E1259" s="89"/>
      <c r="F1259" s="61" t="s">
        <v>165</v>
      </c>
      <c r="G1259" s="62" t="str">
        <f>VLOOKUP(C1258,功能索引!$C$3:$E1635,3,FALSE)</f>
        <v>Y</v>
      </c>
    </row>
    <row r="1260" spans="2:7" x14ac:dyDescent="0.15">
      <c r="B1260" s="299" t="s">
        <v>354</v>
      </c>
      <c r="C1260" s="99"/>
      <c r="D1260" s="100"/>
      <c r="E1260" s="100"/>
      <c r="F1260" s="100"/>
      <c r="G1260" s="101"/>
    </row>
    <row r="1261" spans="2:7" ht="14.25" thickBot="1" x14ac:dyDescent="0.2">
      <c r="B1261" s="304"/>
      <c r="C1261" s="102"/>
      <c r="D1261" s="103"/>
      <c r="E1261" s="103"/>
      <c r="F1261" s="103"/>
      <c r="G1261" s="104"/>
    </row>
    <row r="1262" spans="2:7" x14ac:dyDescent="0.15">
      <c r="B1262" s="298" t="s">
        <v>355</v>
      </c>
      <c r="C1262" s="58" t="s">
        <v>356</v>
      </c>
      <c r="D1262" s="58" t="s">
        <v>357</v>
      </c>
      <c r="E1262" s="58" t="s">
        <v>358</v>
      </c>
      <c r="F1262" s="58" t="s">
        <v>359</v>
      </c>
      <c r="G1262" s="64" t="s">
        <v>360</v>
      </c>
    </row>
    <row r="1263" spans="2:7" x14ac:dyDescent="0.15">
      <c r="B1263" s="299"/>
      <c r="C1263" s="65" t="s">
        <v>428</v>
      </c>
      <c r="D1263" s="66">
        <f>VLOOKUP(C1263,基本字段定义!$B$3:$C$3013,2,FALSE)</f>
        <v>605</v>
      </c>
      <c r="E1263" s="67" t="s">
        <v>429</v>
      </c>
      <c r="F1263" s="67" t="s">
        <v>169</v>
      </c>
      <c r="G1263" s="68" t="s">
        <v>430</v>
      </c>
    </row>
    <row r="1264" spans="2:7" x14ac:dyDescent="0.15">
      <c r="B1264" s="299"/>
      <c r="C1264" s="65" t="s">
        <v>387</v>
      </c>
      <c r="D1264" s="66">
        <f>VLOOKUP(C1264,基本字段定义!$B$3:$C$3013,2,FALSE)</f>
        <v>599</v>
      </c>
      <c r="E1264" s="67" t="s">
        <v>388</v>
      </c>
      <c r="F1264" s="67"/>
      <c r="G1264" s="68" t="s">
        <v>389</v>
      </c>
    </row>
    <row r="1265" spans="2:7" x14ac:dyDescent="0.15">
      <c r="B1265" s="299"/>
      <c r="C1265" s="65" t="s">
        <v>666</v>
      </c>
      <c r="D1265" s="66">
        <f>VLOOKUP(C1265,基本字段定义!$B$3:$C$3013,2,FALSE)</f>
        <v>719</v>
      </c>
      <c r="E1265" s="67" t="s">
        <v>506</v>
      </c>
      <c r="F1265" s="67"/>
      <c r="G1265" s="68" t="s">
        <v>683</v>
      </c>
    </row>
    <row r="1266" spans="2:7" x14ac:dyDescent="0.15">
      <c r="B1266" s="299"/>
      <c r="C1266" s="65" t="s">
        <v>550</v>
      </c>
      <c r="D1266" s="66">
        <f>VLOOKUP(C1266,基本字段定义!$B$3:$C$3013,2,FALSE)</f>
        <v>511</v>
      </c>
      <c r="E1266" s="67" t="s">
        <v>553</v>
      </c>
      <c r="F1266" s="67"/>
      <c r="G1266" s="68" t="s">
        <v>551</v>
      </c>
    </row>
    <row r="1267" spans="2:7" x14ac:dyDescent="0.15">
      <c r="B1267" s="299"/>
      <c r="C1267" s="65" t="s">
        <v>585</v>
      </c>
      <c r="D1267" s="66">
        <f>VLOOKUP(C1267,基本字段定义!$B$3:$C$3013,2,FALSE)</f>
        <v>9020</v>
      </c>
      <c r="E1267" s="67" t="s">
        <v>363</v>
      </c>
      <c r="F1267" s="67"/>
      <c r="G1267" s="68" t="s">
        <v>973</v>
      </c>
    </row>
    <row r="1268" spans="2:7" x14ac:dyDescent="0.15">
      <c r="B1268" s="299" t="s">
        <v>361</v>
      </c>
      <c r="C1268" s="69" t="s">
        <v>387</v>
      </c>
      <c r="D1268" s="70">
        <f>VLOOKUP(C1268,基本字段定义!$B$3:$C$3013,2,FALSE)</f>
        <v>599</v>
      </c>
      <c r="E1268" s="71" t="s">
        <v>365</v>
      </c>
      <c r="F1268" s="71"/>
      <c r="G1268" s="73" t="s">
        <v>389</v>
      </c>
    </row>
    <row r="1269" spans="2:7" x14ac:dyDescent="0.15">
      <c r="B1269" s="299"/>
      <c r="C1269" s="69" t="s">
        <v>666</v>
      </c>
      <c r="D1269" s="70">
        <f>VLOOKUP(C1269,基本字段定义!$B$3:$C$3013,2,FALSE)</f>
        <v>719</v>
      </c>
      <c r="E1269" s="71" t="s">
        <v>365</v>
      </c>
      <c r="F1269" s="71"/>
      <c r="G1269" s="73" t="s">
        <v>683</v>
      </c>
    </row>
    <row r="1270" spans="2:7" x14ac:dyDescent="0.15">
      <c r="B1270" s="299"/>
      <c r="C1270" s="69" t="s">
        <v>550</v>
      </c>
      <c r="D1270" s="70">
        <f>VLOOKUP(C1270,基本字段定义!$B$3:$C$3013,2,FALSE)</f>
        <v>511</v>
      </c>
      <c r="E1270" s="71" t="s">
        <v>365</v>
      </c>
      <c r="F1270" s="71"/>
      <c r="G1270" s="73" t="s">
        <v>551</v>
      </c>
    </row>
    <row r="1271" spans="2:7" x14ac:dyDescent="0.15">
      <c r="B1271" s="299"/>
      <c r="C1271" s="69" t="s">
        <v>806</v>
      </c>
      <c r="D1271" s="70">
        <f>VLOOKUP(C1271,基本字段定义!$B$3:$C$3013,2,FALSE)</f>
        <v>683</v>
      </c>
      <c r="E1271" s="71" t="s">
        <v>363</v>
      </c>
      <c r="F1271" s="71"/>
      <c r="G1271" s="73" t="s">
        <v>930</v>
      </c>
    </row>
    <row r="1272" spans="2:7" x14ac:dyDescent="0.15">
      <c r="B1272" s="299"/>
      <c r="C1272" s="69" t="s">
        <v>707</v>
      </c>
      <c r="D1272" s="70">
        <f>VLOOKUP(C1272,基本字段定义!$B$3:$C$3013,2,FALSE)</f>
        <v>528</v>
      </c>
      <c r="E1272" s="71" t="s">
        <v>363</v>
      </c>
      <c r="F1272" s="71"/>
      <c r="G1272" s="73" t="s">
        <v>950</v>
      </c>
    </row>
    <row r="1273" spans="2:7" x14ac:dyDescent="0.15">
      <c r="B1273" s="299"/>
      <c r="C1273" s="69" t="s">
        <v>709</v>
      </c>
      <c r="D1273" s="70">
        <f>VLOOKUP(C1273,基本字段定义!$B$3:$C$3013,2,FALSE)</f>
        <v>524</v>
      </c>
      <c r="E1273" s="71" t="s">
        <v>563</v>
      </c>
      <c r="F1273" s="71"/>
      <c r="G1273" s="73" t="s">
        <v>951</v>
      </c>
    </row>
    <row r="1274" spans="2:7" x14ac:dyDescent="0.15">
      <c r="B1274" s="299"/>
      <c r="C1274" s="69" t="s">
        <v>968</v>
      </c>
      <c r="D1274" s="70">
        <f>VLOOKUP(C1274,基本字段定义!$B$3:$C$3013,2,FALSE)</f>
        <v>646</v>
      </c>
      <c r="E1274" s="71" t="s">
        <v>563</v>
      </c>
      <c r="F1274" s="71"/>
      <c r="G1274" s="73" t="s">
        <v>969</v>
      </c>
    </row>
    <row r="1275" spans="2:7" ht="14.25" thickBot="1" x14ac:dyDescent="0.2">
      <c r="B1275" s="304"/>
      <c r="C1275" s="75"/>
      <c r="D1275" s="83"/>
      <c r="E1275" s="77"/>
      <c r="F1275" s="77"/>
      <c r="G1275" s="78"/>
    </row>
    <row r="1277" spans="2:7" x14ac:dyDescent="0.15">
      <c r="B1277" s="57" t="s">
        <v>163</v>
      </c>
      <c r="C1277" s="84">
        <v>304104</v>
      </c>
      <c r="D1277" s="85"/>
      <c r="E1277" s="86"/>
      <c r="F1277" s="58" t="s">
        <v>352</v>
      </c>
      <c r="G1277" s="59">
        <v>20120425</v>
      </c>
    </row>
    <row r="1278" spans="2:7" x14ac:dyDescent="0.15">
      <c r="B1278" s="60" t="s">
        <v>353</v>
      </c>
      <c r="C1278" s="87" t="str">
        <f>VLOOKUP(C1277,功能索引!$C$3:$D$278,2,FALSE)</f>
        <v>待购回数据查询</v>
      </c>
      <c r="D1278" s="88"/>
      <c r="E1278" s="89"/>
      <c r="F1278" s="61" t="s">
        <v>165</v>
      </c>
      <c r="G1278" s="62" t="str">
        <f>VLOOKUP(C1277,功能索引!$C$3:$E1634,3,FALSE)</f>
        <v>Y</v>
      </c>
    </row>
    <row r="1279" spans="2:7" x14ac:dyDescent="0.15">
      <c r="B1279" s="299" t="s">
        <v>354</v>
      </c>
      <c r="C1279" s="99"/>
      <c r="D1279" s="100"/>
      <c r="E1279" s="100"/>
      <c r="F1279" s="100"/>
      <c r="G1279" s="101"/>
    </row>
    <row r="1280" spans="2:7" ht="14.25" thickBot="1" x14ac:dyDescent="0.2">
      <c r="B1280" s="304"/>
      <c r="C1280" s="102"/>
      <c r="D1280" s="103"/>
      <c r="E1280" s="103"/>
      <c r="F1280" s="103"/>
      <c r="G1280" s="104"/>
    </row>
    <row r="1281" spans="2:7" x14ac:dyDescent="0.15">
      <c r="B1281" s="298" t="s">
        <v>355</v>
      </c>
      <c r="C1281" s="58" t="s">
        <v>356</v>
      </c>
      <c r="D1281" s="58" t="s">
        <v>357</v>
      </c>
      <c r="E1281" s="58" t="s">
        <v>358</v>
      </c>
      <c r="F1281" s="58" t="s">
        <v>359</v>
      </c>
      <c r="G1281" s="64" t="s">
        <v>360</v>
      </c>
    </row>
    <row r="1282" spans="2:7" x14ac:dyDescent="0.15">
      <c r="B1282" s="299"/>
      <c r="C1282" s="65" t="s">
        <v>428</v>
      </c>
      <c r="D1282" s="66">
        <f>VLOOKUP(C1282,基本字段定义!$B$3:$C$3013,2,FALSE)</f>
        <v>605</v>
      </c>
      <c r="E1282" s="67" t="s">
        <v>429</v>
      </c>
      <c r="F1282" s="67" t="s">
        <v>169</v>
      </c>
      <c r="G1282" s="68" t="s">
        <v>430</v>
      </c>
    </row>
    <row r="1283" spans="2:7" x14ac:dyDescent="0.15">
      <c r="B1283" s="300" t="s">
        <v>361</v>
      </c>
      <c r="C1283" s="69" t="s">
        <v>387</v>
      </c>
      <c r="D1283" s="70">
        <f>VLOOKUP(C1283,基本字段定义!$B$3:$C$3013,2,FALSE)</f>
        <v>599</v>
      </c>
      <c r="E1283" s="71" t="s">
        <v>365</v>
      </c>
      <c r="F1283" s="71"/>
      <c r="G1283" s="73" t="s">
        <v>389</v>
      </c>
    </row>
    <row r="1284" spans="2:7" x14ac:dyDescent="0.15">
      <c r="B1284" s="301"/>
      <c r="C1284" s="69" t="s">
        <v>431</v>
      </c>
      <c r="D1284" s="70">
        <f>VLOOKUP(C1284,基本字段定义!$B$3:$C$3013,2,FALSE)</f>
        <v>571</v>
      </c>
      <c r="E1284" s="71" t="s">
        <v>365</v>
      </c>
      <c r="F1284" s="71"/>
      <c r="G1284" s="73" t="s">
        <v>433</v>
      </c>
    </row>
    <row r="1285" spans="2:7" x14ac:dyDescent="0.15">
      <c r="B1285" s="301"/>
      <c r="C1285" s="69" t="s">
        <v>767</v>
      </c>
      <c r="D1285" s="70">
        <f>VLOOKUP(C1285,基本字段定义!$B$3:$C$3013,2,FALSE)</f>
        <v>526</v>
      </c>
      <c r="E1285" s="71" t="s">
        <v>363</v>
      </c>
      <c r="F1285" s="71"/>
      <c r="G1285" s="73" t="s">
        <v>974</v>
      </c>
    </row>
    <row r="1286" spans="2:7" x14ac:dyDescent="0.15">
      <c r="B1286" s="301"/>
      <c r="C1286" s="69" t="s">
        <v>512</v>
      </c>
      <c r="D1286" s="70">
        <f>VLOOKUP(C1286,基本字段定义!$B$3:$C$3013,2,FALSE)</f>
        <v>590</v>
      </c>
      <c r="E1286" s="71" t="s">
        <v>363</v>
      </c>
      <c r="F1286" s="71"/>
      <c r="G1286" s="73" t="s">
        <v>975</v>
      </c>
    </row>
    <row r="1287" spans="2:7" x14ac:dyDescent="0.15">
      <c r="B1287" s="301"/>
      <c r="C1287" s="69" t="s">
        <v>916</v>
      </c>
      <c r="D1287" s="70">
        <f>VLOOKUP(C1287,基本字段定义!$B$3:$C$3013,2,FALSE)</f>
        <v>681</v>
      </c>
      <c r="E1287" s="71" t="s">
        <v>363</v>
      </c>
      <c r="F1287" s="71"/>
      <c r="G1287" s="73" t="s">
        <v>918</v>
      </c>
    </row>
    <row r="1288" spans="2:7" x14ac:dyDescent="0.15">
      <c r="B1288" s="301"/>
      <c r="C1288" s="69" t="s">
        <v>666</v>
      </c>
      <c r="D1288" s="70">
        <f>VLOOKUP(C1288,基本字段定义!$B$3:$C$3013,2,FALSE)</f>
        <v>719</v>
      </c>
      <c r="E1288" s="71" t="s">
        <v>365</v>
      </c>
      <c r="F1288" s="71"/>
      <c r="G1288" s="73" t="s">
        <v>683</v>
      </c>
    </row>
    <row r="1289" spans="2:7" x14ac:dyDescent="0.15">
      <c r="B1289" s="301"/>
      <c r="C1289" s="69" t="s">
        <v>685</v>
      </c>
      <c r="D1289" s="70">
        <f>VLOOKUP(C1289,基本字段定义!$B$3:$C$3013,2,FALSE)</f>
        <v>722</v>
      </c>
      <c r="E1289" s="71" t="s">
        <v>365</v>
      </c>
      <c r="F1289" s="71"/>
      <c r="G1289" s="73" t="s">
        <v>686</v>
      </c>
    </row>
    <row r="1290" spans="2:7" x14ac:dyDescent="0.15">
      <c r="B1290" s="301"/>
      <c r="C1290" s="69" t="s">
        <v>759</v>
      </c>
      <c r="D1290" s="70">
        <f>VLOOKUP(C1290,基本字段定义!$B$3:$C$3013,2,FALSE)</f>
        <v>720</v>
      </c>
      <c r="E1290" s="71" t="s">
        <v>365</v>
      </c>
      <c r="F1290" s="71"/>
      <c r="G1290" s="115" t="s">
        <v>976</v>
      </c>
    </row>
    <row r="1291" spans="2:7" x14ac:dyDescent="0.15">
      <c r="B1291" s="301"/>
      <c r="C1291" s="69" t="s">
        <v>806</v>
      </c>
      <c r="D1291" s="70">
        <f>VLOOKUP(C1291,基本字段定义!$B$3:$C$3013,2,FALSE)</f>
        <v>683</v>
      </c>
      <c r="E1291" s="71" t="s">
        <v>363</v>
      </c>
      <c r="F1291" s="71"/>
      <c r="G1291" s="73" t="s">
        <v>977</v>
      </c>
    </row>
    <row r="1292" spans="2:7" x14ac:dyDescent="0.15">
      <c r="B1292" s="301"/>
      <c r="C1292" s="69" t="s">
        <v>707</v>
      </c>
      <c r="D1292" s="70">
        <f>VLOOKUP(C1292,基本字段定义!$B$3:$C$3013,2,FALSE)</f>
        <v>528</v>
      </c>
      <c r="E1292" s="71" t="s">
        <v>363</v>
      </c>
      <c r="F1292" s="71"/>
      <c r="G1292" s="73" t="s">
        <v>950</v>
      </c>
    </row>
    <row r="1293" spans="2:7" x14ac:dyDescent="0.15">
      <c r="B1293" s="301"/>
      <c r="C1293" s="69" t="s">
        <v>952</v>
      </c>
      <c r="D1293" s="70">
        <f>VLOOKUP(C1293,基本字段定义!$B$3:$C$3013,2,FALSE)</f>
        <v>525</v>
      </c>
      <c r="E1293" s="71" t="s">
        <v>563</v>
      </c>
      <c r="F1293" s="71"/>
      <c r="G1293" s="73" t="s">
        <v>965</v>
      </c>
    </row>
    <row r="1294" spans="2:7" x14ac:dyDescent="0.15">
      <c r="B1294" s="301"/>
      <c r="C1294" s="69" t="s">
        <v>709</v>
      </c>
      <c r="D1294" s="70">
        <f>VLOOKUP(C1294,基本字段定义!$B$3:$C$3013,2,FALSE)</f>
        <v>524</v>
      </c>
      <c r="E1294" s="71" t="s">
        <v>563</v>
      </c>
      <c r="F1294" s="71"/>
      <c r="G1294" s="73" t="s">
        <v>951</v>
      </c>
    </row>
    <row r="1295" spans="2:7" x14ac:dyDescent="0.15">
      <c r="B1295" s="301"/>
      <c r="C1295" s="69" t="s">
        <v>903</v>
      </c>
      <c r="D1295" s="70">
        <f>VLOOKUP(C1295,基本字段定义!$B$3:$C$3013,2,FALSE)</f>
        <v>522</v>
      </c>
      <c r="E1295" s="71" t="s">
        <v>365</v>
      </c>
      <c r="F1295" s="71"/>
      <c r="G1295" s="73" t="s">
        <v>972</v>
      </c>
    </row>
    <row r="1296" spans="2:7" x14ac:dyDescent="0.15">
      <c r="B1296" s="301"/>
      <c r="C1296" s="91" t="s">
        <v>978</v>
      </c>
      <c r="D1296" s="93">
        <f>VLOOKUP(C1296,基本字段定义!$B$3:$C$3013,2,FALSE)</f>
        <v>772</v>
      </c>
      <c r="E1296" s="92" t="s">
        <v>563</v>
      </c>
      <c r="F1296" s="92"/>
      <c r="G1296" s="94" t="s">
        <v>979</v>
      </c>
    </row>
    <row r="1297" spans="2:7" ht="14.25" thickBot="1" x14ac:dyDescent="0.2">
      <c r="B1297" s="305"/>
      <c r="C1297" s="75" t="s">
        <v>4138</v>
      </c>
      <c r="D1297" s="83">
        <v>1173</v>
      </c>
      <c r="E1297" s="77" t="s">
        <v>4139</v>
      </c>
      <c r="F1297" s="77"/>
      <c r="G1297" s="78" t="s">
        <v>4140</v>
      </c>
    </row>
    <row r="1299" spans="2:7" x14ac:dyDescent="0.15">
      <c r="B1299" s="57" t="s">
        <v>163</v>
      </c>
      <c r="C1299" s="84">
        <v>204610</v>
      </c>
      <c r="D1299" s="85"/>
      <c r="E1299" s="86"/>
      <c r="F1299" s="58" t="s">
        <v>352</v>
      </c>
      <c r="G1299" s="59"/>
    </row>
    <row r="1300" spans="2:7" x14ac:dyDescent="0.15">
      <c r="B1300" s="60" t="s">
        <v>353</v>
      </c>
      <c r="C1300" s="87" t="str">
        <f>VLOOKUP(C1299,功能索引!$C$3:$D$278,2,FALSE)</f>
        <v>持仓成本调整</v>
      </c>
      <c r="D1300" s="88"/>
      <c r="E1300" s="89"/>
      <c r="F1300" s="61" t="s">
        <v>165</v>
      </c>
      <c r="G1300" s="62">
        <f>VLOOKUP(C1299,功能索引!$C$3:$E1652,3,FALSE)</f>
        <v>0</v>
      </c>
    </row>
    <row r="1301" spans="2:7" ht="13.5" customHeight="1" x14ac:dyDescent="0.15">
      <c r="B1301" s="299" t="s">
        <v>354</v>
      </c>
      <c r="C1301" s="99" t="s">
        <v>980</v>
      </c>
      <c r="D1301" s="100"/>
      <c r="E1301" s="100"/>
      <c r="F1301" s="100"/>
      <c r="G1301" s="101"/>
    </row>
    <row r="1302" spans="2:7" ht="14.25" thickBot="1" x14ac:dyDescent="0.2">
      <c r="B1302" s="304"/>
      <c r="C1302" s="102"/>
      <c r="D1302" s="103"/>
      <c r="E1302" s="103"/>
      <c r="F1302" s="103"/>
      <c r="G1302" s="104"/>
    </row>
    <row r="1303" spans="2:7" x14ac:dyDescent="0.15">
      <c r="B1303" s="298" t="s">
        <v>355</v>
      </c>
      <c r="C1303" s="58" t="s">
        <v>356</v>
      </c>
      <c r="D1303" s="58" t="s">
        <v>357</v>
      </c>
      <c r="E1303" s="58" t="s">
        <v>358</v>
      </c>
      <c r="F1303" s="58" t="s">
        <v>359</v>
      </c>
      <c r="G1303" s="64" t="s">
        <v>360</v>
      </c>
    </row>
    <row r="1304" spans="2:7" x14ac:dyDescent="0.15">
      <c r="B1304" s="299"/>
      <c r="C1304" s="65" t="s">
        <v>428</v>
      </c>
      <c r="D1304" s="66">
        <f>VLOOKUP(C1304,基本字段定义!$B$3:$C$3013,2,FALSE)</f>
        <v>605</v>
      </c>
      <c r="E1304" s="67" t="s">
        <v>429</v>
      </c>
      <c r="F1304" s="67" t="s">
        <v>169</v>
      </c>
      <c r="G1304" s="68" t="s">
        <v>430</v>
      </c>
    </row>
    <row r="1305" spans="2:7" x14ac:dyDescent="0.15">
      <c r="B1305" s="299"/>
      <c r="C1305" s="65" t="s">
        <v>431</v>
      </c>
      <c r="D1305" s="66">
        <f>VLOOKUP(C1305,基本字段定义!$B$3:$C$3013,2,FALSE)</f>
        <v>571</v>
      </c>
      <c r="E1305" s="67" t="s">
        <v>432</v>
      </c>
      <c r="F1305" s="67" t="s">
        <v>169</v>
      </c>
      <c r="G1305" s="68" t="s">
        <v>433</v>
      </c>
    </row>
    <row r="1306" spans="2:7" x14ac:dyDescent="0.15">
      <c r="B1306" s="299"/>
      <c r="C1306" s="65" t="s">
        <v>387</v>
      </c>
      <c r="D1306" s="66">
        <f>VLOOKUP(C1306,基本字段定义!$B$3:$C$3013,2,FALSE)</f>
        <v>599</v>
      </c>
      <c r="E1306" s="67" t="s">
        <v>388</v>
      </c>
      <c r="F1306" s="67" t="s">
        <v>169</v>
      </c>
      <c r="G1306" s="68" t="s">
        <v>389</v>
      </c>
    </row>
    <row r="1307" spans="2:7" x14ac:dyDescent="0.15">
      <c r="B1307" s="299"/>
      <c r="C1307" s="65" t="s">
        <v>666</v>
      </c>
      <c r="D1307" s="66">
        <f>VLOOKUP(C1307,基本字段定义!$B$3:$C$3013,2,FALSE)</f>
        <v>719</v>
      </c>
      <c r="E1307" s="67" t="s">
        <v>506</v>
      </c>
      <c r="F1307" s="67" t="s">
        <v>169</v>
      </c>
      <c r="G1307" s="68" t="s">
        <v>683</v>
      </c>
    </row>
    <row r="1308" spans="2:7" x14ac:dyDescent="0.15">
      <c r="B1308" s="299"/>
      <c r="C1308" s="65" t="s">
        <v>866</v>
      </c>
      <c r="D1308" s="66">
        <f>VLOOKUP(C1308,基本字段定义!$B$3:$C$3013,2,FALSE)</f>
        <v>671</v>
      </c>
      <c r="E1308" s="67" t="s">
        <v>563</v>
      </c>
      <c r="F1308" s="67" t="s">
        <v>169</v>
      </c>
      <c r="G1308" s="68" t="s">
        <v>981</v>
      </c>
    </row>
    <row r="1309" spans="2:7" x14ac:dyDescent="0.15">
      <c r="B1309" s="299" t="s">
        <v>361</v>
      </c>
      <c r="C1309" s="69" t="s">
        <v>362</v>
      </c>
      <c r="D1309" s="70">
        <f>VLOOKUP(C1309,基本字段定义!$B$3:$C$3013,2,FALSE)</f>
        <v>507</v>
      </c>
      <c r="E1309" s="71" t="s">
        <v>363</v>
      </c>
      <c r="F1309" s="71"/>
      <c r="G1309" s="73"/>
    </row>
    <row r="1310" spans="2:7" x14ac:dyDescent="0.15">
      <c r="B1310" s="299"/>
      <c r="C1310" s="69" t="s">
        <v>364</v>
      </c>
      <c r="D1310" s="70">
        <f>VLOOKUP(C1310,基本字段定义!$B$3:$C$3013,2,FALSE)</f>
        <v>508</v>
      </c>
      <c r="E1310" s="71" t="s">
        <v>365</v>
      </c>
      <c r="F1310" s="71"/>
      <c r="G1310" s="72"/>
    </row>
    <row r="1311" spans="2:7" ht="14.25" thickBot="1" x14ac:dyDescent="0.2">
      <c r="B1311" s="304"/>
      <c r="C1311" s="75"/>
      <c r="D1311" s="83"/>
      <c r="E1311" s="77"/>
      <c r="F1311" s="77"/>
      <c r="G1311" s="78"/>
    </row>
    <row r="1313" spans="2:7" x14ac:dyDescent="0.15">
      <c r="B1313" s="57" t="s">
        <v>163</v>
      </c>
      <c r="C1313" s="84">
        <v>204518</v>
      </c>
      <c r="D1313" s="85"/>
      <c r="E1313" s="86"/>
      <c r="F1313" s="58" t="s">
        <v>352</v>
      </c>
      <c r="G1313" s="59"/>
    </row>
    <row r="1314" spans="2:7" x14ac:dyDescent="0.15">
      <c r="B1314" s="60" t="s">
        <v>353</v>
      </c>
      <c r="C1314" s="87" t="str">
        <f>VLOOKUP(C1313,功能索引!$C$3:$D$278,2,FALSE)</f>
        <v>ETF网下预约委托</v>
      </c>
      <c r="D1314" s="88"/>
      <c r="E1314" s="89"/>
      <c r="F1314" s="61" t="s">
        <v>165</v>
      </c>
      <c r="G1314" s="62">
        <f>VLOOKUP(C1313,功能索引!$C$3:$E1667,3,FALSE)</f>
        <v>0</v>
      </c>
    </row>
    <row r="1315" spans="2:7" ht="13.5" customHeight="1" x14ac:dyDescent="0.15">
      <c r="B1315" s="299" t="s">
        <v>354</v>
      </c>
      <c r="C1315" s="99" t="s">
        <v>982</v>
      </c>
      <c r="D1315" s="100"/>
      <c r="E1315" s="100"/>
      <c r="F1315" s="100"/>
      <c r="G1315" s="101"/>
    </row>
    <row r="1316" spans="2:7" ht="14.25" thickBot="1" x14ac:dyDescent="0.2">
      <c r="B1316" s="304"/>
      <c r="C1316" s="102"/>
      <c r="D1316" s="103"/>
      <c r="E1316" s="103"/>
      <c r="F1316" s="103"/>
      <c r="G1316" s="104"/>
    </row>
    <row r="1317" spans="2:7" x14ac:dyDescent="0.15">
      <c r="B1317" s="298" t="s">
        <v>355</v>
      </c>
      <c r="C1317" s="58" t="s">
        <v>356</v>
      </c>
      <c r="D1317" s="58" t="s">
        <v>357</v>
      </c>
      <c r="E1317" s="58" t="s">
        <v>358</v>
      </c>
      <c r="F1317" s="58" t="s">
        <v>359</v>
      </c>
      <c r="G1317" s="64" t="s">
        <v>360</v>
      </c>
    </row>
    <row r="1318" spans="2:7" x14ac:dyDescent="0.15">
      <c r="B1318" s="299"/>
      <c r="C1318" s="65" t="s">
        <v>428</v>
      </c>
      <c r="D1318" s="66">
        <f>VLOOKUP(C1318,基本字段定义!$B$3:$C$3013,2,FALSE)</f>
        <v>605</v>
      </c>
      <c r="E1318" s="67" t="s">
        <v>429</v>
      </c>
      <c r="F1318" s="67" t="s">
        <v>169</v>
      </c>
      <c r="G1318" s="68" t="s">
        <v>430</v>
      </c>
    </row>
    <row r="1319" spans="2:7" x14ac:dyDescent="0.15">
      <c r="B1319" s="299"/>
      <c r="C1319" s="65" t="s">
        <v>431</v>
      </c>
      <c r="D1319" s="66">
        <f>VLOOKUP(C1319,基本字段定义!$B$3:$C$3013,2,FALSE)</f>
        <v>571</v>
      </c>
      <c r="E1319" s="67" t="s">
        <v>432</v>
      </c>
      <c r="F1319" s="67" t="s">
        <v>169</v>
      </c>
      <c r="G1319" s="68" t="s">
        <v>433</v>
      </c>
    </row>
    <row r="1320" spans="2:7" x14ac:dyDescent="0.15">
      <c r="B1320" s="299"/>
      <c r="C1320" s="65" t="s">
        <v>387</v>
      </c>
      <c r="D1320" s="66">
        <f>VLOOKUP(C1320,基本字段定义!$B$3:$C$3013,2,FALSE)</f>
        <v>599</v>
      </c>
      <c r="E1320" s="67" t="s">
        <v>388</v>
      </c>
      <c r="F1320" s="67" t="s">
        <v>169</v>
      </c>
      <c r="G1320" s="68" t="s">
        <v>389</v>
      </c>
    </row>
    <row r="1321" spans="2:7" x14ac:dyDescent="0.15">
      <c r="B1321" s="299"/>
      <c r="C1321" s="65" t="s">
        <v>779</v>
      </c>
      <c r="D1321" s="66">
        <f>VLOOKUP(C1321,基本字段定义!$B$3:$C$3013,2,FALSE)</f>
        <v>1394</v>
      </c>
      <c r="E1321" s="67" t="s">
        <v>506</v>
      </c>
      <c r="F1321" s="67" t="s">
        <v>169</v>
      </c>
      <c r="G1321" s="68" t="s">
        <v>983</v>
      </c>
    </row>
    <row r="1322" spans="2:7" x14ac:dyDescent="0.15">
      <c r="B1322" s="299"/>
      <c r="C1322" s="65" t="s">
        <v>806</v>
      </c>
      <c r="D1322" s="66">
        <f>VLOOKUP(C1322,基本字段定义!$B$3:$C$3013,2,FALSE)</f>
        <v>683</v>
      </c>
      <c r="E1322" s="67" t="s">
        <v>363</v>
      </c>
      <c r="F1322" s="67" t="s">
        <v>169</v>
      </c>
      <c r="G1322" s="68" t="s">
        <v>984</v>
      </c>
    </row>
    <row r="1323" spans="2:7" x14ac:dyDescent="0.15">
      <c r="B1323" s="299"/>
      <c r="C1323" s="65" t="s">
        <v>985</v>
      </c>
      <c r="D1323" s="66">
        <f>VLOOKUP(C1323,基本字段定义!$B$3:$C$3013,2,FALSE)</f>
        <v>1564</v>
      </c>
      <c r="E1323" s="67" t="s">
        <v>363</v>
      </c>
      <c r="F1323" s="67" t="s">
        <v>169</v>
      </c>
      <c r="G1323" s="68" t="s">
        <v>986</v>
      </c>
    </row>
    <row r="1324" spans="2:7" x14ac:dyDescent="0.15">
      <c r="B1324" s="299"/>
      <c r="C1324" s="65" t="s">
        <v>666</v>
      </c>
      <c r="D1324" s="66">
        <f>VLOOKUP(C1324,基本字段定义!$B$3:$C$3013,2,FALSE)</f>
        <v>719</v>
      </c>
      <c r="E1324" s="67" t="s">
        <v>506</v>
      </c>
      <c r="F1324" s="67"/>
      <c r="G1324" s="68" t="s">
        <v>987</v>
      </c>
    </row>
    <row r="1325" spans="2:7" x14ac:dyDescent="0.15">
      <c r="B1325" s="299" t="s">
        <v>361</v>
      </c>
      <c r="C1325" s="69" t="s">
        <v>362</v>
      </c>
      <c r="D1325" s="70">
        <f>VLOOKUP(C1325,基本字段定义!$B$3:$C$3013,2,FALSE)</f>
        <v>507</v>
      </c>
      <c r="E1325" s="71" t="s">
        <v>363</v>
      </c>
      <c r="F1325" s="71"/>
      <c r="G1325" s="72"/>
    </row>
    <row r="1326" spans="2:7" x14ac:dyDescent="0.15">
      <c r="B1326" s="299"/>
      <c r="C1326" s="69" t="s">
        <v>364</v>
      </c>
      <c r="D1326" s="70">
        <f>VLOOKUP(C1326,基本字段定义!$B$3:$C$3013,2,FALSE)</f>
        <v>508</v>
      </c>
      <c r="E1326" s="71" t="s">
        <v>365</v>
      </c>
      <c r="F1326" s="71"/>
      <c r="G1326" s="73"/>
    </row>
    <row r="1327" spans="2:7" x14ac:dyDescent="0.15">
      <c r="B1327" s="300"/>
      <c r="C1327" s="69" t="s">
        <v>601</v>
      </c>
      <c r="D1327" s="70">
        <f>VLOOKUP(C1327,基本字段定义!$B$3:$C$3013,2,FALSE)</f>
        <v>797</v>
      </c>
      <c r="E1327" s="71" t="s">
        <v>363</v>
      </c>
      <c r="F1327" s="71"/>
      <c r="G1327" s="81" t="s">
        <v>641</v>
      </c>
    </row>
    <row r="1328" spans="2:7" ht="14.25" thickBot="1" x14ac:dyDescent="0.2">
      <c r="B1328" s="304"/>
      <c r="C1328" s="75"/>
      <c r="D1328" s="83"/>
      <c r="E1328" s="77"/>
      <c r="F1328" s="77"/>
      <c r="G1328" s="78"/>
    </row>
    <row r="1330" spans="2:7" x14ac:dyDescent="0.15">
      <c r="B1330" s="57" t="s">
        <v>163</v>
      </c>
      <c r="C1330" s="84">
        <v>204519</v>
      </c>
      <c r="D1330" s="85"/>
      <c r="E1330" s="86"/>
      <c r="F1330" s="58" t="s">
        <v>352</v>
      </c>
      <c r="G1330" s="59"/>
    </row>
    <row r="1331" spans="2:7" x14ac:dyDescent="0.15">
      <c r="B1331" s="60" t="s">
        <v>353</v>
      </c>
      <c r="C1331" s="87" t="str">
        <f>VLOOKUP(C1330,功能索引!$C$3:$D$278,2,FALSE)</f>
        <v>ETF网下预约委托撤单</v>
      </c>
      <c r="D1331" s="88"/>
      <c r="E1331" s="89"/>
      <c r="F1331" s="61" t="s">
        <v>165</v>
      </c>
      <c r="G1331" s="62">
        <f>VLOOKUP(C1330,功能索引!$C$3:$E1685,3,FALSE)</f>
        <v>0</v>
      </c>
    </row>
    <row r="1332" spans="2:7" x14ac:dyDescent="0.15">
      <c r="B1332" s="299" t="s">
        <v>354</v>
      </c>
      <c r="C1332" s="99"/>
      <c r="D1332" s="100"/>
      <c r="E1332" s="100"/>
      <c r="F1332" s="100"/>
      <c r="G1332" s="101"/>
    </row>
    <row r="1333" spans="2:7" ht="14.25" thickBot="1" x14ac:dyDescent="0.2">
      <c r="B1333" s="304"/>
      <c r="C1333" s="102"/>
      <c r="D1333" s="103"/>
      <c r="E1333" s="103"/>
      <c r="F1333" s="103"/>
      <c r="G1333" s="104"/>
    </row>
    <row r="1334" spans="2:7" x14ac:dyDescent="0.15">
      <c r="B1334" s="298" t="s">
        <v>355</v>
      </c>
      <c r="C1334" s="58" t="s">
        <v>356</v>
      </c>
      <c r="D1334" s="58" t="s">
        <v>357</v>
      </c>
      <c r="E1334" s="58" t="s">
        <v>358</v>
      </c>
      <c r="F1334" s="58" t="s">
        <v>359</v>
      </c>
      <c r="G1334" s="64" t="s">
        <v>360</v>
      </c>
    </row>
    <row r="1335" spans="2:7" x14ac:dyDescent="0.15">
      <c r="B1335" s="299"/>
      <c r="C1335" s="65" t="s">
        <v>428</v>
      </c>
      <c r="D1335" s="66">
        <f>VLOOKUP(C1335,基本字段定义!$B$3:$C$3013,2,FALSE)</f>
        <v>605</v>
      </c>
      <c r="E1335" s="67" t="s">
        <v>429</v>
      </c>
      <c r="F1335" s="67" t="s">
        <v>169</v>
      </c>
      <c r="G1335" s="68" t="s">
        <v>430</v>
      </c>
    </row>
    <row r="1336" spans="2:7" x14ac:dyDescent="0.15">
      <c r="B1336" s="299"/>
      <c r="C1336" s="65" t="s">
        <v>387</v>
      </c>
      <c r="D1336" s="66">
        <f>VLOOKUP(C1336,基本字段定义!$B$3:$C$3013,2,FALSE)</f>
        <v>599</v>
      </c>
      <c r="E1336" s="67" t="s">
        <v>388</v>
      </c>
      <c r="F1336" s="67" t="s">
        <v>169</v>
      </c>
      <c r="G1336" s="68" t="s">
        <v>389</v>
      </c>
    </row>
    <row r="1337" spans="2:7" x14ac:dyDescent="0.15">
      <c r="B1337" s="299"/>
      <c r="C1337" s="65" t="s">
        <v>431</v>
      </c>
      <c r="D1337" s="66">
        <f>VLOOKUP(C1337,基本字段定义!$B$3:$C$3013,2,FALSE)</f>
        <v>571</v>
      </c>
      <c r="E1337" s="67" t="s">
        <v>432</v>
      </c>
      <c r="F1337" s="67" t="s">
        <v>169</v>
      </c>
      <c r="G1337" s="68" t="s">
        <v>433</v>
      </c>
    </row>
    <row r="1338" spans="2:7" x14ac:dyDescent="0.15">
      <c r="B1338" s="299"/>
      <c r="C1338" s="65" t="s">
        <v>601</v>
      </c>
      <c r="D1338" s="66">
        <f>VLOOKUP(C1338,基本字段定义!$B$3:$C$3013,2,FALSE)</f>
        <v>797</v>
      </c>
      <c r="E1338" s="67" t="s">
        <v>363</v>
      </c>
      <c r="F1338" s="67" t="s">
        <v>169</v>
      </c>
      <c r="G1338" s="68" t="s">
        <v>641</v>
      </c>
    </row>
    <row r="1339" spans="2:7" x14ac:dyDescent="0.15">
      <c r="B1339" s="299" t="s">
        <v>361</v>
      </c>
      <c r="C1339" s="69" t="s">
        <v>362</v>
      </c>
      <c r="D1339" s="70">
        <f>VLOOKUP(C1339,基本字段定义!$B$3:$C$3013,2,FALSE)</f>
        <v>507</v>
      </c>
      <c r="E1339" s="71" t="s">
        <v>363</v>
      </c>
      <c r="F1339" s="71"/>
      <c r="G1339" s="72"/>
    </row>
    <row r="1340" spans="2:7" x14ac:dyDescent="0.15">
      <c r="B1340" s="299"/>
      <c r="C1340" s="69" t="s">
        <v>364</v>
      </c>
      <c r="D1340" s="70">
        <f>VLOOKUP(C1340,基本字段定义!$B$3:$C$3013,2,FALSE)</f>
        <v>508</v>
      </c>
      <c r="E1340" s="71" t="s">
        <v>365</v>
      </c>
      <c r="F1340" s="71"/>
      <c r="G1340" s="73"/>
    </row>
    <row r="1341" spans="2:7" ht="14.25" thickBot="1" x14ac:dyDescent="0.2">
      <c r="B1341" s="304"/>
      <c r="C1341" s="75"/>
      <c r="D1341" s="83"/>
      <c r="E1341" s="77"/>
      <c r="F1341" s="77"/>
      <c r="G1341" s="78"/>
    </row>
    <row r="1343" spans="2:7" x14ac:dyDescent="0.15">
      <c r="B1343" s="57" t="s">
        <v>163</v>
      </c>
      <c r="C1343" s="84">
        <v>304108</v>
      </c>
      <c r="D1343" s="85"/>
      <c r="E1343" s="86"/>
      <c r="F1343" s="58" t="s">
        <v>352</v>
      </c>
      <c r="G1343" s="59"/>
    </row>
    <row r="1344" spans="2:7" x14ac:dyDescent="0.15">
      <c r="B1344" s="60" t="s">
        <v>353</v>
      </c>
      <c r="C1344" s="87" t="str">
        <f>VLOOKUP(C1343,功能索引!$C$3:$D$278,2,FALSE)</f>
        <v>查询客户ETF网下申购委托</v>
      </c>
      <c r="D1344" s="88"/>
      <c r="E1344" s="89"/>
      <c r="F1344" s="61" t="s">
        <v>165</v>
      </c>
      <c r="G1344" s="62" t="str">
        <f>VLOOKUP(C1343,功能索引!$C$3:$E1698,3,FALSE)</f>
        <v>Y</v>
      </c>
    </row>
    <row r="1345" spans="2:7" x14ac:dyDescent="0.15">
      <c r="B1345" s="299" t="s">
        <v>354</v>
      </c>
      <c r="C1345" s="99"/>
      <c r="D1345" s="100"/>
      <c r="E1345" s="100"/>
      <c r="F1345" s="100"/>
      <c r="G1345" s="101"/>
    </row>
    <row r="1346" spans="2:7" ht="14.25" thickBot="1" x14ac:dyDescent="0.2">
      <c r="B1346" s="304"/>
      <c r="C1346" s="102"/>
      <c r="D1346" s="103"/>
      <c r="E1346" s="103"/>
      <c r="F1346" s="103"/>
      <c r="G1346" s="104"/>
    </row>
    <row r="1347" spans="2:7" x14ac:dyDescent="0.15">
      <c r="B1347" s="298" t="s">
        <v>355</v>
      </c>
      <c r="C1347" s="58" t="s">
        <v>356</v>
      </c>
      <c r="D1347" s="58" t="s">
        <v>357</v>
      </c>
      <c r="E1347" s="58" t="s">
        <v>358</v>
      </c>
      <c r="F1347" s="58" t="s">
        <v>359</v>
      </c>
      <c r="G1347" s="64" t="s">
        <v>360</v>
      </c>
    </row>
    <row r="1348" spans="2:7" x14ac:dyDescent="0.15">
      <c r="B1348" s="299"/>
      <c r="C1348" s="65" t="s">
        <v>428</v>
      </c>
      <c r="D1348" s="66">
        <f>VLOOKUP(C1348,基本字段定义!$B$3:$C$3013,2,FALSE)</f>
        <v>605</v>
      </c>
      <c r="E1348" s="67" t="s">
        <v>429</v>
      </c>
      <c r="F1348" s="67" t="s">
        <v>169</v>
      </c>
      <c r="G1348" s="68" t="s">
        <v>430</v>
      </c>
    </row>
    <row r="1349" spans="2:7" x14ac:dyDescent="0.15">
      <c r="B1349" s="299"/>
      <c r="C1349" s="65" t="s">
        <v>510</v>
      </c>
      <c r="D1349" s="66">
        <f>VLOOKUP(C1349,基本字段定义!$B$3:$C$3013,2,FALSE)</f>
        <v>618</v>
      </c>
      <c r="E1349" s="67" t="s">
        <v>363</v>
      </c>
      <c r="F1349" s="67"/>
      <c r="G1349" s="68" t="s">
        <v>988</v>
      </c>
    </row>
    <row r="1350" spans="2:7" x14ac:dyDescent="0.15">
      <c r="B1350" s="299"/>
      <c r="C1350" s="65" t="s">
        <v>512</v>
      </c>
      <c r="D1350" s="66">
        <f>VLOOKUP(C1350,基本字段定义!$B$3:$C$3013,2,FALSE)</f>
        <v>590</v>
      </c>
      <c r="E1350" s="67" t="s">
        <v>363</v>
      </c>
      <c r="F1350" s="67"/>
      <c r="G1350" s="68" t="s">
        <v>989</v>
      </c>
    </row>
    <row r="1351" spans="2:7" x14ac:dyDescent="0.15">
      <c r="B1351" s="299"/>
      <c r="C1351" s="65" t="s">
        <v>387</v>
      </c>
      <c r="D1351" s="66">
        <f>VLOOKUP(C1351,基本字段定义!$B$3:$C$3013,2,FALSE)</f>
        <v>599</v>
      </c>
      <c r="E1351" s="67" t="s">
        <v>388</v>
      </c>
      <c r="F1351" s="67"/>
      <c r="G1351" s="68" t="s">
        <v>389</v>
      </c>
    </row>
    <row r="1352" spans="2:7" x14ac:dyDescent="0.15">
      <c r="B1352" s="299"/>
      <c r="C1352" s="65" t="s">
        <v>779</v>
      </c>
      <c r="D1352" s="66">
        <f>VLOOKUP(C1352,基本字段定义!$B$3:$C$3013,2,FALSE)</f>
        <v>1394</v>
      </c>
      <c r="E1352" s="67" t="s">
        <v>506</v>
      </c>
      <c r="F1352" s="67"/>
      <c r="G1352" s="68" t="s">
        <v>983</v>
      </c>
    </row>
    <row r="1353" spans="2:7" x14ac:dyDescent="0.15">
      <c r="B1353" s="299" t="s">
        <v>361</v>
      </c>
      <c r="C1353" s="69" t="s">
        <v>601</v>
      </c>
      <c r="D1353" s="70">
        <f>VLOOKUP(C1353,基本字段定义!$B$3:$C$3013,2,FALSE)</f>
        <v>797</v>
      </c>
      <c r="E1353" s="71" t="s">
        <v>365</v>
      </c>
      <c r="F1353" s="71"/>
      <c r="G1353" s="73" t="s">
        <v>602</v>
      </c>
    </row>
    <row r="1354" spans="2:7" x14ac:dyDescent="0.15">
      <c r="B1354" s="299"/>
      <c r="C1354" s="69" t="s">
        <v>431</v>
      </c>
      <c r="D1354" s="70">
        <f>VLOOKUP(C1354,基本字段定义!$B$3:$C$3013,2,FALSE)</f>
        <v>571</v>
      </c>
      <c r="E1354" s="71" t="s">
        <v>365</v>
      </c>
      <c r="F1354" s="71"/>
      <c r="G1354" s="73" t="s">
        <v>433</v>
      </c>
    </row>
    <row r="1355" spans="2:7" x14ac:dyDescent="0.15">
      <c r="B1355" s="299"/>
      <c r="C1355" s="69" t="s">
        <v>387</v>
      </c>
      <c r="D1355" s="70">
        <f>VLOOKUP(C1355,基本字段定义!$B$3:$C$3013,2,FALSE)</f>
        <v>599</v>
      </c>
      <c r="E1355" s="71" t="s">
        <v>365</v>
      </c>
      <c r="F1355" s="71"/>
      <c r="G1355" s="73" t="s">
        <v>389</v>
      </c>
    </row>
    <row r="1356" spans="2:7" x14ac:dyDescent="0.15">
      <c r="B1356" s="299"/>
      <c r="C1356" s="69" t="s">
        <v>550</v>
      </c>
      <c r="D1356" s="70">
        <f>VLOOKUP(C1356,基本字段定义!$B$3:$C$3013,2,FALSE)</f>
        <v>511</v>
      </c>
      <c r="E1356" s="71" t="s">
        <v>365</v>
      </c>
      <c r="F1356" s="71"/>
      <c r="G1356" s="73" t="s">
        <v>551</v>
      </c>
    </row>
    <row r="1357" spans="2:7" x14ac:dyDescent="0.15">
      <c r="B1357" s="299"/>
      <c r="C1357" s="69" t="s">
        <v>990</v>
      </c>
      <c r="D1357" s="70">
        <f>VLOOKUP(C1357,基本字段定义!$B$3:$C$3013,2,FALSE)</f>
        <v>1898</v>
      </c>
      <c r="E1357" s="71" t="s">
        <v>363</v>
      </c>
      <c r="F1357" s="71"/>
      <c r="G1357" s="73" t="s">
        <v>991</v>
      </c>
    </row>
    <row r="1358" spans="2:7" x14ac:dyDescent="0.15">
      <c r="B1358" s="299"/>
      <c r="C1358" s="69" t="s">
        <v>941</v>
      </c>
      <c r="D1358" s="70">
        <f>VLOOKUP(C1358,基本字段定义!$B$3:$C$3013,2,FALSE)</f>
        <v>750</v>
      </c>
      <c r="E1358" s="71" t="s">
        <v>365</v>
      </c>
      <c r="F1358" s="71"/>
      <c r="G1358" s="73" t="s">
        <v>942</v>
      </c>
    </row>
    <row r="1359" spans="2:7" x14ac:dyDescent="0.15">
      <c r="B1359" s="299"/>
      <c r="C1359" s="69" t="s">
        <v>806</v>
      </c>
      <c r="D1359" s="70">
        <f>VLOOKUP(C1359,基本字段定义!$B$3:$C$3013,2,FALSE)</f>
        <v>683</v>
      </c>
      <c r="E1359" s="71" t="s">
        <v>363</v>
      </c>
      <c r="F1359" s="71"/>
      <c r="G1359" s="73" t="s">
        <v>992</v>
      </c>
    </row>
    <row r="1360" spans="2:7" x14ac:dyDescent="0.15">
      <c r="B1360" s="299"/>
      <c r="C1360" s="69" t="s">
        <v>779</v>
      </c>
      <c r="D1360" s="70">
        <f>VLOOKUP(C1360,基本字段定义!$B$3:$C$3013,2,FALSE)</f>
        <v>1394</v>
      </c>
      <c r="E1360" s="71" t="s">
        <v>365</v>
      </c>
      <c r="F1360" s="71"/>
      <c r="G1360" s="73" t="s">
        <v>780</v>
      </c>
    </row>
    <row r="1361" spans="2:7" x14ac:dyDescent="0.15">
      <c r="B1361" s="299"/>
      <c r="C1361" s="69" t="s">
        <v>993</v>
      </c>
      <c r="D1361" s="70">
        <f>VLOOKUP(C1361,基本字段定义!$B$3:$C$3013,2,FALSE)</f>
        <v>9306</v>
      </c>
      <c r="E1361" s="71" t="s">
        <v>563</v>
      </c>
      <c r="F1361" s="71"/>
      <c r="G1361" s="73" t="s">
        <v>994</v>
      </c>
    </row>
    <row r="1362" spans="2:7" x14ac:dyDescent="0.15">
      <c r="B1362" s="299"/>
      <c r="C1362" s="69" t="s">
        <v>666</v>
      </c>
      <c r="D1362" s="70">
        <f>VLOOKUP(C1362,基本字段定义!$B$3:$C$3013,2,FALSE)</f>
        <v>719</v>
      </c>
      <c r="E1362" s="71" t="s">
        <v>365</v>
      </c>
      <c r="F1362" s="71"/>
      <c r="G1362" s="73" t="s">
        <v>995</v>
      </c>
    </row>
    <row r="1363" spans="2:7" x14ac:dyDescent="0.15">
      <c r="B1363" s="299"/>
      <c r="C1363" s="69" t="s">
        <v>985</v>
      </c>
      <c r="D1363" s="70">
        <f>VLOOKUP(C1363,基本字段定义!$B$3:$C$3013,2,FALSE)</f>
        <v>1564</v>
      </c>
      <c r="E1363" s="71" t="s">
        <v>363</v>
      </c>
      <c r="F1363" s="71"/>
      <c r="G1363" s="73" t="s">
        <v>996</v>
      </c>
    </row>
    <row r="1364" spans="2:7" x14ac:dyDescent="0.15">
      <c r="B1364" s="299"/>
      <c r="C1364" s="69" t="s">
        <v>685</v>
      </c>
      <c r="D1364" s="70">
        <f>VLOOKUP(C1364,基本字段定义!$B$3:$C$3013,2,FALSE)</f>
        <v>722</v>
      </c>
      <c r="E1364" s="71" t="s">
        <v>365</v>
      </c>
      <c r="F1364" s="71"/>
      <c r="G1364" s="73" t="s">
        <v>997</v>
      </c>
    </row>
    <row r="1365" spans="2:7" x14ac:dyDescent="0.15">
      <c r="B1365" s="299"/>
      <c r="C1365" s="69" t="s">
        <v>998</v>
      </c>
      <c r="D1365" s="70">
        <f>VLOOKUP(C1365,基本字段定义!$B$3:$C$3013,2,FALSE)</f>
        <v>1234</v>
      </c>
      <c r="E1365" s="71" t="s">
        <v>563</v>
      </c>
      <c r="F1365" s="71"/>
      <c r="G1365" s="73" t="s">
        <v>999</v>
      </c>
    </row>
    <row r="1366" spans="2:7" x14ac:dyDescent="0.15">
      <c r="B1366" s="299"/>
      <c r="C1366" s="69" t="s">
        <v>956</v>
      </c>
      <c r="D1366" s="70">
        <f>VLOOKUP(C1366,基本字段定义!$B$3:$C$3013,2,FALSE)</f>
        <v>641</v>
      </c>
      <c r="E1366" s="71" t="s">
        <v>365</v>
      </c>
      <c r="F1366" s="71"/>
      <c r="G1366" s="73" t="s">
        <v>1000</v>
      </c>
    </row>
    <row r="1367" spans="2:7" ht="14.25" thickBot="1" x14ac:dyDescent="0.2">
      <c r="B1367" s="304"/>
      <c r="C1367" s="75"/>
      <c r="D1367" s="83"/>
      <c r="E1367" s="77"/>
      <c r="F1367" s="77"/>
      <c r="G1367" s="78"/>
    </row>
    <row r="1369" spans="2:7" x14ac:dyDescent="0.15">
      <c r="B1369" s="57" t="s">
        <v>163</v>
      </c>
      <c r="C1369" s="84">
        <v>304119</v>
      </c>
      <c r="D1369" s="85"/>
      <c r="E1369" s="86"/>
      <c r="F1369" s="58" t="s">
        <v>352</v>
      </c>
      <c r="G1369" s="59"/>
    </row>
    <row r="1370" spans="2:7" x14ac:dyDescent="0.15">
      <c r="B1370" s="60" t="s">
        <v>353</v>
      </c>
      <c r="C1370" s="87" t="str">
        <f>VLOOKUP(C1369,功能索引!$C$3:$D$278,2,FALSE)</f>
        <v>查询客户ETF成份股的持仓信息</v>
      </c>
      <c r="D1370" s="88"/>
      <c r="E1370" s="89"/>
      <c r="F1370" s="61" t="s">
        <v>165</v>
      </c>
      <c r="G1370" s="62" t="str">
        <f>VLOOKUP(C1369,功能索引!$C$3:$E1746,3,FALSE)</f>
        <v>Y</v>
      </c>
    </row>
    <row r="1371" spans="2:7" ht="13.5" customHeight="1" x14ac:dyDescent="0.15">
      <c r="B1371" s="299" t="s">
        <v>354</v>
      </c>
      <c r="C1371" s="99" t="s">
        <v>1001</v>
      </c>
      <c r="D1371" s="100"/>
      <c r="E1371" s="100"/>
      <c r="F1371" s="100"/>
      <c r="G1371" s="101"/>
    </row>
    <row r="1372" spans="2:7" ht="14.25" thickBot="1" x14ac:dyDescent="0.2">
      <c r="B1372" s="304"/>
      <c r="C1372" s="102"/>
      <c r="D1372" s="103"/>
      <c r="E1372" s="103"/>
      <c r="F1372" s="103"/>
      <c r="G1372" s="104"/>
    </row>
    <row r="1373" spans="2:7" x14ac:dyDescent="0.15">
      <c r="B1373" s="298" t="s">
        <v>355</v>
      </c>
      <c r="C1373" s="58" t="s">
        <v>356</v>
      </c>
      <c r="D1373" s="58" t="s">
        <v>357</v>
      </c>
      <c r="E1373" s="58" t="s">
        <v>358</v>
      </c>
      <c r="F1373" s="58" t="s">
        <v>359</v>
      </c>
      <c r="G1373" s="64" t="s">
        <v>360</v>
      </c>
    </row>
    <row r="1374" spans="2:7" x14ac:dyDescent="0.15">
      <c r="B1374" s="299"/>
      <c r="C1374" s="65" t="s">
        <v>428</v>
      </c>
      <c r="D1374" s="66">
        <f>VLOOKUP(C1374,基本字段定义!$B$3:$C$3013,2,FALSE)</f>
        <v>605</v>
      </c>
      <c r="E1374" s="67" t="s">
        <v>429</v>
      </c>
      <c r="F1374" s="67" t="s">
        <v>169</v>
      </c>
      <c r="G1374" s="68" t="s">
        <v>430</v>
      </c>
    </row>
    <row r="1375" spans="2:7" x14ac:dyDescent="0.15">
      <c r="B1375" s="299"/>
      <c r="C1375" s="65" t="s">
        <v>431</v>
      </c>
      <c r="D1375" s="66">
        <f>VLOOKUP(C1375,基本字段定义!$B$3:$C$3013,2,FALSE)</f>
        <v>571</v>
      </c>
      <c r="E1375" s="67" t="s">
        <v>432</v>
      </c>
      <c r="F1375" s="67" t="s">
        <v>169</v>
      </c>
      <c r="G1375" s="68" t="s">
        <v>433</v>
      </c>
    </row>
    <row r="1376" spans="2:7" x14ac:dyDescent="0.15">
      <c r="B1376" s="299"/>
      <c r="C1376" s="65" t="s">
        <v>387</v>
      </c>
      <c r="D1376" s="66">
        <f>VLOOKUP(C1376,基本字段定义!$B$3:$C$3013,2,FALSE)</f>
        <v>599</v>
      </c>
      <c r="E1376" s="67" t="s">
        <v>388</v>
      </c>
      <c r="F1376" s="67" t="s">
        <v>169</v>
      </c>
      <c r="G1376" s="68" t="s">
        <v>389</v>
      </c>
    </row>
    <row r="1377" spans="2:7" x14ac:dyDescent="0.15">
      <c r="B1377" s="299"/>
      <c r="C1377" s="65" t="s">
        <v>773</v>
      </c>
      <c r="D1377" s="66">
        <f>VLOOKUP(C1377,基本字段定义!$B$3:$C$3013,2,FALSE)</f>
        <v>9129</v>
      </c>
      <c r="E1377" s="67" t="s">
        <v>506</v>
      </c>
      <c r="F1377" s="67" t="s">
        <v>169</v>
      </c>
      <c r="G1377" s="68" t="s">
        <v>774</v>
      </c>
    </row>
    <row r="1378" spans="2:7" x14ac:dyDescent="0.15">
      <c r="B1378" s="299"/>
      <c r="C1378" s="65" t="s">
        <v>458</v>
      </c>
      <c r="D1378" s="66">
        <f>VLOOKUP(C1378,基本字段定义!$B$3:$C$3013,2,FALSE)</f>
        <v>988</v>
      </c>
      <c r="E1378" s="67" t="s">
        <v>363</v>
      </c>
      <c r="F1378" s="67"/>
      <c r="G1378" s="68" t="s">
        <v>1002</v>
      </c>
    </row>
    <row r="1379" spans="2:7" x14ac:dyDescent="0.15">
      <c r="B1379" s="299" t="s">
        <v>361</v>
      </c>
      <c r="C1379" s="69" t="s">
        <v>666</v>
      </c>
      <c r="D1379" s="70">
        <f>VLOOKUP(C1379,基本字段定义!$B$3:$C$3013,2,FALSE)</f>
        <v>719</v>
      </c>
      <c r="E1379" s="71" t="s">
        <v>365</v>
      </c>
      <c r="F1379" s="71"/>
      <c r="G1379" s="73" t="s">
        <v>683</v>
      </c>
    </row>
    <row r="1380" spans="2:7" x14ac:dyDescent="0.15">
      <c r="B1380" s="299"/>
      <c r="C1380" s="69" t="s">
        <v>685</v>
      </c>
      <c r="D1380" s="70">
        <f>VLOOKUP(C1380,基本字段定义!$B$3:$C$3013,2,FALSE)</f>
        <v>722</v>
      </c>
      <c r="E1380" s="71" t="s">
        <v>365</v>
      </c>
      <c r="F1380" s="71"/>
      <c r="G1380" s="73" t="s">
        <v>686</v>
      </c>
    </row>
    <row r="1381" spans="2:7" x14ac:dyDescent="0.15">
      <c r="B1381" s="299"/>
      <c r="C1381" s="69" t="s">
        <v>550</v>
      </c>
      <c r="D1381" s="70">
        <f>VLOOKUP(C1381,基本字段定义!$B$3:$C$3013,2,FALSE)</f>
        <v>511</v>
      </c>
      <c r="E1381" s="71" t="s">
        <v>365</v>
      </c>
      <c r="F1381" s="71"/>
      <c r="G1381" s="73" t="s">
        <v>551</v>
      </c>
    </row>
    <row r="1382" spans="2:7" x14ac:dyDescent="0.15">
      <c r="B1382" s="299"/>
      <c r="C1382" s="69" t="s">
        <v>796</v>
      </c>
      <c r="D1382" s="70">
        <f>VLOOKUP(C1382,基本字段定义!$B$3:$C$3013,2,FALSE)</f>
        <v>724</v>
      </c>
      <c r="E1382" s="71" t="s">
        <v>363</v>
      </c>
      <c r="F1382" s="71"/>
      <c r="G1382" s="73" t="s">
        <v>828</v>
      </c>
    </row>
    <row r="1383" spans="2:7" x14ac:dyDescent="0.15">
      <c r="B1383" s="299"/>
      <c r="C1383" s="69" t="s">
        <v>829</v>
      </c>
      <c r="D1383" s="70">
        <f>VLOOKUP(C1383,基本字段定义!$B$3:$C$3013,2,FALSE)</f>
        <v>543</v>
      </c>
      <c r="E1383" s="71" t="s">
        <v>363</v>
      </c>
      <c r="F1383" s="71"/>
      <c r="G1383" s="73" t="s">
        <v>830</v>
      </c>
    </row>
    <row r="1384" spans="2:7" x14ac:dyDescent="0.15">
      <c r="B1384" s="299"/>
      <c r="C1384" s="69" t="s">
        <v>831</v>
      </c>
      <c r="D1384" s="70">
        <f>VLOOKUP(C1384,基本字段定义!$B$3:$C$3013,2,FALSE)</f>
        <v>545</v>
      </c>
      <c r="E1384" s="71" t="s">
        <v>363</v>
      </c>
      <c r="F1384" s="71"/>
      <c r="G1384" s="73" t="s">
        <v>832</v>
      </c>
    </row>
    <row r="1385" spans="2:7" x14ac:dyDescent="0.15">
      <c r="B1385" s="299"/>
      <c r="C1385" s="69" t="s">
        <v>833</v>
      </c>
      <c r="D1385" s="70">
        <f>VLOOKUP(C1385,基本字段定义!$B$3:$C$3013,2,FALSE)</f>
        <v>541</v>
      </c>
      <c r="E1385" s="71" t="s">
        <v>363</v>
      </c>
      <c r="F1385" s="71"/>
      <c r="G1385" s="73" t="s">
        <v>834</v>
      </c>
    </row>
    <row r="1386" spans="2:7" x14ac:dyDescent="0.15">
      <c r="B1386" s="299"/>
      <c r="C1386" s="69" t="s">
        <v>837</v>
      </c>
      <c r="D1386" s="70">
        <f>VLOOKUP(C1386,基本字段定义!$B$3:$C$3013,2,FALSE)</f>
        <v>1179</v>
      </c>
      <c r="E1386" s="71" t="s">
        <v>363</v>
      </c>
      <c r="F1386" s="71"/>
      <c r="G1386" s="73" t="s">
        <v>838</v>
      </c>
    </row>
    <row r="1387" spans="2:7" x14ac:dyDescent="0.15">
      <c r="B1387" s="299"/>
      <c r="C1387" s="69" t="s">
        <v>839</v>
      </c>
      <c r="D1387" s="70">
        <f>VLOOKUP(C1387,基本字段定义!$B$3:$C$3013,2,FALSE)</f>
        <v>615</v>
      </c>
      <c r="E1387" s="71" t="s">
        <v>363</v>
      </c>
      <c r="F1387" s="71"/>
      <c r="G1387" s="73" t="s">
        <v>840</v>
      </c>
    </row>
    <row r="1388" spans="2:7" x14ac:dyDescent="0.15">
      <c r="B1388" s="299"/>
      <c r="C1388" s="69" t="s">
        <v>841</v>
      </c>
      <c r="D1388" s="70">
        <f>VLOOKUP(C1388,基本字段定义!$B$3:$C$3013,2,FALSE)</f>
        <v>1235</v>
      </c>
      <c r="E1388" s="71" t="s">
        <v>363</v>
      </c>
      <c r="F1388" s="71"/>
      <c r="G1388" s="73" t="s">
        <v>842</v>
      </c>
    </row>
    <row r="1389" spans="2:7" x14ac:dyDescent="0.15">
      <c r="B1389" s="299"/>
      <c r="C1389" s="69" t="s">
        <v>845</v>
      </c>
      <c r="D1389" s="70">
        <f>VLOOKUP(C1389,基本字段定义!$B$3:$C$3013,2,FALSE)</f>
        <v>757</v>
      </c>
      <c r="E1389" s="71" t="s">
        <v>363</v>
      </c>
      <c r="F1389" s="71"/>
      <c r="G1389" s="73" t="s">
        <v>846</v>
      </c>
    </row>
    <row r="1390" spans="2:7" x14ac:dyDescent="0.15">
      <c r="B1390" s="299"/>
      <c r="C1390" s="116" t="s">
        <v>800</v>
      </c>
      <c r="D1390" s="117">
        <f>VLOOKUP(C1390,基本字段定义!$B$3:$C$3013,2,FALSE)</f>
        <v>9137</v>
      </c>
      <c r="E1390" s="117" t="s">
        <v>563</v>
      </c>
      <c r="F1390" s="117"/>
      <c r="G1390" s="118" t="s">
        <v>801</v>
      </c>
    </row>
    <row r="1391" spans="2:7" x14ac:dyDescent="0.15">
      <c r="B1391" s="299"/>
      <c r="C1391" s="116" t="s">
        <v>798</v>
      </c>
      <c r="D1391" s="117">
        <f>VLOOKUP(C1391,基本字段定义!$B$3:$C$3013,2,FALSE)</f>
        <v>9134</v>
      </c>
      <c r="E1391" s="117" t="s">
        <v>363</v>
      </c>
      <c r="F1391" s="117"/>
      <c r="G1391" s="115" t="s">
        <v>799</v>
      </c>
    </row>
    <row r="1392" spans="2:7" x14ac:dyDescent="0.15">
      <c r="B1392" s="299"/>
      <c r="C1392" s="116" t="s">
        <v>802</v>
      </c>
      <c r="D1392" s="117">
        <f>VLOOKUP(C1392,基本字段定义!$B$3:$C$3013,2,FALSE)</f>
        <v>1603</v>
      </c>
      <c r="E1392" s="117" t="s">
        <v>563</v>
      </c>
      <c r="F1392" s="117"/>
      <c r="G1392" s="115" t="s">
        <v>803</v>
      </c>
    </row>
    <row r="1393" spans="2:7" ht="14.25" thickBot="1" x14ac:dyDescent="0.2">
      <c r="B1393" s="304"/>
      <c r="C1393" s="75"/>
      <c r="D1393" s="83"/>
      <c r="E1393" s="77"/>
      <c r="F1393" s="77"/>
      <c r="G1393" s="78"/>
    </row>
    <row r="1395" spans="2:7" x14ac:dyDescent="0.15">
      <c r="B1395" s="57" t="s">
        <v>163</v>
      </c>
      <c r="C1395" s="84">
        <v>304222</v>
      </c>
      <c r="D1395" s="85"/>
      <c r="E1395" s="86"/>
      <c r="F1395" s="58" t="s">
        <v>352</v>
      </c>
      <c r="G1395" s="59"/>
    </row>
    <row r="1396" spans="2:7" x14ac:dyDescent="0.15">
      <c r="B1396" s="60" t="s">
        <v>353</v>
      </c>
      <c r="C1396" s="87" t="str">
        <f>VLOOKUP(C1395,功能索引!$C$3:$D$278,2,FALSE)</f>
        <v>客户各委托批次号证券持仓成本的查询</v>
      </c>
      <c r="D1396" s="88"/>
      <c r="E1396" s="89"/>
      <c r="F1396" s="61" t="s">
        <v>165</v>
      </c>
      <c r="G1396" s="62" t="str">
        <f>VLOOKUP(C1395,功能索引!$C$3:$E1786,3,FALSE)</f>
        <v>Y</v>
      </c>
    </row>
    <row r="1397" spans="2:7" x14ac:dyDescent="0.15">
      <c r="B1397" s="299" t="s">
        <v>354</v>
      </c>
      <c r="C1397" s="99"/>
      <c r="D1397" s="100"/>
      <c r="E1397" s="100"/>
      <c r="F1397" s="100"/>
      <c r="G1397" s="101"/>
    </row>
    <row r="1398" spans="2:7" ht="14.25" thickBot="1" x14ac:dyDescent="0.2">
      <c r="B1398" s="304"/>
      <c r="C1398" s="102"/>
      <c r="D1398" s="103"/>
      <c r="E1398" s="103"/>
      <c r="F1398" s="103"/>
      <c r="G1398" s="104"/>
    </row>
    <row r="1399" spans="2:7" x14ac:dyDescent="0.15">
      <c r="B1399" s="298" t="s">
        <v>355</v>
      </c>
      <c r="C1399" s="58" t="s">
        <v>356</v>
      </c>
      <c r="D1399" s="58" t="s">
        <v>357</v>
      </c>
      <c r="E1399" s="58" t="s">
        <v>358</v>
      </c>
      <c r="F1399" s="58" t="s">
        <v>359</v>
      </c>
      <c r="G1399" s="64" t="s">
        <v>360</v>
      </c>
    </row>
    <row r="1400" spans="2:7" x14ac:dyDescent="0.15">
      <c r="B1400" s="299"/>
      <c r="C1400" s="65" t="s">
        <v>428</v>
      </c>
      <c r="D1400" s="66">
        <f>VLOOKUP(C1400,基本字段定义!$B$3:$C$3013,2,FALSE)</f>
        <v>605</v>
      </c>
      <c r="E1400" s="67" t="s">
        <v>429</v>
      </c>
      <c r="F1400" s="67" t="s">
        <v>169</v>
      </c>
      <c r="G1400" s="68" t="s">
        <v>430</v>
      </c>
    </row>
    <row r="1401" spans="2:7" x14ac:dyDescent="0.15">
      <c r="B1401" s="299"/>
      <c r="C1401" s="65" t="s">
        <v>1003</v>
      </c>
      <c r="D1401" s="66">
        <f>VLOOKUP(C1401,基本字段定义!$B$3:$C$3013,2,FALSE)</f>
        <v>9149</v>
      </c>
      <c r="E1401" s="67" t="s">
        <v>363</v>
      </c>
      <c r="F1401" s="67"/>
      <c r="G1401" s="68" t="s">
        <v>911</v>
      </c>
    </row>
    <row r="1402" spans="2:7" x14ac:dyDescent="0.15">
      <c r="B1402" s="299"/>
      <c r="C1402" s="65" t="s">
        <v>387</v>
      </c>
      <c r="D1402" s="66">
        <f>VLOOKUP(C1402,基本字段定义!$B$3:$C$3013,2,FALSE)</f>
        <v>599</v>
      </c>
      <c r="E1402" s="67" t="s">
        <v>388</v>
      </c>
      <c r="F1402" s="67"/>
      <c r="G1402" s="68" t="s">
        <v>389</v>
      </c>
    </row>
    <row r="1403" spans="2:7" x14ac:dyDescent="0.15">
      <c r="B1403" s="299"/>
      <c r="C1403" s="65" t="s">
        <v>614</v>
      </c>
      <c r="D1403" s="66">
        <f>VLOOKUP(C1403,基本字段定义!$B$3:$C$3013,2,FALSE)</f>
        <v>763</v>
      </c>
      <c r="E1403" s="67" t="s">
        <v>497</v>
      </c>
      <c r="F1403" s="67"/>
      <c r="G1403" s="68" t="s">
        <v>615</v>
      </c>
    </row>
    <row r="1404" spans="2:7" x14ac:dyDescent="0.15">
      <c r="B1404" s="299"/>
      <c r="C1404" s="65" t="s">
        <v>616</v>
      </c>
      <c r="D1404" s="66">
        <f>VLOOKUP(C1404,基本字段定义!$B$3:$C$3013,2,FALSE)</f>
        <v>9110</v>
      </c>
      <c r="E1404" s="67" t="s">
        <v>363</v>
      </c>
      <c r="F1404" s="67"/>
      <c r="G1404" s="68" t="s">
        <v>617</v>
      </c>
    </row>
    <row r="1405" spans="2:7" x14ac:dyDescent="0.15">
      <c r="B1405" s="300" t="s">
        <v>361</v>
      </c>
      <c r="C1405" s="69" t="s">
        <v>614</v>
      </c>
      <c r="D1405" s="70">
        <f>VLOOKUP(C1405,基本字段定义!$B$3:$C$3013,2,FALSE)</f>
        <v>763</v>
      </c>
      <c r="E1405" s="71" t="s">
        <v>365</v>
      </c>
      <c r="F1405" s="71"/>
      <c r="G1405" s="73" t="s">
        <v>618</v>
      </c>
    </row>
    <row r="1406" spans="2:7" x14ac:dyDescent="0.15">
      <c r="B1406" s="301"/>
      <c r="C1406" s="69" t="s">
        <v>849</v>
      </c>
      <c r="D1406" s="70">
        <f>VLOOKUP(C1406,基本字段定义!$B$3:$C$3013,2,FALSE)</f>
        <v>603</v>
      </c>
      <c r="E1406" s="71" t="s">
        <v>363</v>
      </c>
      <c r="F1406" s="71"/>
      <c r="G1406" s="73" t="s">
        <v>850</v>
      </c>
    </row>
    <row r="1407" spans="2:7" x14ac:dyDescent="0.15">
      <c r="B1407" s="301"/>
      <c r="C1407" s="69" t="s">
        <v>1003</v>
      </c>
      <c r="D1407" s="70">
        <f>VLOOKUP(C1407,基本字段定义!$B$3:$C$3013,2,FALSE)</f>
        <v>9149</v>
      </c>
      <c r="E1407" s="71" t="s">
        <v>365</v>
      </c>
      <c r="F1407" s="71"/>
      <c r="G1407" s="73" t="s">
        <v>911</v>
      </c>
    </row>
    <row r="1408" spans="2:7" x14ac:dyDescent="0.15">
      <c r="B1408" s="301"/>
      <c r="C1408" s="69" t="s">
        <v>431</v>
      </c>
      <c r="D1408" s="70">
        <f>VLOOKUP(C1408,基本字段定义!$B$3:$C$3013,2,FALSE)</f>
        <v>571</v>
      </c>
      <c r="E1408" s="71" t="s">
        <v>365</v>
      </c>
      <c r="F1408" s="71"/>
      <c r="G1408" s="73" t="s">
        <v>433</v>
      </c>
    </row>
    <row r="1409" spans="2:7" x14ac:dyDescent="0.15">
      <c r="B1409" s="301"/>
      <c r="C1409" s="69" t="s">
        <v>387</v>
      </c>
      <c r="D1409" s="70">
        <f>VLOOKUP(C1409,基本字段定义!$B$3:$C$3013,2,FALSE)</f>
        <v>599</v>
      </c>
      <c r="E1409" s="71" t="s">
        <v>365</v>
      </c>
      <c r="F1409" s="71"/>
      <c r="G1409" s="73" t="s">
        <v>389</v>
      </c>
    </row>
    <row r="1410" spans="2:7" x14ac:dyDescent="0.15">
      <c r="B1410" s="301"/>
      <c r="C1410" s="69" t="s">
        <v>666</v>
      </c>
      <c r="D1410" s="70">
        <f>VLOOKUP(C1410,基本字段定义!$B$3:$C$3013,2,FALSE)</f>
        <v>719</v>
      </c>
      <c r="E1410" s="71" t="s">
        <v>365</v>
      </c>
      <c r="F1410" s="71"/>
      <c r="G1410" s="73" t="s">
        <v>683</v>
      </c>
    </row>
    <row r="1411" spans="2:7" x14ac:dyDescent="0.15">
      <c r="B1411" s="301"/>
      <c r="C1411" s="69" t="s">
        <v>685</v>
      </c>
      <c r="D1411" s="70">
        <f>VLOOKUP(C1411,基本字段定义!$B$3:$C$3013,2,FALSE)</f>
        <v>722</v>
      </c>
      <c r="E1411" s="71" t="s">
        <v>365</v>
      </c>
      <c r="F1411" s="71"/>
      <c r="G1411" s="73" t="s">
        <v>686</v>
      </c>
    </row>
    <row r="1412" spans="2:7" x14ac:dyDescent="0.15">
      <c r="B1412" s="301"/>
      <c r="C1412" s="69" t="s">
        <v>550</v>
      </c>
      <c r="D1412" s="70">
        <f>VLOOKUP(C1412,基本字段定义!$B$3:$C$3013,2,FALSE)</f>
        <v>511</v>
      </c>
      <c r="E1412" s="71" t="s">
        <v>365</v>
      </c>
      <c r="F1412" s="71"/>
      <c r="G1412" s="73" t="s">
        <v>551</v>
      </c>
    </row>
    <row r="1413" spans="2:7" x14ac:dyDescent="0.15">
      <c r="B1413" s="301"/>
      <c r="C1413" s="69" t="s">
        <v>796</v>
      </c>
      <c r="D1413" s="70">
        <f>VLOOKUP(C1413,基本字段定义!$B$3:$C$3013,2,FALSE)</f>
        <v>724</v>
      </c>
      <c r="E1413" s="71" t="s">
        <v>363</v>
      </c>
      <c r="F1413" s="71"/>
      <c r="G1413" s="73" t="s">
        <v>828</v>
      </c>
    </row>
    <row r="1414" spans="2:7" x14ac:dyDescent="0.15">
      <c r="B1414" s="301"/>
      <c r="C1414" s="69" t="s">
        <v>573</v>
      </c>
      <c r="D1414" s="70">
        <f>VLOOKUP(C1414,基本字段定义!$B$3:$C$3013,2,FALSE)</f>
        <v>760</v>
      </c>
      <c r="E1414" s="71" t="s">
        <v>563</v>
      </c>
      <c r="F1414" s="71"/>
      <c r="G1414" s="73" t="s">
        <v>1004</v>
      </c>
    </row>
    <row r="1415" spans="2:7" x14ac:dyDescent="0.15">
      <c r="B1415" s="301"/>
      <c r="C1415" s="69" t="s">
        <v>691</v>
      </c>
      <c r="D1415" s="70">
        <f>VLOOKUP(C1415,基本字段定义!$B$3:$C$3013,2,FALSE)</f>
        <v>729</v>
      </c>
      <c r="E1415" s="71" t="s">
        <v>563</v>
      </c>
      <c r="F1415" s="71"/>
      <c r="G1415" s="73" t="s">
        <v>692</v>
      </c>
    </row>
    <row r="1416" spans="2:7" x14ac:dyDescent="0.15">
      <c r="B1416" s="301"/>
      <c r="C1416" s="69" t="s">
        <v>855</v>
      </c>
      <c r="D1416" s="70">
        <f>VLOOKUP(C1416,基本字段定义!$B$3:$C$3013,2,FALSE)</f>
        <v>636</v>
      </c>
      <c r="E1416" s="71" t="s">
        <v>563</v>
      </c>
      <c r="F1416" s="71"/>
      <c r="G1416" s="73" t="s">
        <v>1005</v>
      </c>
    </row>
    <row r="1417" spans="2:7" x14ac:dyDescent="0.15">
      <c r="B1417" s="301"/>
      <c r="C1417" s="69" t="s">
        <v>857</v>
      </c>
      <c r="D1417" s="70">
        <f>VLOOKUP(C1417,基本字段定义!$B$3:$C$3013,2,FALSE)</f>
        <v>1209</v>
      </c>
      <c r="E1417" s="71" t="s">
        <v>563</v>
      </c>
      <c r="F1417" s="71" t="s">
        <v>858</v>
      </c>
      <c r="G1417" s="73" t="s">
        <v>1006</v>
      </c>
    </row>
    <row r="1418" spans="2:7" x14ac:dyDescent="0.15">
      <c r="B1418" s="301"/>
      <c r="C1418" s="69" t="s">
        <v>860</v>
      </c>
      <c r="D1418" s="70">
        <f>VLOOKUP(C1418,基本字段定义!$B$3:$C$3013,2,FALSE)</f>
        <v>1098</v>
      </c>
      <c r="E1418" s="71" t="s">
        <v>563</v>
      </c>
      <c r="F1418" s="71"/>
      <c r="G1418" s="73" t="s">
        <v>1007</v>
      </c>
    </row>
    <row r="1419" spans="2:7" x14ac:dyDescent="0.15">
      <c r="B1419" s="301"/>
      <c r="C1419" s="69" t="s">
        <v>862</v>
      </c>
      <c r="D1419" s="70">
        <f>VLOOKUP(C1419,基本字段定义!$B$3:$C$3013,2,FALSE)</f>
        <v>761</v>
      </c>
      <c r="E1419" s="71" t="s">
        <v>563</v>
      </c>
      <c r="F1419" s="71"/>
      <c r="G1419" s="73" t="s">
        <v>1008</v>
      </c>
    </row>
    <row r="1420" spans="2:7" x14ac:dyDescent="0.15">
      <c r="B1420" s="301"/>
      <c r="C1420" s="69" t="s">
        <v>864</v>
      </c>
      <c r="D1420" s="70">
        <f>VLOOKUP(C1420,基本字段定义!$B$3:$C$3013,2,FALSE)</f>
        <v>1210</v>
      </c>
      <c r="E1420" s="71" t="s">
        <v>563</v>
      </c>
      <c r="F1420" s="71"/>
      <c r="G1420" s="73" t="s">
        <v>1009</v>
      </c>
    </row>
    <row r="1421" spans="2:7" x14ac:dyDescent="0.15">
      <c r="B1421" s="301"/>
      <c r="C1421" s="69" t="s">
        <v>866</v>
      </c>
      <c r="D1421" s="70">
        <f>VLOOKUP(C1421,基本字段定义!$B$3:$C$3013,2,FALSE)</f>
        <v>671</v>
      </c>
      <c r="E1421" s="71" t="s">
        <v>563</v>
      </c>
      <c r="F1421" s="71" t="s">
        <v>867</v>
      </c>
      <c r="G1421" s="73" t="s">
        <v>1010</v>
      </c>
    </row>
    <row r="1422" spans="2:7" x14ac:dyDescent="0.15">
      <c r="B1422" s="301"/>
      <c r="C1422" s="69" t="s">
        <v>869</v>
      </c>
      <c r="D1422" s="70">
        <f>VLOOKUP(C1422,基本字段定义!$B$3:$C$3013,2,FALSE)</f>
        <v>748</v>
      </c>
      <c r="E1422" s="71" t="s">
        <v>563</v>
      </c>
      <c r="F1422" s="71"/>
      <c r="G1422" s="73" t="s">
        <v>1011</v>
      </c>
    </row>
    <row r="1423" spans="2:7" x14ac:dyDescent="0.15">
      <c r="B1423" s="301"/>
      <c r="C1423" s="69" t="s">
        <v>871</v>
      </c>
      <c r="D1423" s="70">
        <f>VLOOKUP(C1423,基本字段定义!$B$3:$C$3013,2,FALSE)</f>
        <v>749</v>
      </c>
      <c r="E1423" s="71" t="s">
        <v>563</v>
      </c>
      <c r="F1423" s="71"/>
      <c r="G1423" s="73" t="s">
        <v>1012</v>
      </c>
    </row>
    <row r="1424" spans="2:7" ht="14.25" thickBot="1" x14ac:dyDescent="0.2">
      <c r="B1424" s="305"/>
      <c r="C1424" s="75"/>
      <c r="D1424" s="83"/>
      <c r="E1424" s="77"/>
      <c r="F1424" s="77"/>
      <c r="G1424" s="78"/>
    </row>
    <row r="1426" spans="2:7" x14ac:dyDescent="0.15">
      <c r="B1426" s="57" t="s">
        <v>163</v>
      </c>
      <c r="C1426" s="84">
        <v>104211</v>
      </c>
      <c r="D1426" s="85"/>
      <c r="E1426" s="86"/>
      <c r="F1426" s="58" t="s">
        <v>352</v>
      </c>
      <c r="G1426" s="59">
        <v>20140122</v>
      </c>
    </row>
    <row r="1427" spans="2:7" x14ac:dyDescent="0.15">
      <c r="B1427" s="60" t="s">
        <v>353</v>
      </c>
      <c r="C1427" s="87" t="str">
        <f>VLOOKUP(C1426,功能索引!$C$3:$D$278,2,FALSE)</f>
        <v>查询北交所协议行情</v>
      </c>
      <c r="D1427" s="88"/>
      <c r="E1427" s="89"/>
      <c r="F1427" s="61" t="s">
        <v>165</v>
      </c>
      <c r="G1427" s="62" t="str">
        <f>VLOOKUP(C1426,功能索引!$C$3:$E1803,3,FALSE)</f>
        <v>Y</v>
      </c>
    </row>
    <row r="1428" spans="2:7" x14ac:dyDescent="0.15">
      <c r="B1428" s="300" t="s">
        <v>354</v>
      </c>
      <c r="C1428" s="99"/>
      <c r="D1428" s="100"/>
      <c r="E1428" s="100"/>
      <c r="F1428" s="100"/>
      <c r="G1428" s="101"/>
    </row>
    <row r="1429" spans="2:7" ht="14.25" thickBot="1" x14ac:dyDescent="0.2">
      <c r="B1429" s="305"/>
      <c r="C1429" s="102"/>
      <c r="D1429" s="103"/>
      <c r="E1429" s="103"/>
      <c r="F1429" s="103"/>
      <c r="G1429" s="104"/>
    </row>
    <row r="1430" spans="2:7" x14ac:dyDescent="0.15">
      <c r="B1430" s="315" t="s">
        <v>355</v>
      </c>
      <c r="C1430" s="58" t="s">
        <v>356</v>
      </c>
      <c r="D1430" s="58" t="s">
        <v>357</v>
      </c>
      <c r="E1430" s="58" t="s">
        <v>358</v>
      </c>
      <c r="F1430" s="58" t="s">
        <v>359</v>
      </c>
      <c r="G1430" s="64" t="s">
        <v>360</v>
      </c>
    </row>
    <row r="1431" spans="2:7" x14ac:dyDescent="0.15">
      <c r="B1431" s="301"/>
      <c r="C1431" s="65" t="s">
        <v>666</v>
      </c>
      <c r="D1431" s="66">
        <f>VLOOKUP(C1431,基本字段定义!$B$3:$C$3013,2,FALSE)</f>
        <v>719</v>
      </c>
      <c r="E1431" s="67" t="s">
        <v>365</v>
      </c>
      <c r="F1431" s="67" t="s">
        <v>169</v>
      </c>
      <c r="G1431" s="68" t="s">
        <v>683</v>
      </c>
    </row>
    <row r="1432" spans="2:7" x14ac:dyDescent="0.15">
      <c r="B1432" s="301"/>
      <c r="C1432" s="65" t="s">
        <v>806</v>
      </c>
      <c r="D1432" s="66">
        <f>VLOOKUP(C1432,基本字段定义!$B$3:$C$3013,2,FALSE)</f>
        <v>683</v>
      </c>
      <c r="E1432" s="67" t="s">
        <v>363</v>
      </c>
      <c r="F1432" s="67"/>
      <c r="G1432" s="68" t="s">
        <v>1013</v>
      </c>
    </row>
    <row r="1433" spans="2:7" x14ac:dyDescent="0.15">
      <c r="B1433" s="306"/>
      <c r="C1433" s="65" t="s">
        <v>1014</v>
      </c>
      <c r="D1433" s="66">
        <f>VLOOKUP(C1433,基本字段定义!$B$3:$C$3013,2,FALSE)</f>
        <v>4176</v>
      </c>
      <c r="E1433" s="67" t="s">
        <v>365</v>
      </c>
      <c r="F1433" s="67"/>
      <c r="G1433" s="68" t="s">
        <v>1015</v>
      </c>
    </row>
    <row r="1434" spans="2:7" x14ac:dyDescent="0.15">
      <c r="B1434" s="300" t="s">
        <v>361</v>
      </c>
      <c r="C1434" s="69" t="s">
        <v>1016</v>
      </c>
      <c r="D1434" s="70">
        <f>VLOOKUP(C1434,基本字段定义!$B$3:$C$3013,2,FALSE)</f>
        <v>2703</v>
      </c>
      <c r="E1434" s="71" t="s">
        <v>365</v>
      </c>
      <c r="F1434" s="71"/>
      <c r="G1434" s="73" t="s">
        <v>1017</v>
      </c>
    </row>
    <row r="1435" spans="2:7" x14ac:dyDescent="0.15">
      <c r="B1435" s="301"/>
      <c r="C1435" s="69" t="s">
        <v>806</v>
      </c>
      <c r="D1435" s="70">
        <f>VLOOKUP(C1435,基本字段定义!$B$3:$C$3013,2,FALSE)</f>
        <v>683</v>
      </c>
      <c r="E1435" s="71" t="s">
        <v>363</v>
      </c>
      <c r="F1435" s="71"/>
      <c r="G1435" s="73" t="s">
        <v>1013</v>
      </c>
    </row>
    <row r="1436" spans="2:7" x14ac:dyDescent="0.15">
      <c r="B1436" s="301"/>
      <c r="C1436" s="69" t="s">
        <v>666</v>
      </c>
      <c r="D1436" s="70">
        <f>VLOOKUP(C1436,基本字段定义!$B$3:$C$3013,2,FALSE)</f>
        <v>719</v>
      </c>
      <c r="E1436" s="71" t="s">
        <v>365</v>
      </c>
      <c r="F1436" s="71"/>
      <c r="G1436" s="73" t="s">
        <v>683</v>
      </c>
    </row>
    <row r="1437" spans="2:7" x14ac:dyDescent="0.15">
      <c r="B1437" s="301"/>
      <c r="C1437" s="69" t="s">
        <v>810</v>
      </c>
      <c r="D1437" s="70">
        <f>VLOOKUP(C1437,基本字段定义!$B$3:$C$3013,2,FALSE)</f>
        <v>684</v>
      </c>
      <c r="E1437" s="71" t="s">
        <v>563</v>
      </c>
      <c r="F1437" s="71"/>
      <c r="G1437" s="73" t="s">
        <v>1018</v>
      </c>
    </row>
    <row r="1438" spans="2:7" x14ac:dyDescent="0.15">
      <c r="B1438" s="301"/>
      <c r="C1438" s="69" t="s">
        <v>812</v>
      </c>
      <c r="D1438" s="70">
        <f>VLOOKUP(C1438,基本字段定义!$B$3:$C$3013,2,FALSE)</f>
        <v>682</v>
      </c>
      <c r="E1438" s="71" t="s">
        <v>563</v>
      </c>
      <c r="F1438" s="71"/>
      <c r="G1438" s="73" t="s">
        <v>1019</v>
      </c>
    </row>
    <row r="1439" spans="2:7" x14ac:dyDescent="0.15">
      <c r="B1439" s="301"/>
      <c r="C1439" s="69" t="s">
        <v>1020</v>
      </c>
      <c r="D1439" s="70">
        <f>VLOOKUP(C1439,基本字段定义!$B$3:$C$3013,2,FALSE)</f>
        <v>9076</v>
      </c>
      <c r="E1439" s="71" t="s">
        <v>365</v>
      </c>
      <c r="F1439" s="71"/>
      <c r="G1439" s="73" t="s">
        <v>1021</v>
      </c>
    </row>
    <row r="1440" spans="2:7" x14ac:dyDescent="0.15">
      <c r="B1440" s="301"/>
      <c r="C1440" s="91" t="s">
        <v>1022</v>
      </c>
      <c r="D1440" s="70">
        <f>VLOOKUP(C1440,基本字段定义!$B$3:$C$3013,2,FALSE)</f>
        <v>2808</v>
      </c>
      <c r="E1440" s="92" t="s">
        <v>365</v>
      </c>
      <c r="F1440" s="92"/>
      <c r="G1440" s="94" t="s">
        <v>1023</v>
      </c>
    </row>
    <row r="1441" spans="2:7" x14ac:dyDescent="0.15">
      <c r="B1441" s="301"/>
      <c r="C1441" s="91" t="s">
        <v>1014</v>
      </c>
      <c r="D1441" s="70">
        <f>VLOOKUP(C1441,基本字段定义!$B$3:$C$3013,2,FALSE)</f>
        <v>4176</v>
      </c>
      <c r="E1441" s="92" t="s">
        <v>365</v>
      </c>
      <c r="F1441" s="92"/>
      <c r="G1441" s="94" t="s">
        <v>1024</v>
      </c>
    </row>
    <row r="1442" spans="2:7" x14ac:dyDescent="0.15">
      <c r="B1442" s="301"/>
      <c r="C1442" s="91" t="s">
        <v>941</v>
      </c>
      <c r="D1442" s="70">
        <f>VLOOKUP(C1442,基本字段定义!$B$3:$C$3013,2,FALSE)</f>
        <v>750</v>
      </c>
      <c r="E1442" s="92" t="s">
        <v>363</v>
      </c>
      <c r="F1442" s="92"/>
      <c r="G1442" s="94" t="s">
        <v>944</v>
      </c>
    </row>
    <row r="1443" spans="2:7" ht="14.25" thickBot="1" x14ac:dyDescent="0.2">
      <c r="B1443" s="305"/>
      <c r="C1443" s="75" t="s">
        <v>685</v>
      </c>
      <c r="D1443" s="83">
        <f>VLOOKUP(C1443,基本字段定义!$B$3:$C$3013,2,FALSE)</f>
        <v>722</v>
      </c>
      <c r="E1443" s="77" t="s">
        <v>365</v>
      </c>
      <c r="F1443" s="77"/>
      <c r="G1443" s="78" t="s">
        <v>686</v>
      </c>
    </row>
    <row r="1445" spans="2:7" x14ac:dyDescent="0.15">
      <c r="B1445" s="57" t="s">
        <v>163</v>
      </c>
      <c r="C1445" s="84">
        <v>104212</v>
      </c>
      <c r="D1445" s="85"/>
      <c r="E1445" s="86"/>
      <c r="F1445" s="58" t="s">
        <v>352</v>
      </c>
      <c r="G1445" s="59">
        <v>20140313</v>
      </c>
    </row>
    <row r="1446" spans="2:7" x14ac:dyDescent="0.15">
      <c r="B1446" s="60" t="s">
        <v>353</v>
      </c>
      <c r="C1446" s="87" t="str">
        <f>VLOOKUP(C1445,功能索引!$C$3:$D$278,2,FALSE)</f>
        <v>查询北交所做市行情</v>
      </c>
      <c r="D1446" s="88"/>
      <c r="E1446" s="89"/>
      <c r="F1446" s="61" t="s">
        <v>165</v>
      </c>
      <c r="G1446" s="62" t="str">
        <f>VLOOKUP(C1445,功能索引!$C$3:$E1822,3,FALSE)</f>
        <v>Y</v>
      </c>
    </row>
    <row r="1447" spans="2:7" x14ac:dyDescent="0.15">
      <c r="B1447" s="300" t="s">
        <v>354</v>
      </c>
      <c r="C1447" s="99"/>
      <c r="D1447" s="100"/>
      <c r="E1447" s="100"/>
      <c r="F1447" s="100"/>
      <c r="G1447" s="101"/>
    </row>
    <row r="1448" spans="2:7" ht="14.25" thickBot="1" x14ac:dyDescent="0.2">
      <c r="B1448" s="305"/>
      <c r="C1448" s="102"/>
      <c r="D1448" s="103"/>
      <c r="E1448" s="103"/>
      <c r="F1448" s="103"/>
      <c r="G1448" s="104"/>
    </row>
    <row r="1449" spans="2:7" x14ac:dyDescent="0.15">
      <c r="B1449" s="315" t="s">
        <v>355</v>
      </c>
      <c r="C1449" s="58" t="s">
        <v>356</v>
      </c>
      <c r="D1449" s="58" t="s">
        <v>357</v>
      </c>
      <c r="E1449" s="58" t="s">
        <v>358</v>
      </c>
      <c r="F1449" s="58" t="s">
        <v>359</v>
      </c>
      <c r="G1449" s="64" t="s">
        <v>360</v>
      </c>
    </row>
    <row r="1450" spans="2:7" x14ac:dyDescent="0.15">
      <c r="B1450" s="301"/>
      <c r="C1450" s="65" t="s">
        <v>666</v>
      </c>
      <c r="D1450" s="66">
        <f>VLOOKUP(C1450,基本字段定义!$B$3:$C$3013,2,FALSE)</f>
        <v>719</v>
      </c>
      <c r="E1450" s="67" t="s">
        <v>365</v>
      </c>
      <c r="F1450" s="67" t="s">
        <v>169</v>
      </c>
      <c r="G1450" s="68" t="s">
        <v>683</v>
      </c>
    </row>
    <row r="1451" spans="2:7" x14ac:dyDescent="0.15">
      <c r="B1451" s="301"/>
      <c r="C1451" s="65" t="s">
        <v>806</v>
      </c>
      <c r="D1451" s="66">
        <f>VLOOKUP(C1451,基本字段定义!$B$3:$C$3013,2,FALSE)</f>
        <v>683</v>
      </c>
      <c r="E1451" s="67" t="s">
        <v>363</v>
      </c>
      <c r="F1451" s="67"/>
      <c r="G1451" s="68" t="s">
        <v>1013</v>
      </c>
    </row>
    <row r="1452" spans="2:7" x14ac:dyDescent="0.15">
      <c r="B1452" s="300" t="s">
        <v>361</v>
      </c>
      <c r="C1452" s="69" t="s">
        <v>806</v>
      </c>
      <c r="D1452" s="70">
        <f>VLOOKUP(C1452,基本字段定义!$B$3:$C$3013,2,FALSE)</f>
        <v>683</v>
      </c>
      <c r="E1452" s="71" t="s">
        <v>363</v>
      </c>
      <c r="F1452" s="71"/>
      <c r="G1452" s="73" t="s">
        <v>1025</v>
      </c>
    </row>
    <row r="1453" spans="2:7" x14ac:dyDescent="0.15">
      <c r="B1453" s="301"/>
      <c r="C1453" s="69" t="s">
        <v>666</v>
      </c>
      <c r="D1453" s="70">
        <f>VLOOKUP(C1453,基本字段定义!$B$3:$C$3013,2,FALSE)</f>
        <v>719</v>
      </c>
      <c r="E1453" s="71" t="s">
        <v>365</v>
      </c>
      <c r="F1453" s="71"/>
      <c r="G1453" s="73" t="s">
        <v>683</v>
      </c>
    </row>
    <row r="1454" spans="2:7" x14ac:dyDescent="0.15">
      <c r="B1454" s="301"/>
      <c r="C1454" s="69" t="s">
        <v>810</v>
      </c>
      <c r="D1454" s="70">
        <f>VLOOKUP(C1454,基本字段定义!$B$3:$C$3013,2,FALSE)</f>
        <v>684</v>
      </c>
      <c r="E1454" s="71" t="s">
        <v>563</v>
      </c>
      <c r="F1454" s="71"/>
      <c r="G1454" s="73" t="s">
        <v>1018</v>
      </c>
    </row>
    <row r="1455" spans="2:7" x14ac:dyDescent="0.15">
      <c r="B1455" s="301"/>
      <c r="C1455" s="69" t="s">
        <v>812</v>
      </c>
      <c r="D1455" s="70">
        <f>VLOOKUP(C1455,基本字段定义!$B$3:$C$3013,2,FALSE)</f>
        <v>682</v>
      </c>
      <c r="E1455" s="71" t="s">
        <v>563</v>
      </c>
      <c r="F1455" s="71"/>
      <c r="G1455" s="73" t="s">
        <v>1019</v>
      </c>
    </row>
    <row r="1456" spans="2:7" x14ac:dyDescent="0.15">
      <c r="B1456" s="301"/>
      <c r="C1456" s="69" t="s">
        <v>1026</v>
      </c>
      <c r="D1456" s="70">
        <f>VLOOKUP(C1456,基本字段定义!$B$3:$C$3013,2,FALSE)</f>
        <v>3082</v>
      </c>
      <c r="E1456" s="71" t="s">
        <v>365</v>
      </c>
      <c r="F1456" s="71"/>
      <c r="G1456" s="73" t="s">
        <v>1027</v>
      </c>
    </row>
    <row r="1457" spans="2:7" x14ac:dyDescent="0.15">
      <c r="B1457" s="301"/>
      <c r="C1457" s="91" t="s">
        <v>1028</v>
      </c>
      <c r="D1457" s="70">
        <f>VLOOKUP(C1457,基本字段定义!$B$3:$C$3013,2,FALSE)</f>
        <v>1173</v>
      </c>
      <c r="E1457" s="92" t="s">
        <v>365</v>
      </c>
      <c r="F1457" s="92"/>
      <c r="G1457" s="94" t="s">
        <v>1029</v>
      </c>
    </row>
    <row r="1458" spans="2:7" x14ac:dyDescent="0.15">
      <c r="B1458" s="301"/>
      <c r="C1458" s="91" t="s">
        <v>941</v>
      </c>
      <c r="D1458" s="70">
        <f>VLOOKUP(C1458,基本字段定义!$B$3:$C$3013,2,FALSE)</f>
        <v>750</v>
      </c>
      <c r="E1458" s="92" t="s">
        <v>363</v>
      </c>
      <c r="F1458" s="92"/>
      <c r="G1458" s="94" t="s">
        <v>944</v>
      </c>
    </row>
    <row r="1459" spans="2:7" ht="14.25" thickBot="1" x14ac:dyDescent="0.2">
      <c r="B1459" s="305"/>
      <c r="C1459" s="75" t="s">
        <v>685</v>
      </c>
      <c r="D1459" s="83">
        <f>VLOOKUP(C1459,基本字段定义!$B$3:$C$3013,2,FALSE)</f>
        <v>722</v>
      </c>
      <c r="E1459" s="77" t="s">
        <v>365</v>
      </c>
      <c r="F1459" s="77"/>
      <c r="G1459" s="78" t="s">
        <v>686</v>
      </c>
    </row>
    <row r="1461" spans="2:7" x14ac:dyDescent="0.15">
      <c r="B1461" s="57" t="s">
        <v>163</v>
      </c>
      <c r="C1461" s="84">
        <v>204534</v>
      </c>
      <c r="D1461" s="85"/>
      <c r="E1461" s="86"/>
      <c r="F1461" s="58" t="s">
        <v>352</v>
      </c>
      <c r="G1461" s="59">
        <v>20140822</v>
      </c>
    </row>
    <row r="1462" spans="2:7" x14ac:dyDescent="0.15">
      <c r="B1462" s="60" t="s">
        <v>353</v>
      </c>
      <c r="C1462" s="87" t="str">
        <f>VLOOKUP(C1461,功能索引!$C$3:$D$278,2,FALSE)</f>
        <v>港股通投票业务</v>
      </c>
      <c r="D1462" s="88"/>
      <c r="E1462" s="89"/>
      <c r="F1462" s="61" t="s">
        <v>165</v>
      </c>
      <c r="G1462" s="62">
        <f>VLOOKUP(C1461,功能索引!$C$3:$E1748,3,FALSE)</f>
        <v>0</v>
      </c>
    </row>
    <row r="1463" spans="2:7" x14ac:dyDescent="0.15">
      <c r="B1463" s="299" t="s">
        <v>354</v>
      </c>
      <c r="C1463" s="99"/>
      <c r="D1463" s="100"/>
      <c r="E1463" s="100"/>
      <c r="F1463" s="100"/>
      <c r="G1463" s="101"/>
    </row>
    <row r="1464" spans="2:7" ht="14.25" thickBot="1" x14ac:dyDescent="0.2">
      <c r="B1464" s="304"/>
      <c r="C1464" s="102"/>
      <c r="D1464" s="103"/>
      <c r="E1464" s="103"/>
      <c r="F1464" s="103"/>
      <c r="G1464" s="104"/>
    </row>
    <row r="1465" spans="2:7" x14ac:dyDescent="0.15">
      <c r="B1465" s="315" t="s">
        <v>355</v>
      </c>
      <c r="C1465" s="58" t="s">
        <v>356</v>
      </c>
      <c r="D1465" s="58" t="s">
        <v>357</v>
      </c>
      <c r="E1465" s="58" t="s">
        <v>358</v>
      </c>
      <c r="F1465" s="58" t="s">
        <v>359</v>
      </c>
      <c r="G1465" s="64" t="s">
        <v>360</v>
      </c>
    </row>
    <row r="1466" spans="2:7" x14ac:dyDescent="0.15">
      <c r="B1466" s="301"/>
      <c r="C1466" s="65" t="s">
        <v>428</v>
      </c>
      <c r="D1466" s="66">
        <f>VLOOKUP(C1466,基本字段定义!$B$3:$C$3013,2,FALSE)</f>
        <v>605</v>
      </c>
      <c r="E1466" s="67" t="s">
        <v>429</v>
      </c>
      <c r="F1466" s="67" t="s">
        <v>169</v>
      </c>
      <c r="G1466" s="68" t="s">
        <v>430</v>
      </c>
    </row>
    <row r="1467" spans="2:7" x14ac:dyDescent="0.15">
      <c r="B1467" s="301"/>
      <c r="C1467" s="65" t="s">
        <v>437</v>
      </c>
      <c r="D1467" s="66">
        <f>VLOOKUP(C1467,基本字段定义!$B$3:$C$3013,2,FALSE)</f>
        <v>598</v>
      </c>
      <c r="E1467" s="67" t="s">
        <v>438</v>
      </c>
      <c r="F1467" s="67" t="s">
        <v>169</v>
      </c>
      <c r="G1467" s="68" t="s">
        <v>482</v>
      </c>
    </row>
    <row r="1468" spans="2:7" x14ac:dyDescent="0.15">
      <c r="B1468" s="301"/>
      <c r="C1468" s="65" t="s">
        <v>440</v>
      </c>
      <c r="D1468" s="66">
        <f>VLOOKUP(C1468,基本字段定义!$B$3:$C$3013,2,FALSE)</f>
        <v>781</v>
      </c>
      <c r="E1468" s="67" t="s">
        <v>363</v>
      </c>
      <c r="F1468" s="67" t="s">
        <v>169</v>
      </c>
      <c r="G1468" s="68" t="s">
        <v>441</v>
      </c>
    </row>
    <row r="1469" spans="2:7" x14ac:dyDescent="0.15">
      <c r="B1469" s="301"/>
      <c r="C1469" s="65" t="s">
        <v>431</v>
      </c>
      <c r="D1469" s="66">
        <f>VLOOKUP(C1469,基本字段定义!$B$3:$C$3013,2,FALSE)</f>
        <v>571</v>
      </c>
      <c r="E1469" s="67" t="s">
        <v>432</v>
      </c>
      <c r="F1469" s="67" t="s">
        <v>169</v>
      </c>
      <c r="G1469" s="68" t="s">
        <v>433</v>
      </c>
    </row>
    <row r="1470" spans="2:7" x14ac:dyDescent="0.15">
      <c r="B1470" s="301"/>
      <c r="C1470" s="65" t="s">
        <v>387</v>
      </c>
      <c r="D1470" s="66">
        <f>VLOOKUP(C1470,基本字段定义!$B$3:$C$3013,2,FALSE)</f>
        <v>599</v>
      </c>
      <c r="E1470" s="67" t="s">
        <v>388</v>
      </c>
      <c r="F1470" s="67" t="s">
        <v>169</v>
      </c>
      <c r="G1470" s="68" t="s">
        <v>389</v>
      </c>
    </row>
    <row r="1471" spans="2:7" x14ac:dyDescent="0.15">
      <c r="B1471" s="301"/>
      <c r="C1471" s="65" t="s">
        <v>666</v>
      </c>
      <c r="D1471" s="66">
        <f>VLOOKUP(C1471,基本字段定义!$B$3:$C$3013,2,FALSE)</f>
        <v>719</v>
      </c>
      <c r="E1471" s="67" t="s">
        <v>506</v>
      </c>
      <c r="F1471" s="67" t="s">
        <v>169</v>
      </c>
      <c r="G1471" s="68" t="s">
        <v>683</v>
      </c>
    </row>
    <row r="1472" spans="2:7" x14ac:dyDescent="0.15">
      <c r="B1472" s="301"/>
      <c r="C1472" s="65" t="s">
        <v>875</v>
      </c>
      <c r="D1472" s="66">
        <f>VLOOKUP(C1472,基本字段定义!$B$3:$C$3013,2,FALSE)</f>
        <v>595</v>
      </c>
      <c r="E1472" s="67" t="s">
        <v>363</v>
      </c>
      <c r="F1472" s="67" t="s">
        <v>169</v>
      </c>
      <c r="G1472" s="68" t="s">
        <v>1030</v>
      </c>
    </row>
    <row r="1473" spans="2:7" x14ac:dyDescent="0.15">
      <c r="B1473" s="301"/>
      <c r="C1473" s="65" t="s">
        <v>1031</v>
      </c>
      <c r="D1473" s="66">
        <f>VLOOKUP(C1473,基本字段定义!$B$3:$C$3013,2,FALSE)</f>
        <v>3030</v>
      </c>
      <c r="E1473" s="67" t="s">
        <v>487</v>
      </c>
      <c r="F1473" s="67" t="s">
        <v>169</v>
      </c>
      <c r="G1473" s="68" t="s">
        <v>1032</v>
      </c>
    </row>
    <row r="1474" spans="2:7" x14ac:dyDescent="0.15">
      <c r="B1474" s="301"/>
      <c r="C1474" s="65" t="s">
        <v>1033</v>
      </c>
      <c r="D1474" s="66">
        <f>VLOOKUP(C1474,基本字段定义!$B$3:$C$3013,2,FALSE)</f>
        <v>2329</v>
      </c>
      <c r="E1474" s="67" t="s">
        <v>487</v>
      </c>
      <c r="F1474" s="67" t="s">
        <v>169</v>
      </c>
      <c r="G1474" s="68" t="s">
        <v>1034</v>
      </c>
    </row>
    <row r="1475" spans="2:7" x14ac:dyDescent="0.15">
      <c r="B1475" s="301"/>
      <c r="C1475" s="65" t="s">
        <v>733</v>
      </c>
      <c r="D1475" s="66">
        <f>VLOOKUP(C1475,基本字段定义!$B$3:$C$3013,2,FALSE)</f>
        <v>843</v>
      </c>
      <c r="E1475" s="67" t="s">
        <v>438</v>
      </c>
      <c r="F1475" s="67" t="s">
        <v>169</v>
      </c>
      <c r="G1475" s="68" t="s">
        <v>1035</v>
      </c>
    </row>
    <row r="1476" spans="2:7" x14ac:dyDescent="0.15">
      <c r="B1476" s="301"/>
      <c r="C1476" s="65" t="s">
        <v>735</v>
      </c>
      <c r="D1476" s="66">
        <f>VLOOKUP(C1476,基本字段定义!$B$3:$C$3013,2,FALSE)</f>
        <v>845</v>
      </c>
      <c r="E1476" s="67" t="s">
        <v>438</v>
      </c>
      <c r="F1476" s="67" t="s">
        <v>169</v>
      </c>
      <c r="G1476" s="68" t="s">
        <v>1036</v>
      </c>
    </row>
    <row r="1477" spans="2:7" x14ac:dyDescent="0.15">
      <c r="B1477" s="301"/>
      <c r="C1477" s="65" t="s">
        <v>737</v>
      </c>
      <c r="D1477" s="66">
        <f>VLOOKUP(C1477,基本字段定义!$B$3:$C$3013,2,FALSE)</f>
        <v>847</v>
      </c>
      <c r="E1477" s="67" t="s">
        <v>438</v>
      </c>
      <c r="F1477" s="67" t="s">
        <v>169</v>
      </c>
      <c r="G1477" s="68" t="s">
        <v>1037</v>
      </c>
    </row>
    <row r="1478" spans="2:7" x14ac:dyDescent="0.15">
      <c r="B1478" s="301"/>
      <c r="C1478" s="65" t="s">
        <v>810</v>
      </c>
      <c r="D1478" s="66">
        <f>VLOOKUP(C1478,基本字段定义!$B$3:$C$3013,2,FALSE)</f>
        <v>684</v>
      </c>
      <c r="E1478" s="67" t="s">
        <v>363</v>
      </c>
      <c r="F1478" s="67"/>
      <c r="G1478" s="68" t="s">
        <v>1038</v>
      </c>
    </row>
    <row r="1479" spans="2:7" x14ac:dyDescent="0.15">
      <c r="B1479" s="301"/>
      <c r="C1479" s="65" t="s">
        <v>812</v>
      </c>
      <c r="D1479" s="66">
        <f>VLOOKUP(C1479,基本字段定义!$B$3:$C$3013,2,FALSE)</f>
        <v>682</v>
      </c>
      <c r="E1479" s="67" t="s">
        <v>563</v>
      </c>
      <c r="F1479" s="67"/>
      <c r="G1479" s="68" t="s">
        <v>813</v>
      </c>
    </row>
    <row r="1480" spans="2:7" x14ac:dyDescent="0.15">
      <c r="B1480" s="301"/>
      <c r="C1480" s="65" t="s">
        <v>893</v>
      </c>
      <c r="D1480" s="66">
        <f>VLOOKUP(C1480,基本字段定义!$B$3:$C$3013,2,FALSE)</f>
        <v>1013</v>
      </c>
      <c r="E1480" s="67" t="s">
        <v>363</v>
      </c>
      <c r="F1480" s="67"/>
      <c r="G1480" s="68" t="s">
        <v>898</v>
      </c>
    </row>
    <row r="1481" spans="2:7" x14ac:dyDescent="0.15">
      <c r="B1481" s="301"/>
      <c r="C1481" s="65" t="s">
        <v>899</v>
      </c>
      <c r="D1481" s="66">
        <f>VLOOKUP(C1481,基本字段定义!$B$3:$C$3013,2,FALSE)</f>
        <v>1536</v>
      </c>
      <c r="E1481" s="67" t="s">
        <v>363</v>
      </c>
      <c r="F1481" s="67"/>
      <c r="G1481" s="68" t="s">
        <v>900</v>
      </c>
    </row>
    <row r="1482" spans="2:7" x14ac:dyDescent="0.15">
      <c r="B1482" s="299" t="s">
        <v>361</v>
      </c>
      <c r="C1482" s="69" t="s">
        <v>362</v>
      </c>
      <c r="D1482" s="70">
        <f>VLOOKUP(C1482,基本字段定义!$B$3:$C$3013,2,FALSE)</f>
        <v>507</v>
      </c>
      <c r="E1482" s="71" t="s">
        <v>363</v>
      </c>
      <c r="F1482" s="71"/>
      <c r="G1482" s="72"/>
    </row>
    <row r="1483" spans="2:7" x14ac:dyDescent="0.15">
      <c r="B1483" s="299"/>
      <c r="C1483" s="69" t="s">
        <v>364</v>
      </c>
      <c r="D1483" s="70">
        <f>VLOOKUP(C1483,基本字段定义!$B$3:$C$3013,2,FALSE)</f>
        <v>508</v>
      </c>
      <c r="E1483" s="71" t="s">
        <v>365</v>
      </c>
      <c r="F1483" s="71"/>
      <c r="G1483" s="73"/>
    </row>
    <row r="1484" spans="2:7" x14ac:dyDescent="0.15">
      <c r="B1484" s="299"/>
      <c r="C1484" s="69" t="s">
        <v>916</v>
      </c>
      <c r="D1484" s="70">
        <f>VLOOKUP(C1484,基本字段定义!$B$3:$C$3013,2,FALSE)</f>
        <v>681</v>
      </c>
      <c r="E1484" s="71" t="s">
        <v>363</v>
      </c>
      <c r="F1484" s="71"/>
      <c r="G1484" s="73" t="s">
        <v>917</v>
      </c>
    </row>
    <row r="1485" spans="2:7" ht="14.25" thickBot="1" x14ac:dyDescent="0.2">
      <c r="B1485" s="304"/>
      <c r="C1485" s="75"/>
      <c r="D1485" s="83"/>
      <c r="E1485" s="77"/>
      <c r="F1485" s="77"/>
      <c r="G1485" s="78"/>
    </row>
    <row r="1487" spans="2:7" x14ac:dyDescent="0.15">
      <c r="B1487" s="57" t="s">
        <v>163</v>
      </c>
      <c r="C1487" s="84">
        <v>204535</v>
      </c>
      <c r="D1487" s="85"/>
      <c r="E1487" s="86"/>
      <c r="F1487" s="58" t="s">
        <v>352</v>
      </c>
      <c r="G1487" s="59">
        <v>20140829</v>
      </c>
    </row>
    <row r="1488" spans="2:7" x14ac:dyDescent="0.15">
      <c r="B1488" s="60" t="s">
        <v>353</v>
      </c>
      <c r="C1488" s="87" t="str">
        <f>VLOOKUP(C1487,功能索引!$C$3:$D$278,2,FALSE)</f>
        <v>港股通红利选择权</v>
      </c>
      <c r="D1488" s="88"/>
      <c r="E1488" s="89"/>
      <c r="F1488" s="61" t="s">
        <v>165</v>
      </c>
      <c r="G1488" s="62">
        <f>VLOOKUP(C1487,功能索引!$C$3:$E1777,3,FALSE)</f>
        <v>0</v>
      </c>
    </row>
    <row r="1489" spans="2:7" x14ac:dyDescent="0.15">
      <c r="B1489" s="299" t="s">
        <v>354</v>
      </c>
      <c r="C1489" s="99"/>
      <c r="D1489" s="100"/>
      <c r="E1489" s="100"/>
      <c r="F1489" s="100"/>
      <c r="G1489" s="101"/>
    </row>
    <row r="1490" spans="2:7" ht="14.25" thickBot="1" x14ac:dyDescent="0.2">
      <c r="B1490" s="304"/>
      <c r="C1490" s="102"/>
      <c r="D1490" s="103"/>
      <c r="E1490" s="103"/>
      <c r="F1490" s="103"/>
      <c r="G1490" s="104"/>
    </row>
    <row r="1491" spans="2:7" x14ac:dyDescent="0.15">
      <c r="B1491" s="315" t="s">
        <v>355</v>
      </c>
      <c r="C1491" s="58" t="s">
        <v>356</v>
      </c>
      <c r="D1491" s="58" t="s">
        <v>357</v>
      </c>
      <c r="E1491" s="58" t="s">
        <v>358</v>
      </c>
      <c r="F1491" s="58" t="s">
        <v>359</v>
      </c>
      <c r="G1491" s="64" t="s">
        <v>360</v>
      </c>
    </row>
    <row r="1492" spans="2:7" x14ac:dyDescent="0.15">
      <c r="B1492" s="301"/>
      <c r="C1492" s="65" t="s">
        <v>428</v>
      </c>
      <c r="D1492" s="66">
        <f>VLOOKUP(C1492,基本字段定义!$B$3:$C$3013,2,FALSE)</f>
        <v>605</v>
      </c>
      <c r="E1492" s="67" t="s">
        <v>429</v>
      </c>
      <c r="F1492" s="67" t="s">
        <v>169</v>
      </c>
      <c r="G1492" s="68" t="s">
        <v>430</v>
      </c>
    </row>
    <row r="1493" spans="2:7" x14ac:dyDescent="0.15">
      <c r="B1493" s="301"/>
      <c r="C1493" s="65" t="s">
        <v>437</v>
      </c>
      <c r="D1493" s="66">
        <f>VLOOKUP(C1493,基本字段定义!$B$3:$C$3013,2,FALSE)</f>
        <v>598</v>
      </c>
      <c r="E1493" s="67" t="s">
        <v>438</v>
      </c>
      <c r="F1493" s="67" t="s">
        <v>169</v>
      </c>
      <c r="G1493" s="68" t="s">
        <v>482</v>
      </c>
    </row>
    <row r="1494" spans="2:7" x14ac:dyDescent="0.15">
      <c r="B1494" s="301"/>
      <c r="C1494" s="65" t="s">
        <v>440</v>
      </c>
      <c r="D1494" s="66">
        <f>VLOOKUP(C1494,基本字段定义!$B$3:$C$3013,2,FALSE)</f>
        <v>781</v>
      </c>
      <c r="E1494" s="67" t="s">
        <v>363</v>
      </c>
      <c r="F1494" s="67" t="s">
        <v>169</v>
      </c>
      <c r="G1494" s="68" t="s">
        <v>441</v>
      </c>
    </row>
    <row r="1495" spans="2:7" x14ac:dyDescent="0.15">
      <c r="B1495" s="301"/>
      <c r="C1495" s="65" t="s">
        <v>431</v>
      </c>
      <c r="D1495" s="66">
        <f>VLOOKUP(C1495,基本字段定义!$B$3:$C$3013,2,FALSE)</f>
        <v>571</v>
      </c>
      <c r="E1495" s="67" t="s">
        <v>432</v>
      </c>
      <c r="F1495" s="67" t="s">
        <v>169</v>
      </c>
      <c r="G1495" s="68" t="s">
        <v>433</v>
      </c>
    </row>
    <row r="1496" spans="2:7" x14ac:dyDescent="0.15">
      <c r="B1496" s="301"/>
      <c r="C1496" s="65" t="s">
        <v>387</v>
      </c>
      <c r="D1496" s="66">
        <f>VLOOKUP(C1496,基本字段定义!$B$3:$C$3013,2,FALSE)</f>
        <v>599</v>
      </c>
      <c r="E1496" s="67" t="s">
        <v>388</v>
      </c>
      <c r="F1496" s="67" t="s">
        <v>169</v>
      </c>
      <c r="G1496" s="68" t="s">
        <v>389</v>
      </c>
    </row>
    <row r="1497" spans="2:7" x14ac:dyDescent="0.15">
      <c r="B1497" s="301"/>
      <c r="C1497" s="65" t="s">
        <v>666</v>
      </c>
      <c r="D1497" s="66">
        <f>VLOOKUP(C1497,基本字段定义!$B$3:$C$3013,2,FALSE)</f>
        <v>719</v>
      </c>
      <c r="E1497" s="67" t="s">
        <v>506</v>
      </c>
      <c r="F1497" s="67" t="s">
        <v>169</v>
      </c>
      <c r="G1497" s="68" t="s">
        <v>683</v>
      </c>
    </row>
    <row r="1498" spans="2:7" x14ac:dyDescent="0.15">
      <c r="B1498" s="301"/>
      <c r="C1498" s="65" t="s">
        <v>875</v>
      </c>
      <c r="D1498" s="66">
        <f>VLOOKUP(C1498,基本字段定义!$B$3:$C$3013,2,FALSE)</f>
        <v>595</v>
      </c>
      <c r="E1498" s="67" t="s">
        <v>363</v>
      </c>
      <c r="F1498" s="67" t="s">
        <v>169</v>
      </c>
      <c r="G1498" s="68" t="s">
        <v>1039</v>
      </c>
    </row>
    <row r="1499" spans="2:7" x14ac:dyDescent="0.15">
      <c r="B1499" s="301"/>
      <c r="C1499" s="65" t="s">
        <v>810</v>
      </c>
      <c r="D1499" s="66">
        <f>VLOOKUP(C1499,基本字段定义!$B$3:$C$3013,2,FALSE)</f>
        <v>684</v>
      </c>
      <c r="E1499" s="67" t="s">
        <v>363</v>
      </c>
      <c r="F1499" s="67" t="s">
        <v>169</v>
      </c>
      <c r="G1499" s="68" t="s">
        <v>811</v>
      </c>
    </row>
    <row r="1500" spans="2:7" ht="12.75" customHeight="1" x14ac:dyDescent="0.15">
      <c r="B1500" s="301"/>
      <c r="C1500" s="65" t="s">
        <v>812</v>
      </c>
      <c r="D1500" s="66">
        <f>VLOOKUP(C1500,基本字段定义!$B$3:$C$3013,2,FALSE)</f>
        <v>682</v>
      </c>
      <c r="E1500" s="67" t="s">
        <v>563</v>
      </c>
      <c r="F1500" s="67" t="s">
        <v>169</v>
      </c>
      <c r="G1500" s="68" t="s">
        <v>1040</v>
      </c>
    </row>
    <row r="1501" spans="2:7" ht="12.75" customHeight="1" x14ac:dyDescent="0.15">
      <c r="B1501" s="301"/>
      <c r="C1501" s="65" t="s">
        <v>1031</v>
      </c>
      <c r="D1501" s="66">
        <f>VLOOKUP(C1501,基本字段定义!$B$3:$C$3013,2,FALSE)</f>
        <v>3030</v>
      </c>
      <c r="E1501" s="67" t="s">
        <v>487</v>
      </c>
      <c r="F1501" s="67" t="s">
        <v>169</v>
      </c>
      <c r="G1501" s="68" t="s">
        <v>1041</v>
      </c>
    </row>
    <row r="1502" spans="2:7" x14ac:dyDescent="0.15">
      <c r="B1502" s="301"/>
      <c r="C1502" s="65" t="s">
        <v>893</v>
      </c>
      <c r="D1502" s="66">
        <f>VLOOKUP(C1502,基本字段定义!$B$3:$C$3013,2,FALSE)</f>
        <v>1013</v>
      </c>
      <c r="E1502" s="67" t="s">
        <v>363</v>
      </c>
      <c r="F1502" s="67"/>
      <c r="G1502" s="68" t="s">
        <v>898</v>
      </c>
    </row>
    <row r="1503" spans="2:7" ht="15.75" customHeight="1" x14ac:dyDescent="0.15">
      <c r="B1503" s="301"/>
      <c r="C1503" s="65" t="s">
        <v>899</v>
      </c>
      <c r="D1503" s="66">
        <f>VLOOKUP(C1503,基本字段定义!$B$3:$C$3013,2,FALSE)</f>
        <v>1536</v>
      </c>
      <c r="E1503" s="67" t="s">
        <v>363</v>
      </c>
      <c r="F1503" s="67"/>
      <c r="G1503" s="68" t="s">
        <v>900</v>
      </c>
    </row>
    <row r="1504" spans="2:7" x14ac:dyDescent="0.15">
      <c r="B1504" s="299" t="s">
        <v>361</v>
      </c>
      <c r="C1504" s="69" t="s">
        <v>362</v>
      </c>
      <c r="D1504" s="70">
        <f>VLOOKUP(C1504,基本字段定义!$B$3:$C$3013,2,FALSE)</f>
        <v>507</v>
      </c>
      <c r="E1504" s="71" t="s">
        <v>363</v>
      </c>
      <c r="F1504" s="71"/>
      <c r="G1504" s="72"/>
    </row>
    <row r="1505" spans="2:7" x14ac:dyDescent="0.15">
      <c r="B1505" s="299"/>
      <c r="C1505" s="69" t="s">
        <v>364</v>
      </c>
      <c r="D1505" s="70">
        <f>VLOOKUP(C1505,基本字段定义!$B$3:$C$3013,2,FALSE)</f>
        <v>508</v>
      </c>
      <c r="E1505" s="71" t="s">
        <v>365</v>
      </c>
      <c r="F1505" s="71"/>
      <c r="G1505" s="73"/>
    </row>
    <row r="1506" spans="2:7" x14ac:dyDescent="0.15">
      <c r="B1506" s="299"/>
      <c r="C1506" s="69" t="s">
        <v>916</v>
      </c>
      <c r="D1506" s="70">
        <f>VLOOKUP(C1506,基本字段定义!$B$3:$C$3013,2,FALSE)</f>
        <v>681</v>
      </c>
      <c r="E1506" s="71" t="s">
        <v>363</v>
      </c>
      <c r="F1506" s="71"/>
      <c r="G1506" s="73" t="s">
        <v>917</v>
      </c>
    </row>
    <row r="1507" spans="2:7" ht="14.25" thickBot="1" x14ac:dyDescent="0.2">
      <c r="B1507" s="304"/>
      <c r="C1507" s="75"/>
      <c r="D1507" s="83"/>
      <c r="E1507" s="77"/>
      <c r="F1507" s="77"/>
      <c r="G1507" s="78"/>
    </row>
    <row r="1509" spans="2:7" x14ac:dyDescent="0.15">
      <c r="B1509" s="57" t="s">
        <v>163</v>
      </c>
      <c r="C1509" s="84">
        <v>204536</v>
      </c>
      <c r="D1509" s="85"/>
      <c r="E1509" s="86"/>
      <c r="F1509" s="58" t="s">
        <v>352</v>
      </c>
      <c r="G1509" s="59">
        <v>20140829</v>
      </c>
    </row>
    <row r="1510" spans="2:7" x14ac:dyDescent="0.15">
      <c r="B1510" s="60" t="s">
        <v>353</v>
      </c>
      <c r="C1510" s="87" t="str">
        <f>VLOOKUP(C1509,功能索引!$C$3:$D$278,2,FALSE)</f>
        <v>港股通公司收购业务</v>
      </c>
      <c r="D1510" s="88"/>
      <c r="E1510" s="89"/>
      <c r="F1510" s="61" t="s">
        <v>165</v>
      </c>
      <c r="G1510" s="62">
        <f>VLOOKUP(C1509,功能索引!$C$3:$E1806,3,FALSE)</f>
        <v>0</v>
      </c>
    </row>
    <row r="1511" spans="2:7" x14ac:dyDescent="0.15">
      <c r="B1511" s="299" t="s">
        <v>354</v>
      </c>
      <c r="C1511" s="292"/>
      <c r="D1511" s="293"/>
      <c r="E1511" s="293"/>
      <c r="F1511" s="293"/>
      <c r="G1511" s="294"/>
    </row>
    <row r="1512" spans="2:7" ht="14.25" thickBot="1" x14ac:dyDescent="0.2">
      <c r="B1512" s="304"/>
      <c r="C1512" s="295"/>
      <c r="D1512" s="296"/>
      <c r="E1512" s="296"/>
      <c r="F1512" s="296"/>
      <c r="G1512" s="297"/>
    </row>
    <row r="1513" spans="2:7" x14ac:dyDescent="0.15">
      <c r="B1513" s="315" t="s">
        <v>355</v>
      </c>
      <c r="C1513" s="58" t="s">
        <v>356</v>
      </c>
      <c r="D1513" s="58" t="s">
        <v>357</v>
      </c>
      <c r="E1513" s="58" t="s">
        <v>358</v>
      </c>
      <c r="F1513" s="58" t="s">
        <v>359</v>
      </c>
      <c r="G1513" s="64" t="s">
        <v>360</v>
      </c>
    </row>
    <row r="1514" spans="2:7" x14ac:dyDescent="0.15">
      <c r="B1514" s="301"/>
      <c r="C1514" s="65" t="s">
        <v>428</v>
      </c>
      <c r="D1514" s="66">
        <f>VLOOKUP(C1514,基本字段定义!$B$3:$C$3013,2,FALSE)</f>
        <v>605</v>
      </c>
      <c r="E1514" s="67" t="s">
        <v>429</v>
      </c>
      <c r="F1514" s="67" t="s">
        <v>169</v>
      </c>
      <c r="G1514" s="68" t="s">
        <v>430</v>
      </c>
    </row>
    <row r="1515" spans="2:7" x14ac:dyDescent="0.15">
      <c r="B1515" s="301"/>
      <c r="C1515" s="65" t="s">
        <v>437</v>
      </c>
      <c r="D1515" s="66">
        <f>VLOOKUP(C1515,基本字段定义!$B$3:$C$3013,2,FALSE)</f>
        <v>598</v>
      </c>
      <c r="E1515" s="67" t="s">
        <v>438</v>
      </c>
      <c r="F1515" s="67" t="s">
        <v>169</v>
      </c>
      <c r="G1515" s="68" t="s">
        <v>482</v>
      </c>
    </row>
    <row r="1516" spans="2:7" x14ac:dyDescent="0.15">
      <c r="B1516" s="301"/>
      <c r="C1516" s="65" t="s">
        <v>440</v>
      </c>
      <c r="D1516" s="66">
        <f>VLOOKUP(C1516,基本字段定义!$B$3:$C$3013,2,FALSE)</f>
        <v>781</v>
      </c>
      <c r="E1516" s="67" t="s">
        <v>363</v>
      </c>
      <c r="F1516" s="67" t="s">
        <v>169</v>
      </c>
      <c r="G1516" s="68" t="s">
        <v>441</v>
      </c>
    </row>
    <row r="1517" spans="2:7" x14ac:dyDescent="0.15">
      <c r="B1517" s="301"/>
      <c r="C1517" s="65" t="s">
        <v>431</v>
      </c>
      <c r="D1517" s="66">
        <f>VLOOKUP(C1517,基本字段定义!$B$3:$C$3013,2,FALSE)</f>
        <v>571</v>
      </c>
      <c r="E1517" s="67" t="s">
        <v>432</v>
      </c>
      <c r="F1517" s="67" t="s">
        <v>169</v>
      </c>
      <c r="G1517" s="68" t="s">
        <v>433</v>
      </c>
    </row>
    <row r="1518" spans="2:7" x14ac:dyDescent="0.15">
      <c r="B1518" s="301"/>
      <c r="C1518" s="65" t="s">
        <v>387</v>
      </c>
      <c r="D1518" s="66">
        <f>VLOOKUP(C1518,基本字段定义!$B$3:$C$3013,2,FALSE)</f>
        <v>599</v>
      </c>
      <c r="E1518" s="67" t="s">
        <v>388</v>
      </c>
      <c r="F1518" s="67" t="s">
        <v>169</v>
      </c>
      <c r="G1518" s="68" t="s">
        <v>389</v>
      </c>
    </row>
    <row r="1519" spans="2:7" x14ac:dyDescent="0.15">
      <c r="B1519" s="301"/>
      <c r="C1519" s="65" t="s">
        <v>666</v>
      </c>
      <c r="D1519" s="66">
        <f>VLOOKUP(C1519,基本字段定义!$B$3:$C$3013,2,FALSE)</f>
        <v>719</v>
      </c>
      <c r="E1519" s="67" t="s">
        <v>506</v>
      </c>
      <c r="F1519" s="67" t="s">
        <v>169</v>
      </c>
      <c r="G1519" s="68" t="s">
        <v>683</v>
      </c>
    </row>
    <row r="1520" spans="2:7" x14ac:dyDescent="0.15">
      <c r="B1520" s="301"/>
      <c r="C1520" s="65" t="s">
        <v>875</v>
      </c>
      <c r="D1520" s="66">
        <f>VLOOKUP(C1520,基本字段定义!$B$3:$C$3013,2,FALSE)</f>
        <v>595</v>
      </c>
      <c r="E1520" s="67" t="s">
        <v>363</v>
      </c>
      <c r="F1520" s="67" t="s">
        <v>169</v>
      </c>
      <c r="G1520" s="68" t="s">
        <v>1042</v>
      </c>
    </row>
    <row r="1521" spans="2:7" ht="15" customHeight="1" x14ac:dyDescent="0.15">
      <c r="B1521" s="301"/>
      <c r="C1521" s="65" t="s">
        <v>810</v>
      </c>
      <c r="D1521" s="66">
        <f>VLOOKUP(C1521,基本字段定义!$B$3:$C$3013,2,FALSE)</f>
        <v>684</v>
      </c>
      <c r="E1521" s="67" t="s">
        <v>363</v>
      </c>
      <c r="F1521" s="67" t="s">
        <v>169</v>
      </c>
      <c r="G1521" s="68" t="s">
        <v>811</v>
      </c>
    </row>
    <row r="1522" spans="2:7" ht="12.75" customHeight="1" x14ac:dyDescent="0.15">
      <c r="B1522" s="301"/>
      <c r="C1522" s="65" t="s">
        <v>1031</v>
      </c>
      <c r="D1522" s="66">
        <f>VLOOKUP(C1522,基本字段定义!$B$3:$C$3013,2,FALSE)</f>
        <v>3030</v>
      </c>
      <c r="E1522" s="67" t="s">
        <v>487</v>
      </c>
      <c r="F1522" s="67" t="s">
        <v>169</v>
      </c>
      <c r="G1522" s="68" t="s">
        <v>1041</v>
      </c>
    </row>
    <row r="1523" spans="2:7" x14ac:dyDescent="0.15">
      <c r="B1523" s="301"/>
      <c r="C1523" s="65" t="s">
        <v>812</v>
      </c>
      <c r="D1523" s="66">
        <f>VLOOKUP(C1523,基本字段定义!$B$3:$C$3013,2,FALSE)</f>
        <v>682</v>
      </c>
      <c r="E1523" s="67" t="s">
        <v>563</v>
      </c>
      <c r="F1523" s="67"/>
      <c r="G1523" s="68" t="s">
        <v>1043</v>
      </c>
    </row>
    <row r="1524" spans="2:7" x14ac:dyDescent="0.15">
      <c r="B1524" s="301"/>
      <c r="C1524" s="65" t="s">
        <v>893</v>
      </c>
      <c r="D1524" s="66">
        <f>VLOOKUP(C1524,基本字段定义!$B$3:$C$3013,2,FALSE)</f>
        <v>1013</v>
      </c>
      <c r="E1524" s="67" t="s">
        <v>363</v>
      </c>
      <c r="F1524" s="67"/>
      <c r="G1524" s="68" t="s">
        <v>898</v>
      </c>
    </row>
    <row r="1525" spans="2:7" x14ac:dyDescent="0.15">
      <c r="B1525" s="301"/>
      <c r="C1525" s="65" t="s">
        <v>899</v>
      </c>
      <c r="D1525" s="66">
        <f>VLOOKUP(C1525,基本字段定义!$B$3:$C$3013,2,FALSE)</f>
        <v>1536</v>
      </c>
      <c r="E1525" s="67" t="s">
        <v>363</v>
      </c>
      <c r="F1525" s="67"/>
      <c r="G1525" s="68" t="s">
        <v>900</v>
      </c>
    </row>
    <row r="1526" spans="2:7" x14ac:dyDescent="0.15">
      <c r="B1526" s="299" t="s">
        <v>361</v>
      </c>
      <c r="C1526" s="69" t="s">
        <v>362</v>
      </c>
      <c r="D1526" s="70">
        <f>VLOOKUP(C1526,基本字段定义!$B$3:$C$3013,2,FALSE)</f>
        <v>507</v>
      </c>
      <c r="E1526" s="71" t="s">
        <v>363</v>
      </c>
      <c r="F1526" s="71"/>
      <c r="G1526" s="72"/>
    </row>
    <row r="1527" spans="2:7" x14ac:dyDescent="0.15">
      <c r="B1527" s="299"/>
      <c r="C1527" s="69" t="s">
        <v>364</v>
      </c>
      <c r="D1527" s="70">
        <f>VLOOKUP(C1527,基本字段定义!$B$3:$C$3013,2,FALSE)</f>
        <v>508</v>
      </c>
      <c r="E1527" s="71" t="s">
        <v>365</v>
      </c>
      <c r="F1527" s="71"/>
      <c r="G1527" s="73"/>
    </row>
    <row r="1528" spans="2:7" x14ac:dyDescent="0.15">
      <c r="B1528" s="299"/>
      <c r="C1528" s="69" t="s">
        <v>916</v>
      </c>
      <c r="D1528" s="70">
        <f>VLOOKUP(C1528,基本字段定义!$B$3:$C$3013,2,FALSE)</f>
        <v>681</v>
      </c>
      <c r="E1528" s="71" t="s">
        <v>363</v>
      </c>
      <c r="F1528" s="71"/>
      <c r="G1528" s="73" t="s">
        <v>917</v>
      </c>
    </row>
    <row r="1529" spans="2:7" ht="14.25" thickBot="1" x14ac:dyDescent="0.2">
      <c r="B1529" s="304"/>
      <c r="C1529" s="75"/>
      <c r="D1529" s="83"/>
      <c r="E1529" s="77"/>
      <c r="F1529" s="77"/>
      <c r="G1529" s="78"/>
    </row>
    <row r="1531" spans="2:7" x14ac:dyDescent="0.15">
      <c r="B1531" s="57" t="s">
        <v>163</v>
      </c>
      <c r="C1531" s="84">
        <v>204539</v>
      </c>
      <c r="D1531" s="85"/>
      <c r="E1531" s="86"/>
      <c r="F1531" s="58" t="s">
        <v>352</v>
      </c>
      <c r="G1531" s="59">
        <v>20140829</v>
      </c>
    </row>
    <row r="1532" spans="2:7" x14ac:dyDescent="0.15">
      <c r="B1532" s="60" t="s">
        <v>353</v>
      </c>
      <c r="C1532" s="87" t="str">
        <f>VLOOKUP(C1531,功能索引!$C$3:$D$278,2,FALSE)</f>
        <v>港股通公司行为信息查询申报</v>
      </c>
      <c r="D1532" s="88"/>
      <c r="E1532" s="89"/>
      <c r="F1532" s="61" t="s">
        <v>165</v>
      </c>
      <c r="G1532" s="62">
        <f>VLOOKUP(C1531,功能索引!$C$3:$E1828,3,FALSE)</f>
        <v>0</v>
      </c>
    </row>
    <row r="1533" spans="2:7" ht="13.5" customHeight="1" x14ac:dyDescent="0.15">
      <c r="B1533" s="299" t="s">
        <v>354</v>
      </c>
      <c r="C1533" s="292" t="s">
        <v>1044</v>
      </c>
      <c r="D1533" s="293"/>
      <c r="E1533" s="293"/>
      <c r="F1533" s="293"/>
      <c r="G1533" s="294"/>
    </row>
    <row r="1534" spans="2:7" ht="14.25" thickBot="1" x14ac:dyDescent="0.2">
      <c r="B1534" s="304"/>
      <c r="C1534" s="295"/>
      <c r="D1534" s="296"/>
      <c r="E1534" s="296"/>
      <c r="F1534" s="296"/>
      <c r="G1534" s="297"/>
    </row>
    <row r="1535" spans="2:7" x14ac:dyDescent="0.15">
      <c r="B1535" s="315" t="s">
        <v>355</v>
      </c>
      <c r="C1535" s="58" t="s">
        <v>356</v>
      </c>
      <c r="D1535" s="58" t="s">
        <v>357</v>
      </c>
      <c r="E1535" s="58" t="s">
        <v>358</v>
      </c>
      <c r="F1535" s="58" t="s">
        <v>359</v>
      </c>
      <c r="G1535" s="64" t="s">
        <v>360</v>
      </c>
    </row>
    <row r="1536" spans="2:7" x14ac:dyDescent="0.15">
      <c r="B1536" s="301"/>
      <c r="C1536" s="65" t="s">
        <v>428</v>
      </c>
      <c r="D1536" s="66">
        <f>VLOOKUP(C1536,基本字段定义!$B$3:$C$3013,2,FALSE)</f>
        <v>605</v>
      </c>
      <c r="E1536" s="67" t="s">
        <v>429</v>
      </c>
      <c r="F1536" s="67" t="s">
        <v>169</v>
      </c>
      <c r="G1536" s="68" t="s">
        <v>430</v>
      </c>
    </row>
    <row r="1537" spans="2:7" x14ac:dyDescent="0.15">
      <c r="B1537" s="301"/>
      <c r="C1537" s="65" t="s">
        <v>437</v>
      </c>
      <c r="D1537" s="66">
        <f>VLOOKUP(C1537,基本字段定义!$B$3:$C$3013,2,FALSE)</f>
        <v>598</v>
      </c>
      <c r="E1537" s="67" t="s">
        <v>438</v>
      </c>
      <c r="F1537" s="67" t="s">
        <v>169</v>
      </c>
      <c r="G1537" s="68" t="s">
        <v>482</v>
      </c>
    </row>
    <row r="1538" spans="2:7" x14ac:dyDescent="0.15">
      <c r="B1538" s="301"/>
      <c r="C1538" s="65" t="s">
        <v>440</v>
      </c>
      <c r="D1538" s="66">
        <f>VLOOKUP(C1538,基本字段定义!$B$3:$C$3013,2,FALSE)</f>
        <v>781</v>
      </c>
      <c r="E1538" s="67" t="s">
        <v>363</v>
      </c>
      <c r="F1538" s="67" t="s">
        <v>169</v>
      </c>
      <c r="G1538" s="68" t="s">
        <v>441</v>
      </c>
    </row>
    <row r="1539" spans="2:7" x14ac:dyDescent="0.15">
      <c r="B1539" s="301"/>
      <c r="C1539" s="65" t="s">
        <v>431</v>
      </c>
      <c r="D1539" s="66">
        <f>VLOOKUP(C1539,基本字段定义!$B$3:$C$3013,2,FALSE)</f>
        <v>571</v>
      </c>
      <c r="E1539" s="67" t="s">
        <v>432</v>
      </c>
      <c r="F1539" s="67" t="s">
        <v>169</v>
      </c>
      <c r="G1539" s="68" t="s">
        <v>433</v>
      </c>
    </row>
    <row r="1540" spans="2:7" x14ac:dyDescent="0.15">
      <c r="B1540" s="301"/>
      <c r="C1540" s="65" t="s">
        <v>387</v>
      </c>
      <c r="D1540" s="66">
        <f>VLOOKUP(C1540,基本字段定义!$B$3:$C$3013,2,FALSE)</f>
        <v>599</v>
      </c>
      <c r="E1540" s="67" t="s">
        <v>388</v>
      </c>
      <c r="F1540" s="67" t="s">
        <v>169</v>
      </c>
      <c r="G1540" s="68" t="s">
        <v>389</v>
      </c>
    </row>
    <row r="1541" spans="2:7" x14ac:dyDescent="0.15">
      <c r="B1541" s="301"/>
      <c r="C1541" s="65" t="s">
        <v>666</v>
      </c>
      <c r="D1541" s="66">
        <f>VLOOKUP(C1541,基本字段定义!$B$3:$C$3013,2,FALSE)</f>
        <v>719</v>
      </c>
      <c r="E1541" s="67" t="s">
        <v>506</v>
      </c>
      <c r="F1541" s="67" t="s">
        <v>169</v>
      </c>
      <c r="G1541" s="68" t="s">
        <v>683</v>
      </c>
    </row>
    <row r="1542" spans="2:7" x14ac:dyDescent="0.15">
      <c r="B1542" s="301"/>
      <c r="C1542" s="65" t="s">
        <v>875</v>
      </c>
      <c r="D1542" s="66">
        <f>VLOOKUP(C1542,基本字段定义!$B$3:$C$3013,2,FALSE)</f>
        <v>595</v>
      </c>
      <c r="E1542" s="67" t="s">
        <v>363</v>
      </c>
      <c r="F1542" s="67" t="s">
        <v>169</v>
      </c>
      <c r="G1542" s="68" t="s">
        <v>1045</v>
      </c>
    </row>
    <row r="1543" spans="2:7" ht="12.75" customHeight="1" x14ac:dyDescent="0.15">
      <c r="B1543" s="301"/>
      <c r="C1543" s="65" t="s">
        <v>1031</v>
      </c>
      <c r="D1543" s="66">
        <f>VLOOKUP(C1543,基本字段定义!$B$3:$C$3013,2,FALSE)</f>
        <v>3030</v>
      </c>
      <c r="E1543" s="67" t="s">
        <v>487</v>
      </c>
      <c r="F1543" s="67" t="s">
        <v>169</v>
      </c>
      <c r="G1543" s="68" t="s">
        <v>1041</v>
      </c>
    </row>
    <row r="1544" spans="2:7" ht="12.75" customHeight="1" x14ac:dyDescent="0.15">
      <c r="B1544" s="301"/>
      <c r="C1544" s="65" t="s">
        <v>1046</v>
      </c>
      <c r="D1544" s="66">
        <f>VLOOKUP(C1544,基本字段定义!$B$3:$C$3013,2,FALSE)</f>
        <v>1676</v>
      </c>
      <c r="E1544" s="67" t="s">
        <v>553</v>
      </c>
      <c r="F1544" s="67" t="s">
        <v>169</v>
      </c>
      <c r="G1544" s="68" t="s">
        <v>1047</v>
      </c>
    </row>
    <row r="1545" spans="2:7" ht="15" customHeight="1" x14ac:dyDescent="0.15">
      <c r="B1545" s="301"/>
      <c r="C1545" s="65" t="s">
        <v>810</v>
      </c>
      <c r="D1545" s="66">
        <f>VLOOKUP(C1545,基本字段定义!$B$3:$C$3013,2,FALSE)</f>
        <v>684</v>
      </c>
      <c r="E1545" s="67" t="s">
        <v>363</v>
      </c>
      <c r="F1545" s="67"/>
      <c r="G1545" s="68" t="s">
        <v>811</v>
      </c>
    </row>
    <row r="1546" spans="2:7" x14ac:dyDescent="0.15">
      <c r="B1546" s="301"/>
      <c r="C1546" s="65" t="s">
        <v>812</v>
      </c>
      <c r="D1546" s="66">
        <f>VLOOKUP(C1546,基本字段定义!$B$3:$C$3013,2,FALSE)</f>
        <v>682</v>
      </c>
      <c r="E1546" s="67" t="s">
        <v>563</v>
      </c>
      <c r="F1546" s="67"/>
      <c r="G1546" s="68" t="s">
        <v>1043</v>
      </c>
    </row>
    <row r="1547" spans="2:7" x14ac:dyDescent="0.15">
      <c r="B1547" s="301"/>
      <c r="C1547" s="65" t="s">
        <v>893</v>
      </c>
      <c r="D1547" s="66">
        <f>VLOOKUP(C1547,基本字段定义!$B$3:$C$3013,2,FALSE)</f>
        <v>1013</v>
      </c>
      <c r="E1547" s="67" t="s">
        <v>363</v>
      </c>
      <c r="F1547" s="67"/>
      <c r="G1547" s="68" t="s">
        <v>898</v>
      </c>
    </row>
    <row r="1548" spans="2:7" x14ac:dyDescent="0.15">
      <c r="B1548" s="301"/>
      <c r="C1548" s="65" t="s">
        <v>899</v>
      </c>
      <c r="D1548" s="66">
        <f>VLOOKUP(C1548,基本字段定义!$B$3:$C$3013,2,FALSE)</f>
        <v>1536</v>
      </c>
      <c r="E1548" s="67" t="s">
        <v>363</v>
      </c>
      <c r="F1548" s="67"/>
      <c r="G1548" s="68" t="s">
        <v>900</v>
      </c>
    </row>
    <row r="1549" spans="2:7" x14ac:dyDescent="0.15">
      <c r="B1549" s="299" t="s">
        <v>361</v>
      </c>
      <c r="C1549" s="69" t="s">
        <v>362</v>
      </c>
      <c r="D1549" s="70">
        <f>VLOOKUP(C1549,基本字段定义!$B$3:$C$3013,2,FALSE)</f>
        <v>507</v>
      </c>
      <c r="E1549" s="71" t="s">
        <v>363</v>
      </c>
      <c r="F1549" s="71"/>
      <c r="G1549" s="72"/>
    </row>
    <row r="1550" spans="2:7" x14ac:dyDescent="0.15">
      <c r="B1550" s="299"/>
      <c r="C1550" s="69" t="s">
        <v>364</v>
      </c>
      <c r="D1550" s="70">
        <f>VLOOKUP(C1550,基本字段定义!$B$3:$C$3013,2,FALSE)</f>
        <v>508</v>
      </c>
      <c r="E1550" s="71" t="s">
        <v>365</v>
      </c>
      <c r="F1550" s="71"/>
      <c r="G1550" s="73"/>
    </row>
    <row r="1551" spans="2:7" x14ac:dyDescent="0.15">
      <c r="B1551" s="299"/>
      <c r="C1551" s="69" t="s">
        <v>916</v>
      </c>
      <c r="D1551" s="70">
        <f>VLOOKUP(C1551,基本字段定义!$B$3:$C$3013,2,FALSE)</f>
        <v>681</v>
      </c>
      <c r="E1551" s="71" t="s">
        <v>363</v>
      </c>
      <c r="F1551" s="71"/>
      <c r="G1551" s="73" t="s">
        <v>917</v>
      </c>
    </row>
    <row r="1552" spans="2:7" ht="14.25" thickBot="1" x14ac:dyDescent="0.2">
      <c r="B1552" s="304"/>
      <c r="C1552" s="75"/>
      <c r="D1552" s="83"/>
      <c r="E1552" s="77"/>
      <c r="F1552" s="77"/>
      <c r="G1552" s="78"/>
    </row>
    <row r="1554" spans="2:7" x14ac:dyDescent="0.15">
      <c r="B1554" s="57" t="s">
        <v>163</v>
      </c>
      <c r="C1554" s="84">
        <v>299026</v>
      </c>
      <c r="D1554" s="85"/>
      <c r="E1554" s="86"/>
      <c r="F1554" s="58" t="s">
        <v>352</v>
      </c>
      <c r="G1554" s="59">
        <v>20140825</v>
      </c>
    </row>
    <row r="1555" spans="2:7" x14ac:dyDescent="0.15">
      <c r="B1555" s="60" t="s">
        <v>353</v>
      </c>
      <c r="C1555" s="87" t="str">
        <f>VLOOKUP(C1554,功能索引!$C$3:$D$278,2,FALSE)</f>
        <v>查询港股通公司行为信息</v>
      </c>
      <c r="D1555" s="88"/>
      <c r="E1555" s="89"/>
      <c r="F1555" s="61" t="s">
        <v>165</v>
      </c>
      <c r="G1555" s="62" t="str">
        <f>VLOOKUP(C1554,功能索引!$C$3:$E1803,3,FALSE)</f>
        <v>Y</v>
      </c>
    </row>
    <row r="1556" spans="2:7" ht="13.5" customHeight="1" x14ac:dyDescent="0.15">
      <c r="B1556" s="300" t="s">
        <v>354</v>
      </c>
      <c r="C1556" s="292" t="s">
        <v>4109</v>
      </c>
      <c r="D1556" s="293"/>
      <c r="E1556" s="293"/>
      <c r="F1556" s="293"/>
      <c r="G1556" s="294"/>
    </row>
    <row r="1557" spans="2:7" ht="14.25" thickBot="1" x14ac:dyDescent="0.2">
      <c r="B1557" s="305"/>
      <c r="C1557" s="295"/>
      <c r="D1557" s="296"/>
      <c r="E1557" s="296"/>
      <c r="F1557" s="296"/>
      <c r="G1557" s="297"/>
    </row>
    <row r="1558" spans="2:7" x14ac:dyDescent="0.15">
      <c r="B1558" s="315" t="s">
        <v>355</v>
      </c>
      <c r="C1558" s="58" t="s">
        <v>356</v>
      </c>
      <c r="D1558" s="58" t="s">
        <v>357</v>
      </c>
      <c r="E1558" s="58" t="s">
        <v>358</v>
      </c>
      <c r="F1558" s="58" t="s">
        <v>359</v>
      </c>
      <c r="G1558" s="64" t="s">
        <v>360</v>
      </c>
    </row>
    <row r="1559" spans="2:7" x14ac:dyDescent="0.15">
      <c r="B1559" s="301"/>
      <c r="C1559" s="65" t="s">
        <v>387</v>
      </c>
      <c r="D1559" s="66">
        <f>VLOOKUP(C1559,基本字段定义!$B$3:$C$3013,2,FALSE)</f>
        <v>599</v>
      </c>
      <c r="E1559" s="67" t="s">
        <v>388</v>
      </c>
      <c r="F1559" s="67"/>
      <c r="G1559" s="68" t="s">
        <v>4106</v>
      </c>
    </row>
    <row r="1560" spans="2:7" x14ac:dyDescent="0.15">
      <c r="B1560" s="301"/>
      <c r="C1560" s="65" t="s">
        <v>666</v>
      </c>
      <c r="D1560" s="66">
        <f>VLOOKUP(C1560,基本字段定义!$B$3:$C$3013,2,FALSE)</f>
        <v>719</v>
      </c>
      <c r="E1560" s="67" t="s">
        <v>506</v>
      </c>
      <c r="F1560" s="67"/>
      <c r="G1560" s="68" t="s">
        <v>4105</v>
      </c>
    </row>
    <row r="1561" spans="2:7" x14ac:dyDescent="0.15">
      <c r="B1561" s="301"/>
      <c r="C1561" s="65" t="s">
        <v>875</v>
      </c>
      <c r="D1561" s="66">
        <f>VLOOKUP(C1561,基本字段定义!$B$3:$C$3013,2,FALSE)</f>
        <v>595</v>
      </c>
      <c r="E1561" s="67" t="s">
        <v>363</v>
      </c>
      <c r="F1561" s="67"/>
      <c r="G1561" s="68" t="s">
        <v>4104</v>
      </c>
    </row>
    <row r="1562" spans="2:7" x14ac:dyDescent="0.15">
      <c r="B1562" s="301"/>
      <c r="C1562" s="65" t="s">
        <v>4024</v>
      </c>
      <c r="D1562" s="66">
        <f>VLOOKUP(C1562,基本字段定义!$B$3:$C$3013,2,FALSE)</f>
        <v>1717</v>
      </c>
      <c r="E1562" s="228" t="s">
        <v>4025</v>
      </c>
      <c r="F1562" s="228"/>
      <c r="G1562" s="68" t="s">
        <v>4103</v>
      </c>
    </row>
    <row r="1563" spans="2:7" x14ac:dyDescent="0.15">
      <c r="B1563" s="301"/>
      <c r="C1563" s="65" t="s">
        <v>4043</v>
      </c>
      <c r="D1563" s="66">
        <f>VLOOKUP(C1563,基本字段定义!$B$3:$C$3013,2,FALSE)</f>
        <v>1887</v>
      </c>
      <c r="E1563" s="228" t="s">
        <v>4044</v>
      </c>
      <c r="F1563" s="228"/>
      <c r="G1563" s="68" t="s">
        <v>4102</v>
      </c>
    </row>
    <row r="1564" spans="2:7" x14ac:dyDescent="0.15">
      <c r="B1564" s="301"/>
      <c r="C1564" s="65" t="s">
        <v>4098</v>
      </c>
      <c r="D1564" s="66">
        <f>VLOOKUP(C1564,基本字段定义!$B$3:$C$3013,2,FALSE)</f>
        <v>1912</v>
      </c>
      <c r="E1564" s="229" t="s">
        <v>4099</v>
      </c>
      <c r="F1564" s="229"/>
      <c r="G1564" s="68" t="s">
        <v>4100</v>
      </c>
    </row>
    <row r="1565" spans="2:7" x14ac:dyDescent="0.15">
      <c r="B1565" s="306"/>
      <c r="C1565" s="65" t="s">
        <v>1031</v>
      </c>
      <c r="D1565" s="66">
        <f>VLOOKUP(C1565,基本字段定义!$B$3:$C$3013,2,FALSE)</f>
        <v>3030</v>
      </c>
      <c r="E1565" s="67" t="s">
        <v>487</v>
      </c>
      <c r="F1565" s="67"/>
      <c r="G1565" s="68" t="s">
        <v>4101</v>
      </c>
    </row>
    <row r="1566" spans="2:7" x14ac:dyDescent="0.15">
      <c r="B1566" s="300" t="s">
        <v>361</v>
      </c>
      <c r="C1566" s="230" t="s">
        <v>387</v>
      </c>
      <c r="D1566" s="231">
        <f>VLOOKUP(C1566,基本字段定义!$B$3:$C$3013,2,FALSE)</f>
        <v>599</v>
      </c>
      <c r="E1566" s="232" t="s">
        <v>365</v>
      </c>
      <c r="F1566" s="232"/>
      <c r="G1566" s="233" t="s">
        <v>4107</v>
      </c>
    </row>
    <row r="1567" spans="2:7" x14ac:dyDescent="0.15">
      <c r="B1567" s="301"/>
      <c r="C1567" s="230" t="s">
        <v>666</v>
      </c>
      <c r="D1567" s="231">
        <f>VLOOKUP(C1567,基本字段定义!$B$3:$C$3013,2,FALSE)</f>
        <v>719</v>
      </c>
      <c r="E1567" s="232" t="s">
        <v>365</v>
      </c>
      <c r="F1567" s="232"/>
      <c r="G1567" s="233" t="s">
        <v>4029</v>
      </c>
    </row>
    <row r="1568" spans="2:7" x14ac:dyDescent="0.15">
      <c r="B1568" s="301"/>
      <c r="C1568" s="230" t="s">
        <v>875</v>
      </c>
      <c r="D1568" s="231">
        <f>VLOOKUP(C1568,基本字段定义!$B$3:$C$3013,2,FALSE)</f>
        <v>595</v>
      </c>
      <c r="E1568" s="232" t="s">
        <v>363</v>
      </c>
      <c r="F1568" s="232"/>
      <c r="G1568" s="233" t="s">
        <v>4028</v>
      </c>
    </row>
    <row r="1569" spans="2:8" x14ac:dyDescent="0.15">
      <c r="B1569" s="301"/>
      <c r="C1569" s="230" t="s">
        <v>4024</v>
      </c>
      <c r="D1569" s="231">
        <f>VLOOKUP(C1569,基本字段定义!$B$3:$C$3013,2,FALSE)</f>
        <v>1717</v>
      </c>
      <c r="E1569" s="232" t="s">
        <v>4025</v>
      </c>
      <c r="F1569" s="232"/>
      <c r="G1569" s="233" t="s">
        <v>4027</v>
      </c>
    </row>
    <row r="1570" spans="2:8" x14ac:dyDescent="0.15">
      <c r="B1570" s="301"/>
      <c r="C1570" s="69" t="s">
        <v>1031</v>
      </c>
      <c r="D1570" s="70">
        <f>VLOOKUP(C1570,基本字段定义!$B$3:$C$3013,2,FALSE)</f>
        <v>3030</v>
      </c>
      <c r="E1570" s="71" t="s">
        <v>487</v>
      </c>
      <c r="F1570" s="71"/>
      <c r="G1570" s="73" t="s">
        <v>4026</v>
      </c>
    </row>
    <row r="1571" spans="2:8" x14ac:dyDescent="0.15">
      <c r="B1571" s="301"/>
      <c r="C1571" s="69" t="s">
        <v>4033</v>
      </c>
      <c r="D1571" s="70">
        <f>VLOOKUP(C1571,基本字段定义!$B$3:$C$3013,2,FALSE)</f>
        <v>651</v>
      </c>
      <c r="E1571" s="71" t="s">
        <v>4034</v>
      </c>
      <c r="F1571" s="71"/>
      <c r="G1571" s="73" t="s">
        <v>4035</v>
      </c>
    </row>
    <row r="1572" spans="2:8" x14ac:dyDescent="0.15">
      <c r="B1572" s="301"/>
      <c r="C1572" s="69" t="s">
        <v>4036</v>
      </c>
      <c r="D1572" s="70">
        <f>VLOOKUP(C1572,基本字段定义!$B$3:$C$3013,2,FALSE)</f>
        <v>889</v>
      </c>
      <c r="E1572" s="71" t="s">
        <v>4037</v>
      </c>
      <c r="F1572" s="71"/>
      <c r="G1572" s="73" t="s">
        <v>4039</v>
      </c>
      <c r="H1572" s="1" t="s">
        <v>4038</v>
      </c>
    </row>
    <row r="1573" spans="2:8" x14ac:dyDescent="0.15">
      <c r="B1573" s="301"/>
      <c r="C1573" s="69" t="s">
        <v>4040</v>
      </c>
      <c r="D1573" s="70">
        <f>VLOOKUP(C1573,基本字段定义!$B$3:$C$3013,2,FALSE)</f>
        <v>4201</v>
      </c>
      <c r="E1573" s="71" t="s">
        <v>4041</v>
      </c>
      <c r="F1573" s="71"/>
      <c r="G1573" s="73" t="s">
        <v>4042</v>
      </c>
    </row>
    <row r="1574" spans="2:8" x14ac:dyDescent="0.15">
      <c r="B1574" s="301"/>
      <c r="C1574" s="69" t="s">
        <v>4043</v>
      </c>
      <c r="D1574" s="70">
        <f>VLOOKUP(C1574,基本字段定义!$B$3:$C$3013,2,FALSE)</f>
        <v>1887</v>
      </c>
      <c r="E1574" s="71" t="s">
        <v>4044</v>
      </c>
      <c r="F1574" s="71"/>
      <c r="G1574" s="73" t="s">
        <v>4045</v>
      </c>
    </row>
    <row r="1575" spans="2:8" x14ac:dyDescent="0.15">
      <c r="B1575" s="301"/>
      <c r="C1575" s="69" t="s">
        <v>4046</v>
      </c>
      <c r="D1575" s="70">
        <f>VLOOKUP(C1575,基本字段定义!$B$3:$C$3013,2,FALSE)</f>
        <v>9406</v>
      </c>
      <c r="E1575" s="71" t="s">
        <v>4034</v>
      </c>
      <c r="F1575" s="71"/>
      <c r="G1575" s="73" t="s">
        <v>4047</v>
      </c>
    </row>
    <row r="1576" spans="2:8" x14ac:dyDescent="0.15">
      <c r="B1576" s="301"/>
      <c r="C1576" s="69" t="s">
        <v>4048</v>
      </c>
      <c r="D1576" s="70">
        <f>VLOOKUP(C1576,基本字段定义!$B$3:$C$3013,2,FALSE)</f>
        <v>2380</v>
      </c>
      <c r="E1576" s="71" t="s">
        <v>4041</v>
      </c>
      <c r="F1576" s="71"/>
      <c r="G1576" s="73" t="s">
        <v>4049</v>
      </c>
    </row>
    <row r="1577" spans="2:8" x14ac:dyDescent="0.15">
      <c r="B1577" s="301"/>
      <c r="C1577" s="69" t="s">
        <v>4050</v>
      </c>
      <c r="D1577" s="70">
        <f>VLOOKUP(C1577,基本字段定义!$B$3:$C$3013,2,FALSE)</f>
        <v>716</v>
      </c>
      <c r="E1577" s="71" t="s">
        <v>4051</v>
      </c>
      <c r="F1577" s="71"/>
      <c r="G1577" s="73" t="s">
        <v>4052</v>
      </c>
    </row>
    <row r="1578" spans="2:8" x14ac:dyDescent="0.15">
      <c r="B1578" s="301"/>
      <c r="C1578" s="69" t="s">
        <v>4053</v>
      </c>
      <c r="D1578" s="70">
        <f>VLOOKUP(C1578,基本字段定义!$B$3:$C$3013,2,FALSE)</f>
        <v>9228</v>
      </c>
      <c r="E1578" s="71" t="s">
        <v>4051</v>
      </c>
      <c r="F1578" s="71"/>
      <c r="G1578" s="73" t="s">
        <v>4054</v>
      </c>
    </row>
    <row r="1579" spans="2:8" x14ac:dyDescent="0.15">
      <c r="B1579" s="301"/>
      <c r="C1579" s="69" t="s">
        <v>1049</v>
      </c>
      <c r="D1579" s="70">
        <f>VLOOKUP(C1579,基本字段定义!$B$3:$C$3013,2,FALSE)</f>
        <v>2061</v>
      </c>
      <c r="E1579" s="71" t="s">
        <v>363</v>
      </c>
      <c r="F1579" s="71"/>
      <c r="G1579" s="73" t="s">
        <v>4030</v>
      </c>
    </row>
    <row r="1580" spans="2:8" x14ac:dyDescent="0.15">
      <c r="B1580" s="301"/>
      <c r="C1580" s="69" t="s">
        <v>510</v>
      </c>
      <c r="D1580" s="70">
        <f>VLOOKUP(C1580,基本字段定义!$B$3:$C$3013,2,FALSE)</f>
        <v>618</v>
      </c>
      <c r="E1580" s="71" t="s">
        <v>363</v>
      </c>
      <c r="F1580" s="71"/>
      <c r="G1580" s="73" t="s">
        <v>4031</v>
      </c>
    </row>
    <row r="1581" spans="2:8" x14ac:dyDescent="0.15">
      <c r="B1581" s="301"/>
      <c r="C1581" s="69" t="s">
        <v>512</v>
      </c>
      <c r="D1581" s="70">
        <f>VLOOKUP(C1581,基本字段定义!$B$3:$C$3013,2,FALSE)</f>
        <v>590</v>
      </c>
      <c r="E1581" s="71" t="s">
        <v>363</v>
      </c>
      <c r="F1581" s="71"/>
      <c r="G1581" s="73" t="s">
        <v>4032</v>
      </c>
    </row>
    <row r="1582" spans="2:8" x14ac:dyDescent="0.15">
      <c r="B1582" s="301"/>
      <c r="C1582" s="69" t="s">
        <v>4055</v>
      </c>
      <c r="D1582" s="70">
        <f>VLOOKUP(C1582,基本字段定义!$B$3:$C$3013,2,FALSE)</f>
        <v>9145</v>
      </c>
      <c r="E1582" s="71" t="s">
        <v>4058</v>
      </c>
      <c r="F1582" s="71"/>
      <c r="G1582" s="73" t="s">
        <v>4059</v>
      </c>
    </row>
    <row r="1583" spans="2:8" x14ac:dyDescent="0.15">
      <c r="B1583" s="301"/>
      <c r="C1583" s="69" t="s">
        <v>4056</v>
      </c>
      <c r="D1583" s="70">
        <f>VLOOKUP(C1583,基本字段定义!$B$3:$C$3013,2,FALSE)</f>
        <v>2856</v>
      </c>
      <c r="E1583" s="71" t="s">
        <v>4058</v>
      </c>
      <c r="F1583" s="71"/>
      <c r="G1583" s="73" t="s">
        <v>4060</v>
      </c>
    </row>
    <row r="1584" spans="2:8" x14ac:dyDescent="0.15">
      <c r="B1584" s="301"/>
      <c r="C1584" s="69" t="s">
        <v>4057</v>
      </c>
      <c r="D1584" s="70">
        <f>VLOOKUP(C1584,基本字段定义!$B$3:$C$3013,2,FALSE)</f>
        <v>1155</v>
      </c>
      <c r="E1584" s="71" t="s">
        <v>4058</v>
      </c>
      <c r="F1584" s="71"/>
      <c r="G1584" s="73" t="s">
        <v>4061</v>
      </c>
    </row>
    <row r="1585" spans="2:7" x14ac:dyDescent="0.15">
      <c r="B1585" s="301"/>
      <c r="C1585" s="69" t="s">
        <v>4062</v>
      </c>
      <c r="D1585" s="70">
        <f>VLOOKUP(C1585,基本字段定义!$B$3:$C$3013,2,FALSE)</f>
        <v>525</v>
      </c>
      <c r="E1585" s="71" t="s">
        <v>4064</v>
      </c>
      <c r="F1585" s="71"/>
      <c r="G1585" s="73" t="s">
        <v>4065</v>
      </c>
    </row>
    <row r="1586" spans="2:7" x14ac:dyDescent="0.15">
      <c r="B1586" s="301"/>
      <c r="C1586" s="69" t="s">
        <v>4063</v>
      </c>
      <c r="D1586" s="70">
        <f>VLOOKUP(C1586,基本字段定义!$B$3:$C$3013,2,FALSE)</f>
        <v>2222</v>
      </c>
      <c r="E1586" s="71" t="s">
        <v>4064</v>
      </c>
      <c r="F1586" s="71"/>
      <c r="G1586" s="73" t="s">
        <v>4066</v>
      </c>
    </row>
    <row r="1587" spans="2:7" x14ac:dyDescent="0.15">
      <c r="B1587" s="301"/>
      <c r="C1587" s="69" t="s">
        <v>4067</v>
      </c>
      <c r="D1587" s="70">
        <f>VLOOKUP(C1587,基本字段定义!$B$3:$C$3013,2,FALSE)</f>
        <v>511</v>
      </c>
      <c r="E1587" s="71" t="s">
        <v>4025</v>
      </c>
      <c r="F1587" s="71"/>
      <c r="G1587" s="73" t="s">
        <v>4068</v>
      </c>
    </row>
    <row r="1588" spans="2:7" x14ac:dyDescent="0.15">
      <c r="B1588" s="301"/>
      <c r="C1588" s="69" t="s">
        <v>4069</v>
      </c>
      <c r="D1588" s="70">
        <f>VLOOKUP(C1588,基本字段定义!$B$3:$C$3013,2,FALSE)</f>
        <v>517</v>
      </c>
      <c r="E1588" s="71" t="s">
        <v>4064</v>
      </c>
      <c r="F1588" s="71"/>
      <c r="G1588" s="73" t="s">
        <v>4070</v>
      </c>
    </row>
    <row r="1589" spans="2:7" x14ac:dyDescent="0.15">
      <c r="B1589" s="301"/>
      <c r="C1589" s="69" t="s">
        <v>4071</v>
      </c>
      <c r="D1589" s="70">
        <f>VLOOKUP(C1589,基本字段定义!$B$3:$C$3013,2,FALSE)</f>
        <v>1212</v>
      </c>
      <c r="E1589" s="71" t="s">
        <v>4064</v>
      </c>
      <c r="F1589" s="71"/>
      <c r="G1589" s="73" t="s">
        <v>4073</v>
      </c>
    </row>
    <row r="1590" spans="2:7" x14ac:dyDescent="0.15">
      <c r="B1590" s="301"/>
      <c r="C1590" s="69" t="s">
        <v>4072</v>
      </c>
      <c r="D1590" s="70">
        <f>VLOOKUP(C1590,基本字段定义!$B$3:$C$3013,2,FALSE)</f>
        <v>941</v>
      </c>
      <c r="E1590" s="71" t="s">
        <v>4064</v>
      </c>
      <c r="F1590" s="71"/>
      <c r="G1590" s="73" t="s">
        <v>4074</v>
      </c>
    </row>
    <row r="1591" spans="2:7" x14ac:dyDescent="0.15">
      <c r="B1591" s="301"/>
      <c r="C1591" s="69" t="s">
        <v>4077</v>
      </c>
      <c r="D1591" s="70">
        <f>VLOOKUP(C1591,基本字段定义!$B$3:$C$3013,2,FALSE)</f>
        <v>528</v>
      </c>
      <c r="E1591" s="71" t="s">
        <v>4079</v>
      </c>
      <c r="F1591" s="71"/>
      <c r="G1591" s="73" t="s">
        <v>4075</v>
      </c>
    </row>
    <row r="1592" spans="2:7" x14ac:dyDescent="0.15">
      <c r="B1592" s="301"/>
      <c r="C1592" s="69" t="s">
        <v>4078</v>
      </c>
      <c r="D1592" s="70">
        <f>VLOOKUP(C1592,基本字段定义!$B$3:$C$3013,2,FALSE)</f>
        <v>684</v>
      </c>
      <c r="E1592" s="71" t="s">
        <v>4079</v>
      </c>
      <c r="F1592" s="71"/>
      <c r="G1592" s="73" t="s">
        <v>4076</v>
      </c>
    </row>
    <row r="1593" spans="2:7" x14ac:dyDescent="0.15">
      <c r="B1593" s="301"/>
      <c r="C1593" s="69" t="s">
        <v>4080</v>
      </c>
      <c r="D1593" s="70">
        <f>VLOOKUP(C1593,基本字段定义!$B$3:$C$3013,2,FALSE)</f>
        <v>1173</v>
      </c>
      <c r="E1593" s="71" t="s">
        <v>4025</v>
      </c>
      <c r="F1593" s="71"/>
      <c r="G1593" s="73" t="s">
        <v>4082</v>
      </c>
    </row>
    <row r="1594" spans="2:7" x14ac:dyDescent="0.15">
      <c r="B1594" s="301"/>
      <c r="C1594" s="69" t="s">
        <v>4081</v>
      </c>
      <c r="D1594" s="70">
        <f>VLOOKUP(C1594,基本字段定义!$B$3:$C$3013,2,FALSE)</f>
        <v>1660</v>
      </c>
      <c r="E1594" s="71" t="s">
        <v>4025</v>
      </c>
      <c r="F1594" s="71"/>
      <c r="G1594" s="73" t="s">
        <v>4083</v>
      </c>
    </row>
    <row r="1595" spans="2:7" x14ac:dyDescent="0.15">
      <c r="B1595" s="301"/>
      <c r="C1595" s="69" t="s">
        <v>4084</v>
      </c>
      <c r="D1595" s="70">
        <f>VLOOKUP(C1595,基本字段定义!$B$3:$C$3013,2,FALSE)</f>
        <v>1912</v>
      </c>
      <c r="E1595" s="71" t="s">
        <v>4085</v>
      </c>
      <c r="F1595" s="71"/>
      <c r="G1595" s="73" t="s">
        <v>4086</v>
      </c>
    </row>
    <row r="1596" spans="2:7" x14ac:dyDescent="0.15">
      <c r="B1596" s="301"/>
      <c r="C1596" s="91" t="s">
        <v>4087</v>
      </c>
      <c r="D1596" s="70">
        <f>VLOOKUP(C1596,基本字段定义!$B$3:$C$3013,2,FALSE)</f>
        <v>3085</v>
      </c>
      <c r="E1596" s="92" t="s">
        <v>4089</v>
      </c>
      <c r="F1596" s="92"/>
      <c r="G1596" s="94" t="s">
        <v>4090</v>
      </c>
    </row>
    <row r="1597" spans="2:7" x14ac:dyDescent="0.15">
      <c r="B1597" s="301"/>
      <c r="C1597" s="91" t="s">
        <v>4088</v>
      </c>
      <c r="D1597" s="70">
        <f>VLOOKUP(C1597,基本字段定义!$B$3:$C$3013,2,FALSE)</f>
        <v>3086</v>
      </c>
      <c r="E1597" s="92" t="s">
        <v>4089</v>
      </c>
      <c r="F1597" s="92"/>
      <c r="G1597" s="94" t="s">
        <v>4091</v>
      </c>
    </row>
    <row r="1598" spans="2:7" ht="18.75" customHeight="1" thickBot="1" x14ac:dyDescent="0.2">
      <c r="B1598" s="305"/>
      <c r="C1598" s="75" t="s">
        <v>4093</v>
      </c>
      <c r="D1598" s="70">
        <f>VLOOKUP(C1598,基本字段定义!$B$3:$C$3013,2,FALSE)</f>
        <v>2289</v>
      </c>
      <c r="E1598" s="77" t="s">
        <v>4094</v>
      </c>
      <c r="F1598" s="77"/>
      <c r="G1598" s="78" t="s">
        <v>4095</v>
      </c>
    </row>
    <row r="1599" spans="2:7" ht="14.25" thickBot="1" x14ac:dyDescent="0.2"/>
    <row r="1600" spans="2:7" x14ac:dyDescent="0.15">
      <c r="B1600" s="57" t="s">
        <v>163</v>
      </c>
      <c r="C1600" s="84">
        <v>104040</v>
      </c>
      <c r="D1600" s="85"/>
      <c r="E1600" s="86"/>
      <c r="F1600" s="58" t="s">
        <v>352</v>
      </c>
      <c r="G1600" s="59">
        <v>20120425</v>
      </c>
    </row>
    <row r="1601" spans="2:7" x14ac:dyDescent="0.15">
      <c r="B1601" s="60" t="s">
        <v>353</v>
      </c>
      <c r="C1601" s="87" t="str">
        <f>VLOOKUP(C1600,功能索引!$C$3:$D$278,2,FALSE)</f>
        <v>报价回购品种参数查询</v>
      </c>
      <c r="D1601" s="88"/>
      <c r="E1601" s="89"/>
      <c r="F1601" s="61" t="s">
        <v>165</v>
      </c>
      <c r="G1601" s="62" t="str">
        <f>VLOOKUP(C1600,功能索引!$C$3:$E1817,3,FALSE)</f>
        <v>Y</v>
      </c>
    </row>
    <row r="1602" spans="2:7" x14ac:dyDescent="0.15">
      <c r="B1602" s="300" t="s">
        <v>354</v>
      </c>
      <c r="C1602" s="99"/>
      <c r="D1602" s="100"/>
      <c r="E1602" s="100"/>
      <c r="F1602" s="100"/>
      <c r="G1602" s="101"/>
    </row>
    <row r="1603" spans="2:7" ht="14.25" thickBot="1" x14ac:dyDescent="0.2">
      <c r="B1603" s="305"/>
      <c r="C1603" s="102"/>
      <c r="D1603" s="103"/>
      <c r="E1603" s="103"/>
      <c r="F1603" s="103"/>
      <c r="G1603" s="104"/>
    </row>
    <row r="1604" spans="2:7" x14ac:dyDescent="0.15">
      <c r="B1604" s="315" t="s">
        <v>355</v>
      </c>
      <c r="C1604" s="58" t="s">
        <v>356</v>
      </c>
      <c r="D1604" s="58" t="s">
        <v>357</v>
      </c>
      <c r="E1604" s="58" t="s">
        <v>358</v>
      </c>
      <c r="F1604" s="58" t="s">
        <v>359</v>
      </c>
      <c r="G1604" s="64" t="s">
        <v>360</v>
      </c>
    </row>
    <row r="1605" spans="2:7" x14ac:dyDescent="0.15">
      <c r="B1605" s="306"/>
      <c r="C1605" s="65" t="s">
        <v>387</v>
      </c>
      <c r="D1605" s="66">
        <f>VLOOKUP(C1605,基本字段定义!$B$3:$C$3013,2,FALSE)</f>
        <v>599</v>
      </c>
      <c r="E1605" s="67" t="s">
        <v>388</v>
      </c>
      <c r="F1605" s="67"/>
      <c r="G1605" s="68" t="s">
        <v>389</v>
      </c>
    </row>
    <row r="1606" spans="2:7" x14ac:dyDescent="0.15">
      <c r="B1606" s="300" t="s">
        <v>361</v>
      </c>
      <c r="C1606" s="69" t="s">
        <v>387</v>
      </c>
      <c r="D1606" s="70">
        <f>VLOOKUP(C1606,基本字段定义!$B$3:$C$3013,2,FALSE)</f>
        <v>599</v>
      </c>
      <c r="E1606" s="71" t="s">
        <v>365</v>
      </c>
      <c r="F1606" s="71"/>
      <c r="G1606" s="73" t="s">
        <v>389</v>
      </c>
    </row>
    <row r="1607" spans="2:7" x14ac:dyDescent="0.15">
      <c r="B1607" s="301"/>
      <c r="C1607" s="69" t="s">
        <v>1051</v>
      </c>
      <c r="D1607" s="70">
        <f>VLOOKUP(C1607,基本字段定义!$B$3:$C$3013,2,FALSE)</f>
        <v>2300</v>
      </c>
      <c r="E1607" s="71" t="s">
        <v>365</v>
      </c>
      <c r="F1607" s="71"/>
      <c r="G1607" s="73" t="s">
        <v>1052</v>
      </c>
    </row>
    <row r="1608" spans="2:7" x14ac:dyDescent="0.15">
      <c r="B1608" s="301"/>
      <c r="C1608" s="69" t="s">
        <v>1053</v>
      </c>
      <c r="D1608" s="70">
        <f>VLOOKUP(C1608,基本字段定义!$B$3:$C$3013,2,FALSE)</f>
        <v>2301</v>
      </c>
      <c r="E1608" s="71" t="s">
        <v>365</v>
      </c>
      <c r="F1608" s="71"/>
      <c r="G1608" s="73" t="s">
        <v>1054</v>
      </c>
    </row>
    <row r="1609" spans="2:7" x14ac:dyDescent="0.15">
      <c r="B1609" s="301"/>
      <c r="C1609" s="69" t="s">
        <v>1055</v>
      </c>
      <c r="D1609" s="70">
        <f>VLOOKUP(C1609,基本字段定义!$B$3:$C$3013,2,FALSE)</f>
        <v>2302</v>
      </c>
      <c r="E1609" s="71" t="s">
        <v>563</v>
      </c>
      <c r="F1609" s="71"/>
      <c r="G1609" s="73" t="s">
        <v>1056</v>
      </c>
    </row>
    <row r="1610" spans="2:7" x14ac:dyDescent="0.15">
      <c r="B1610" s="301"/>
      <c r="C1610" s="69" t="s">
        <v>1057</v>
      </c>
      <c r="D1610" s="70">
        <f>VLOOKUP(C1610,基本字段定义!$B$3:$C$3013,2,FALSE)</f>
        <v>2303</v>
      </c>
      <c r="E1610" s="71" t="s">
        <v>563</v>
      </c>
      <c r="F1610" s="71"/>
      <c r="G1610" s="73" t="s">
        <v>1058</v>
      </c>
    </row>
    <row r="1611" spans="2:7" x14ac:dyDescent="0.15">
      <c r="B1611" s="301"/>
      <c r="C1611" s="69" t="s">
        <v>1059</v>
      </c>
      <c r="D1611" s="70">
        <f>VLOOKUP(C1611,基本字段定义!$B$3:$C$3013,2,FALSE)</f>
        <v>1223</v>
      </c>
      <c r="E1611" s="71" t="s">
        <v>363</v>
      </c>
      <c r="F1611" s="71"/>
      <c r="G1611" s="73" t="s">
        <v>1060</v>
      </c>
    </row>
    <row r="1612" spans="2:7" ht="18.75" customHeight="1" thickBot="1" x14ac:dyDescent="0.2">
      <c r="B1612" s="305"/>
      <c r="C1612" s="75"/>
      <c r="D1612" s="83"/>
      <c r="E1612" s="77"/>
      <c r="F1612" s="77"/>
      <c r="G1612" s="78"/>
    </row>
    <row r="1614" spans="2:7" x14ac:dyDescent="0.15">
      <c r="B1614" s="57" t="s">
        <v>163</v>
      </c>
      <c r="C1614" s="84">
        <v>104042</v>
      </c>
      <c r="D1614" s="85"/>
      <c r="E1614" s="86"/>
      <c r="F1614" s="58" t="s">
        <v>352</v>
      </c>
      <c r="G1614" s="59">
        <v>20120425</v>
      </c>
    </row>
    <row r="1615" spans="2:7" x14ac:dyDescent="0.15">
      <c r="B1615" s="60" t="s">
        <v>353</v>
      </c>
      <c r="C1615" s="87" t="str">
        <f>VLOOKUP(C1614,功能索引!$C$3:$D$278,2,FALSE)</f>
        <v>报价回购预约委托信息查询</v>
      </c>
      <c r="D1615" s="88"/>
      <c r="E1615" s="89"/>
      <c r="F1615" s="61" t="s">
        <v>165</v>
      </c>
      <c r="G1615" s="62" t="str">
        <f>VLOOKUP(C1614,功能索引!$C$3:$E1795,3,FALSE)</f>
        <v>Y</v>
      </c>
    </row>
    <row r="1616" spans="2:7" ht="13.5" customHeight="1" x14ac:dyDescent="0.15">
      <c r="B1616" s="300" t="s">
        <v>354</v>
      </c>
      <c r="C1616" s="99" t="s">
        <v>1061</v>
      </c>
      <c r="D1616" s="100"/>
      <c r="E1616" s="100"/>
      <c r="F1616" s="100"/>
      <c r="G1616" s="101"/>
    </row>
    <row r="1617" spans="2:7" ht="14.25" thickBot="1" x14ac:dyDescent="0.2">
      <c r="B1617" s="305"/>
      <c r="C1617" s="102"/>
      <c r="D1617" s="103"/>
      <c r="E1617" s="103"/>
      <c r="F1617" s="103"/>
      <c r="G1617" s="104"/>
    </row>
    <row r="1618" spans="2:7" x14ac:dyDescent="0.15">
      <c r="B1618" s="315" t="s">
        <v>355</v>
      </c>
      <c r="C1618" s="58" t="s">
        <v>356</v>
      </c>
      <c r="D1618" s="58" t="s">
        <v>357</v>
      </c>
      <c r="E1618" s="58" t="s">
        <v>358</v>
      </c>
      <c r="F1618" s="58" t="s">
        <v>359</v>
      </c>
      <c r="G1618" s="64" t="s">
        <v>360</v>
      </c>
    </row>
    <row r="1619" spans="2:7" x14ac:dyDescent="0.15">
      <c r="B1619" s="301"/>
      <c r="C1619" s="65" t="s">
        <v>428</v>
      </c>
      <c r="D1619" s="66">
        <f>VLOOKUP(C1619,基本字段定义!$B$3:$C$3013,2,FALSE)</f>
        <v>605</v>
      </c>
      <c r="E1619" s="67" t="s">
        <v>429</v>
      </c>
      <c r="F1619" s="67" t="s">
        <v>169</v>
      </c>
      <c r="G1619" s="68" t="s">
        <v>430</v>
      </c>
    </row>
    <row r="1620" spans="2:7" x14ac:dyDescent="0.15">
      <c r="B1620" s="301"/>
      <c r="C1620" s="65" t="s">
        <v>1062</v>
      </c>
      <c r="D1620" s="66">
        <f>VLOOKUP(C1620,基本字段定义!$B$3:$C$3013,2,FALSE)</f>
        <v>1080</v>
      </c>
      <c r="E1620" s="67" t="s">
        <v>363</v>
      </c>
      <c r="F1620" s="67" t="s">
        <v>169</v>
      </c>
      <c r="G1620" s="119" t="s">
        <v>1063</v>
      </c>
    </row>
    <row r="1621" spans="2:7" x14ac:dyDescent="0.15">
      <c r="B1621" s="306"/>
      <c r="C1621" s="65" t="s">
        <v>1064</v>
      </c>
      <c r="D1621" s="66">
        <f>VLOOKUP(C1621,基本字段定义!$B$3:$C$3013,2,FALSE)</f>
        <v>2306</v>
      </c>
      <c r="E1621" s="67" t="s">
        <v>604</v>
      </c>
      <c r="F1621" s="67"/>
      <c r="G1621" s="68" t="s">
        <v>1065</v>
      </c>
    </row>
    <row r="1622" spans="2:7" x14ac:dyDescent="0.15">
      <c r="B1622" s="299" t="s">
        <v>361</v>
      </c>
      <c r="C1622" s="69" t="s">
        <v>1066</v>
      </c>
      <c r="D1622" s="70">
        <f>VLOOKUP(C1622,基本字段定义!$B$3:$C$3013,2,FALSE)</f>
        <v>9150</v>
      </c>
      <c r="E1622" s="71" t="s">
        <v>365</v>
      </c>
      <c r="F1622" s="71"/>
      <c r="G1622" s="73" t="s">
        <v>1067</v>
      </c>
    </row>
    <row r="1623" spans="2:7" x14ac:dyDescent="0.15">
      <c r="B1623" s="299"/>
      <c r="C1623" s="69" t="s">
        <v>990</v>
      </c>
      <c r="D1623" s="70">
        <f>VLOOKUP(C1623,基本字段定义!$B$3:$C$3013,2,FALSE)</f>
        <v>1898</v>
      </c>
      <c r="E1623" s="71" t="s">
        <v>365</v>
      </c>
      <c r="F1623" s="71"/>
      <c r="G1623" s="73" t="s">
        <v>1068</v>
      </c>
    </row>
    <row r="1624" spans="2:7" x14ac:dyDescent="0.15">
      <c r="B1624" s="299"/>
      <c r="C1624" s="69" t="s">
        <v>916</v>
      </c>
      <c r="D1624" s="70">
        <f>VLOOKUP(C1624,基本字段定义!$B$3:$C$3013,2,FALSE)</f>
        <v>681</v>
      </c>
      <c r="E1624" s="71" t="s">
        <v>365</v>
      </c>
      <c r="F1624" s="71"/>
      <c r="G1624" s="73" t="s">
        <v>1069</v>
      </c>
    </row>
    <row r="1625" spans="2:7" x14ac:dyDescent="0.15">
      <c r="B1625" s="299"/>
      <c r="C1625" s="69" t="s">
        <v>387</v>
      </c>
      <c r="D1625" s="70">
        <f>VLOOKUP(C1625,基本字段定义!$B$3:$C$3013,2,FALSE)</f>
        <v>599</v>
      </c>
      <c r="E1625" s="71" t="s">
        <v>365</v>
      </c>
      <c r="F1625" s="71"/>
      <c r="G1625" s="73" t="s">
        <v>389</v>
      </c>
    </row>
    <row r="1626" spans="2:7" x14ac:dyDescent="0.15">
      <c r="B1626" s="299"/>
      <c r="C1626" s="69" t="s">
        <v>666</v>
      </c>
      <c r="D1626" s="70">
        <f>VLOOKUP(C1626,基本字段定义!$B$3:$C$3013,2,FALSE)</f>
        <v>719</v>
      </c>
      <c r="E1626" s="71" t="s">
        <v>365</v>
      </c>
      <c r="F1626" s="71"/>
      <c r="G1626" s="73" t="s">
        <v>683</v>
      </c>
    </row>
    <row r="1627" spans="2:7" x14ac:dyDescent="0.15">
      <c r="B1627" s="299"/>
      <c r="C1627" s="69" t="s">
        <v>685</v>
      </c>
      <c r="D1627" s="70">
        <f>VLOOKUP(C1627,基本字段定义!$B$3:$C$3013,2,FALSE)</f>
        <v>722</v>
      </c>
      <c r="E1627" s="71" t="s">
        <v>363</v>
      </c>
      <c r="F1627" s="71"/>
      <c r="G1627" s="73" t="s">
        <v>686</v>
      </c>
    </row>
    <row r="1628" spans="2:7" x14ac:dyDescent="0.15">
      <c r="B1628" s="299"/>
      <c r="C1628" s="69" t="s">
        <v>431</v>
      </c>
      <c r="D1628" s="70">
        <f>VLOOKUP(C1628,基本字段定义!$B$3:$C$3013,2,FALSE)</f>
        <v>571</v>
      </c>
      <c r="E1628" s="71" t="s">
        <v>363</v>
      </c>
      <c r="F1628" s="71"/>
      <c r="G1628" s="73" t="s">
        <v>433</v>
      </c>
    </row>
    <row r="1629" spans="2:7" x14ac:dyDescent="0.15">
      <c r="B1629" s="299"/>
      <c r="C1629" s="69" t="s">
        <v>806</v>
      </c>
      <c r="D1629" s="70">
        <f>VLOOKUP(C1629,基本字段定义!$B$3:$C$3013,2,FALSE)</f>
        <v>683</v>
      </c>
      <c r="E1629" s="71" t="s">
        <v>365</v>
      </c>
      <c r="F1629" s="71"/>
      <c r="G1629" s="115" t="s">
        <v>1070</v>
      </c>
    </row>
    <row r="1630" spans="2:7" x14ac:dyDescent="0.15">
      <c r="B1630" s="299"/>
      <c r="C1630" s="69" t="s">
        <v>810</v>
      </c>
      <c r="D1630" s="70">
        <f>VLOOKUP(C1630,基本字段定义!$B$3:$C$3013,2,FALSE)</f>
        <v>684</v>
      </c>
      <c r="E1630" s="71" t="s">
        <v>563</v>
      </c>
      <c r="F1630" s="71"/>
      <c r="G1630" s="73" t="s">
        <v>811</v>
      </c>
    </row>
    <row r="1631" spans="2:7" x14ac:dyDescent="0.15">
      <c r="B1631" s="299"/>
      <c r="C1631" s="69" t="s">
        <v>812</v>
      </c>
      <c r="D1631" s="70">
        <f>VLOOKUP(C1631,基本字段定义!$B$3:$C$3013,2,FALSE)</f>
        <v>682</v>
      </c>
      <c r="E1631" s="71" t="s">
        <v>563</v>
      </c>
      <c r="F1631" s="71"/>
      <c r="G1631" s="73" t="s">
        <v>1071</v>
      </c>
    </row>
    <row r="1632" spans="2:7" x14ac:dyDescent="0.15">
      <c r="B1632" s="299"/>
      <c r="C1632" s="69" t="s">
        <v>1064</v>
      </c>
      <c r="D1632" s="70">
        <f>VLOOKUP(C1632,基本字段定义!$B$3:$C$3013,2,FALSE)</f>
        <v>2306</v>
      </c>
      <c r="E1632" s="71" t="s">
        <v>363</v>
      </c>
      <c r="F1632" s="71"/>
      <c r="G1632" s="73" t="s">
        <v>1065</v>
      </c>
    </row>
    <row r="1633" spans="2:7" x14ac:dyDescent="0.15">
      <c r="B1633" s="299"/>
      <c r="C1633" s="69" t="s">
        <v>651</v>
      </c>
      <c r="D1633" s="70">
        <f>VLOOKUP(C1633,基本字段定义!$B$3:$C$3013,2,FALSE)</f>
        <v>9227</v>
      </c>
      <c r="E1633" s="71" t="s">
        <v>363</v>
      </c>
      <c r="F1633" s="71"/>
      <c r="G1633" s="73" t="s">
        <v>1072</v>
      </c>
    </row>
    <row r="1634" spans="2:7" x14ac:dyDescent="0.15">
      <c r="B1634" s="300"/>
      <c r="C1634" s="69" t="s">
        <v>595</v>
      </c>
      <c r="D1634" s="70">
        <f>VLOOKUP(C1634,基本字段定义!$B$3:$C$3013,2,FALSE)</f>
        <v>1458</v>
      </c>
      <c r="E1634" s="71" t="s">
        <v>363</v>
      </c>
      <c r="F1634" s="71"/>
      <c r="G1634" s="73" t="s">
        <v>1072</v>
      </c>
    </row>
    <row r="1635" spans="2:7" ht="14.25" thickBot="1" x14ac:dyDescent="0.2">
      <c r="B1635" s="304"/>
      <c r="C1635" s="75"/>
      <c r="D1635" s="83"/>
      <c r="E1635" s="77"/>
      <c r="F1635" s="77"/>
      <c r="G1635" s="78"/>
    </row>
    <row r="1637" spans="2:7" x14ac:dyDescent="0.15">
      <c r="B1637" s="57" t="s">
        <v>163</v>
      </c>
      <c r="C1637" s="84">
        <v>204568</v>
      </c>
      <c r="D1637" s="85"/>
      <c r="E1637" s="86"/>
      <c r="F1637" s="58" t="s">
        <v>352</v>
      </c>
      <c r="G1637" s="59">
        <v>20120425</v>
      </c>
    </row>
    <row r="1638" spans="2:7" x14ac:dyDescent="0.15">
      <c r="B1638" s="60" t="s">
        <v>353</v>
      </c>
      <c r="C1638" s="87" t="str">
        <f>VLOOKUP(C1637,功能索引!$C$3:$D$278,2,FALSE)</f>
        <v>报价回购预约委托管理</v>
      </c>
      <c r="D1638" s="88"/>
      <c r="E1638" s="89"/>
      <c r="F1638" s="61" t="s">
        <v>165</v>
      </c>
      <c r="G1638" s="62">
        <f>VLOOKUP(C1637,功能索引!$C$3:$E1743,3,FALSE)</f>
        <v>0</v>
      </c>
    </row>
    <row r="1639" spans="2:7" ht="13.5" customHeight="1" x14ac:dyDescent="0.15">
      <c r="B1639" s="299" t="s">
        <v>354</v>
      </c>
      <c r="C1639" s="99" t="s">
        <v>1073</v>
      </c>
      <c r="D1639" s="100"/>
      <c r="E1639" s="100"/>
      <c r="F1639" s="100"/>
      <c r="G1639" s="101"/>
    </row>
    <row r="1640" spans="2:7" x14ac:dyDescent="0.15">
      <c r="B1640" s="300"/>
      <c r="C1640" s="111"/>
      <c r="D1640" s="112"/>
      <c r="E1640" s="112"/>
      <c r="F1640" s="112"/>
      <c r="G1640" s="113"/>
    </row>
    <row r="1641" spans="2:7" x14ac:dyDescent="0.15">
      <c r="B1641" s="300"/>
      <c r="C1641" s="111"/>
      <c r="D1641" s="112"/>
      <c r="E1641" s="112"/>
      <c r="F1641" s="112"/>
      <c r="G1641" s="113"/>
    </row>
    <row r="1642" spans="2:7" ht="14.25" thickBot="1" x14ac:dyDescent="0.2">
      <c r="B1642" s="304"/>
      <c r="C1642" s="102"/>
      <c r="D1642" s="103"/>
      <c r="E1642" s="103"/>
      <c r="F1642" s="103"/>
      <c r="G1642" s="104"/>
    </row>
    <row r="1643" spans="2:7" x14ac:dyDescent="0.15">
      <c r="B1643" s="298" t="s">
        <v>355</v>
      </c>
      <c r="C1643" s="58" t="s">
        <v>356</v>
      </c>
      <c r="D1643" s="58" t="s">
        <v>357</v>
      </c>
      <c r="E1643" s="58" t="s">
        <v>358</v>
      </c>
      <c r="F1643" s="58" t="s">
        <v>359</v>
      </c>
      <c r="G1643" s="64" t="s">
        <v>360</v>
      </c>
    </row>
    <row r="1644" spans="2:7" x14ac:dyDescent="0.15">
      <c r="B1644" s="299"/>
      <c r="C1644" s="65" t="s">
        <v>428</v>
      </c>
      <c r="D1644" s="66">
        <f>VLOOKUP(C1644,基本字段定义!$B$3:$C$3013,2,FALSE)</f>
        <v>605</v>
      </c>
      <c r="E1644" s="67" t="s">
        <v>429</v>
      </c>
      <c r="F1644" s="67" t="s">
        <v>169</v>
      </c>
      <c r="G1644" s="68" t="s">
        <v>430</v>
      </c>
    </row>
    <row r="1645" spans="2:7" x14ac:dyDescent="0.15">
      <c r="B1645" s="299"/>
      <c r="C1645" s="65" t="s">
        <v>431</v>
      </c>
      <c r="D1645" s="66">
        <f>VLOOKUP(C1645,基本字段定义!$B$3:$C$3013,2,FALSE)</f>
        <v>571</v>
      </c>
      <c r="E1645" s="67" t="s">
        <v>432</v>
      </c>
      <c r="F1645" s="67" t="s">
        <v>169</v>
      </c>
      <c r="G1645" s="68" t="s">
        <v>433</v>
      </c>
    </row>
    <row r="1646" spans="2:7" x14ac:dyDescent="0.15">
      <c r="B1646" s="299"/>
      <c r="C1646" s="65" t="s">
        <v>387</v>
      </c>
      <c r="D1646" s="66">
        <f>VLOOKUP(C1646,基本字段定义!$B$3:$C$3013,2,FALSE)</f>
        <v>599</v>
      </c>
      <c r="E1646" s="67" t="s">
        <v>388</v>
      </c>
      <c r="F1646" s="67" t="s">
        <v>169</v>
      </c>
      <c r="G1646" s="68" t="s">
        <v>389</v>
      </c>
    </row>
    <row r="1647" spans="2:7" x14ac:dyDescent="0.15">
      <c r="B1647" s="299"/>
      <c r="C1647" s="65" t="s">
        <v>666</v>
      </c>
      <c r="D1647" s="66">
        <f>VLOOKUP(C1647,基本字段定义!$B$3:$C$3013,2,FALSE)</f>
        <v>719</v>
      </c>
      <c r="E1647" s="67" t="s">
        <v>506</v>
      </c>
      <c r="F1647" s="67" t="s">
        <v>169</v>
      </c>
      <c r="G1647" s="68" t="s">
        <v>683</v>
      </c>
    </row>
    <row r="1648" spans="2:7" x14ac:dyDescent="0.15">
      <c r="B1648" s="299"/>
      <c r="C1648" s="65" t="s">
        <v>1074</v>
      </c>
      <c r="D1648" s="66">
        <f>VLOOKUP(C1648,基本字段定义!$B$3:$C$3013,2,FALSE)</f>
        <v>2314</v>
      </c>
      <c r="E1648" s="67" t="s">
        <v>604</v>
      </c>
      <c r="F1648" s="67" t="s">
        <v>169</v>
      </c>
      <c r="G1648" s="68" t="s">
        <v>1075</v>
      </c>
    </row>
    <row r="1649" spans="2:7" ht="25.5" x14ac:dyDescent="0.15">
      <c r="B1649" s="299"/>
      <c r="C1649" s="65" t="s">
        <v>875</v>
      </c>
      <c r="D1649" s="66">
        <f>VLOOKUP(C1649,基本字段定义!$B$3:$C$3013,2,FALSE)</f>
        <v>595</v>
      </c>
      <c r="E1649" s="67" t="s">
        <v>363</v>
      </c>
      <c r="F1649" s="120" t="s">
        <v>1076</v>
      </c>
      <c r="G1649" s="68" t="s">
        <v>1077</v>
      </c>
    </row>
    <row r="1650" spans="2:7" x14ac:dyDescent="0.15">
      <c r="B1650" s="299"/>
      <c r="C1650" s="65" t="s">
        <v>767</v>
      </c>
      <c r="D1650" s="66">
        <f>VLOOKUP(C1650,基本字段定义!$B$3:$C$3013,2,FALSE)</f>
        <v>526</v>
      </c>
      <c r="E1650" s="67" t="s">
        <v>563</v>
      </c>
      <c r="F1650" s="121"/>
      <c r="G1650" s="68" t="s">
        <v>1078</v>
      </c>
    </row>
    <row r="1651" spans="2:7" x14ac:dyDescent="0.15">
      <c r="B1651" s="299"/>
      <c r="C1651" s="65" t="s">
        <v>916</v>
      </c>
      <c r="D1651" s="66">
        <f>VLOOKUP(C1651,基本字段定义!$B$3:$C$3013,2,FALSE)</f>
        <v>681</v>
      </c>
      <c r="E1651" s="67" t="s">
        <v>438</v>
      </c>
      <c r="F1651" s="121"/>
      <c r="G1651" s="68" t="s">
        <v>1079</v>
      </c>
    </row>
    <row r="1652" spans="2:7" x14ac:dyDescent="0.15">
      <c r="B1652" s="299"/>
      <c r="C1652" s="65" t="s">
        <v>651</v>
      </c>
      <c r="D1652" s="66">
        <f>VLOOKUP(C1652,基本字段定义!$B$3:$C$3013,2,FALSE)</f>
        <v>9227</v>
      </c>
      <c r="E1652" s="67" t="s">
        <v>506</v>
      </c>
      <c r="F1652" s="122"/>
      <c r="G1652" s="68" t="s">
        <v>1080</v>
      </c>
    </row>
    <row r="1653" spans="2:7" x14ac:dyDescent="0.15">
      <c r="B1653" s="299"/>
      <c r="C1653" s="65" t="s">
        <v>1066</v>
      </c>
      <c r="D1653" s="66">
        <f>VLOOKUP(C1653,基本字段定义!$B$3:$C$3013,2,FALSE)</f>
        <v>9150</v>
      </c>
      <c r="E1653" s="67" t="s">
        <v>363</v>
      </c>
      <c r="F1653" s="123" t="s">
        <v>1081</v>
      </c>
      <c r="G1653" s="68" t="s">
        <v>1082</v>
      </c>
    </row>
    <row r="1654" spans="2:7" x14ac:dyDescent="0.15">
      <c r="B1654" s="299" t="s">
        <v>361</v>
      </c>
      <c r="C1654" s="69" t="s">
        <v>362</v>
      </c>
      <c r="D1654" s="70">
        <f>VLOOKUP(C1654,基本字段定义!$B$3:$C$3013,2,FALSE)</f>
        <v>507</v>
      </c>
      <c r="E1654" s="71" t="s">
        <v>363</v>
      </c>
      <c r="F1654" s="71"/>
      <c r="G1654" s="72"/>
    </row>
    <row r="1655" spans="2:7" x14ac:dyDescent="0.15">
      <c r="B1655" s="299"/>
      <c r="C1655" s="69" t="s">
        <v>364</v>
      </c>
      <c r="D1655" s="70">
        <f>VLOOKUP(C1655,基本字段定义!$B$3:$C$3013,2,FALSE)</f>
        <v>508</v>
      </c>
      <c r="E1655" s="71" t="s">
        <v>365</v>
      </c>
      <c r="F1655" s="71"/>
      <c r="G1655" s="73"/>
    </row>
    <row r="1656" spans="2:7" x14ac:dyDescent="0.15">
      <c r="B1656" s="299"/>
      <c r="C1656" s="69" t="s">
        <v>916</v>
      </c>
      <c r="D1656" s="70">
        <f>VLOOKUP(C1656,基本字段定义!$B$3:$C$3013,2,FALSE)</f>
        <v>681</v>
      </c>
      <c r="E1656" s="71" t="s">
        <v>363</v>
      </c>
      <c r="F1656" s="71"/>
      <c r="G1656" s="73" t="s">
        <v>917</v>
      </c>
    </row>
    <row r="1657" spans="2:7" ht="14.25" thickBot="1" x14ac:dyDescent="0.2">
      <c r="B1657" s="304"/>
      <c r="C1657" s="75"/>
      <c r="D1657" s="83"/>
      <c r="E1657" s="77"/>
      <c r="F1657" s="77"/>
      <c r="G1657" s="78"/>
    </row>
    <row r="1659" spans="2:7" x14ac:dyDescent="0.15">
      <c r="B1659" s="57" t="s">
        <v>163</v>
      </c>
      <c r="C1659" s="84">
        <v>105001</v>
      </c>
      <c r="D1659" s="85"/>
      <c r="E1659" s="86"/>
      <c r="F1659" s="58" t="s">
        <v>352</v>
      </c>
      <c r="G1659" s="59"/>
    </row>
    <row r="1660" spans="2:7" x14ac:dyDescent="0.15">
      <c r="B1660" s="60" t="s">
        <v>353</v>
      </c>
      <c r="C1660" s="87" t="str">
        <f>VLOOKUP(C1659,功能索引!$C$3:$D$278,2,FALSE)</f>
        <v>基金公司参数查询</v>
      </c>
      <c r="D1660" s="88"/>
      <c r="E1660" s="89"/>
      <c r="F1660" s="61" t="s">
        <v>165</v>
      </c>
      <c r="G1660" s="62" t="str">
        <f>VLOOKUP(C1659,功能索引!$C$3:$E1816,3,FALSE)</f>
        <v>Y</v>
      </c>
    </row>
    <row r="1661" spans="2:7" x14ac:dyDescent="0.15">
      <c r="B1661" s="299" t="s">
        <v>354</v>
      </c>
      <c r="C1661" s="99"/>
      <c r="D1661" s="100"/>
      <c r="E1661" s="100"/>
      <c r="F1661" s="100"/>
      <c r="G1661" s="101"/>
    </row>
    <row r="1662" spans="2:7" ht="14.25" thickBot="1" x14ac:dyDescent="0.2">
      <c r="B1662" s="304"/>
      <c r="C1662" s="102"/>
      <c r="D1662" s="103"/>
      <c r="E1662" s="103"/>
      <c r="F1662" s="103"/>
      <c r="G1662" s="104"/>
    </row>
    <row r="1663" spans="2:7" x14ac:dyDescent="0.15">
      <c r="B1663" s="298" t="s">
        <v>355</v>
      </c>
      <c r="C1663" s="58" t="s">
        <v>356</v>
      </c>
      <c r="D1663" s="58" t="s">
        <v>357</v>
      </c>
      <c r="E1663" s="58" t="s">
        <v>358</v>
      </c>
      <c r="F1663" s="58" t="s">
        <v>359</v>
      </c>
      <c r="G1663" s="64" t="s">
        <v>360</v>
      </c>
    </row>
    <row r="1664" spans="2:7" x14ac:dyDescent="0.15">
      <c r="B1664" s="299"/>
      <c r="C1664" s="65" t="s">
        <v>1083</v>
      </c>
      <c r="D1664" s="66">
        <f>VLOOKUP(C1664,基本字段定义!$B$3:$C$3013,2,FALSE)</f>
        <v>9198</v>
      </c>
      <c r="E1664" s="67" t="s">
        <v>388</v>
      </c>
      <c r="F1664" s="67"/>
      <c r="G1664" s="68" t="s">
        <v>1084</v>
      </c>
    </row>
    <row r="1665" spans="2:7" x14ac:dyDescent="0.15">
      <c r="B1665" s="299" t="s">
        <v>361</v>
      </c>
      <c r="C1665" s="69" t="s">
        <v>1083</v>
      </c>
      <c r="D1665" s="70">
        <f>VLOOKUP(C1665,基本字段定义!$B$3:$C$3013,2,FALSE)</f>
        <v>9198</v>
      </c>
      <c r="E1665" s="71" t="s">
        <v>365</v>
      </c>
      <c r="F1665" s="71"/>
      <c r="G1665" s="72" t="s">
        <v>1084</v>
      </c>
    </row>
    <row r="1666" spans="2:7" x14ac:dyDescent="0.15">
      <c r="B1666" s="299"/>
      <c r="C1666" s="69" t="s">
        <v>384</v>
      </c>
      <c r="D1666" s="70">
        <f>VLOOKUP(C1666,基本字段定义!$B$3:$C$3013,2,FALSE)</f>
        <v>834</v>
      </c>
      <c r="E1666" s="71" t="s">
        <v>365</v>
      </c>
      <c r="F1666" s="71"/>
      <c r="G1666" s="73" t="s">
        <v>1085</v>
      </c>
    </row>
    <row r="1667" spans="2:7" x14ac:dyDescent="0.15">
      <c r="B1667" s="299"/>
      <c r="C1667" s="69" t="s">
        <v>1086</v>
      </c>
      <c r="D1667" s="70">
        <f>VLOOKUP(C1667,基本字段定义!$B$3:$C$3013,2,FALSE)</f>
        <v>833</v>
      </c>
      <c r="E1667" s="71" t="s">
        <v>365</v>
      </c>
      <c r="F1667" s="71"/>
      <c r="G1667" s="73" t="s">
        <v>1087</v>
      </c>
    </row>
    <row r="1668" spans="2:7" ht="14.25" thickBot="1" x14ac:dyDescent="0.2">
      <c r="B1668" s="304"/>
      <c r="C1668" s="75"/>
      <c r="D1668" s="83"/>
      <c r="E1668" s="77"/>
      <c r="F1668" s="77"/>
      <c r="G1668" s="78"/>
    </row>
    <row r="1670" spans="2:7" x14ac:dyDescent="0.15">
      <c r="B1670" s="57" t="s">
        <v>163</v>
      </c>
      <c r="C1670" s="84">
        <v>105002</v>
      </c>
      <c r="D1670" s="85"/>
      <c r="E1670" s="86"/>
      <c r="F1670" s="58" t="s">
        <v>352</v>
      </c>
      <c r="G1670" s="59">
        <v>20120626</v>
      </c>
    </row>
    <row r="1671" spans="2:7" x14ac:dyDescent="0.15">
      <c r="B1671" s="60" t="s">
        <v>353</v>
      </c>
      <c r="C1671" s="87" t="str">
        <f>VLOOKUP(C1670,功能索引!$C$3:$D$278,2,FALSE)</f>
        <v>基金代码查询</v>
      </c>
      <c r="D1671" s="88"/>
      <c r="E1671" s="89"/>
      <c r="F1671" s="61" t="s">
        <v>165</v>
      </c>
      <c r="G1671" s="62" t="str">
        <f>VLOOKUP(C1670,功能索引!$C$3:$E1843,3,FALSE)</f>
        <v>Y</v>
      </c>
    </row>
    <row r="1672" spans="2:7" x14ac:dyDescent="0.15">
      <c r="B1672" s="299" t="s">
        <v>354</v>
      </c>
      <c r="C1672" s="99"/>
      <c r="D1672" s="100"/>
      <c r="E1672" s="100"/>
      <c r="F1672" s="100"/>
      <c r="G1672" s="101"/>
    </row>
    <row r="1673" spans="2:7" ht="14.25" thickBot="1" x14ac:dyDescent="0.2">
      <c r="B1673" s="304"/>
      <c r="C1673" s="102"/>
      <c r="D1673" s="103"/>
      <c r="E1673" s="103"/>
      <c r="F1673" s="103"/>
      <c r="G1673" s="104"/>
    </row>
    <row r="1674" spans="2:7" x14ac:dyDescent="0.15">
      <c r="B1674" s="298" t="s">
        <v>355</v>
      </c>
      <c r="C1674" s="58" t="s">
        <v>356</v>
      </c>
      <c r="D1674" s="58" t="s">
        <v>357</v>
      </c>
      <c r="E1674" s="58" t="s">
        <v>358</v>
      </c>
      <c r="F1674" s="58" t="s">
        <v>359</v>
      </c>
      <c r="G1674" s="64" t="s">
        <v>360</v>
      </c>
    </row>
    <row r="1675" spans="2:7" x14ac:dyDescent="0.15">
      <c r="B1675" s="306"/>
      <c r="C1675" s="65" t="s">
        <v>1083</v>
      </c>
      <c r="D1675" s="66">
        <f>VLOOKUP(C1675,基本字段定义!$B$3:$C$3013,2,FALSE)</f>
        <v>9198</v>
      </c>
      <c r="E1675" s="67" t="s">
        <v>388</v>
      </c>
      <c r="F1675" s="67"/>
      <c r="G1675" s="68" t="s">
        <v>1084</v>
      </c>
    </row>
    <row r="1676" spans="2:7" x14ac:dyDescent="0.15">
      <c r="B1676" s="306"/>
      <c r="C1676" s="65" t="s">
        <v>1088</v>
      </c>
      <c r="D1676" s="66">
        <f>VLOOKUP(C1676,基本字段定义!$B$3:$C$3013,2,FALSE)</f>
        <v>9357</v>
      </c>
      <c r="E1676" s="67" t="s">
        <v>604</v>
      </c>
      <c r="F1676" s="67"/>
      <c r="G1676" s="68" t="s">
        <v>1089</v>
      </c>
    </row>
    <row r="1677" spans="2:7" x14ac:dyDescent="0.15">
      <c r="B1677" s="299"/>
      <c r="C1677" s="124" t="s">
        <v>1090</v>
      </c>
      <c r="D1677" s="123">
        <f>VLOOKUP(C1677,基本字段定义!$B$3:$C$3013,2,FALSE)</f>
        <v>9364</v>
      </c>
      <c r="E1677" s="123" t="s">
        <v>363</v>
      </c>
      <c r="F1677" s="123"/>
      <c r="G1677" s="119" t="s">
        <v>1091</v>
      </c>
    </row>
    <row r="1678" spans="2:7" x14ac:dyDescent="0.15">
      <c r="B1678" s="299" t="s">
        <v>361</v>
      </c>
      <c r="C1678" s="69" t="s">
        <v>1083</v>
      </c>
      <c r="D1678" s="70">
        <f>VLOOKUP(C1678,基本字段定义!$B$3:$C$3013,2,FALSE)</f>
        <v>9198</v>
      </c>
      <c r="E1678" s="71" t="s">
        <v>365</v>
      </c>
      <c r="F1678" s="71"/>
      <c r="G1678" s="73" t="s">
        <v>1084</v>
      </c>
    </row>
    <row r="1679" spans="2:7" x14ac:dyDescent="0.15">
      <c r="B1679" s="299"/>
      <c r="C1679" s="69" t="s">
        <v>773</v>
      </c>
      <c r="D1679" s="70">
        <f>VLOOKUP(C1679,基本字段定义!$B$3:$C$3013,2,FALSE)</f>
        <v>9129</v>
      </c>
      <c r="E1679" s="71" t="s">
        <v>365</v>
      </c>
      <c r="F1679" s="71"/>
      <c r="G1679" s="72" t="s">
        <v>774</v>
      </c>
    </row>
    <row r="1680" spans="2:7" x14ac:dyDescent="0.15">
      <c r="B1680" s="299"/>
      <c r="C1680" s="69" t="s">
        <v>1092</v>
      </c>
      <c r="D1680" s="70">
        <f>VLOOKUP(C1680,基本字段定义!$B$3:$C$3013,2,FALSE)</f>
        <v>9202</v>
      </c>
      <c r="E1680" s="71" t="s">
        <v>365</v>
      </c>
      <c r="F1680" s="71"/>
      <c r="G1680" s="73" t="s">
        <v>778</v>
      </c>
    </row>
    <row r="1681" spans="2:7" x14ac:dyDescent="0.15">
      <c r="B1681" s="299"/>
      <c r="C1681" s="69" t="s">
        <v>1093</v>
      </c>
      <c r="D1681" s="70">
        <f>VLOOKUP(C1681,基本字段定义!$B$3:$C$3013,2,FALSE)</f>
        <v>9203</v>
      </c>
      <c r="E1681" s="71" t="s">
        <v>365</v>
      </c>
      <c r="F1681" s="71"/>
      <c r="G1681" s="73" t="s">
        <v>1094</v>
      </c>
    </row>
    <row r="1682" spans="2:7" x14ac:dyDescent="0.15">
      <c r="B1682" s="299"/>
      <c r="C1682" s="69" t="s">
        <v>1095</v>
      </c>
      <c r="D1682" s="70">
        <f>VLOOKUP(C1682,基本字段定义!$B$3:$C$3013,2,FALSE)</f>
        <v>9204</v>
      </c>
      <c r="E1682" s="71" t="s">
        <v>563</v>
      </c>
      <c r="F1682" s="71"/>
      <c r="G1682" s="73" t="s">
        <v>1096</v>
      </c>
    </row>
    <row r="1683" spans="2:7" x14ac:dyDescent="0.15">
      <c r="B1683" s="299"/>
      <c r="C1683" s="69" t="s">
        <v>1097</v>
      </c>
      <c r="D1683" s="70">
        <f>VLOOKUP(C1683,基本字段定义!$B$3:$C$3013,2,FALSE)</f>
        <v>874</v>
      </c>
      <c r="E1683" s="71" t="s">
        <v>363</v>
      </c>
      <c r="F1683" s="71"/>
      <c r="G1683" s="73" t="s">
        <v>1098</v>
      </c>
    </row>
    <row r="1684" spans="2:7" x14ac:dyDescent="0.15">
      <c r="B1684" s="299"/>
      <c r="C1684" s="69" t="s">
        <v>1099</v>
      </c>
      <c r="D1684" s="70">
        <f>VLOOKUP(C1684,基本字段定义!$B$3:$C$3013,2,FALSE)</f>
        <v>9322</v>
      </c>
      <c r="E1684" s="71" t="s">
        <v>563</v>
      </c>
      <c r="F1684" s="71"/>
      <c r="G1684" s="73" t="s">
        <v>1100</v>
      </c>
    </row>
    <row r="1685" spans="2:7" x14ac:dyDescent="0.15">
      <c r="B1685" s="299"/>
      <c r="C1685" s="69" t="s">
        <v>1101</v>
      </c>
      <c r="D1685" s="70">
        <f>VLOOKUP(C1685,基本字段定义!$B$3:$C$3013,2,FALSE)</f>
        <v>9323</v>
      </c>
      <c r="E1685" s="71" t="s">
        <v>563</v>
      </c>
      <c r="F1685" s="71"/>
      <c r="G1685" s="73" t="s">
        <v>1102</v>
      </c>
    </row>
    <row r="1686" spans="2:7" x14ac:dyDescent="0.15">
      <c r="B1686" s="299"/>
      <c r="C1686" s="69" t="s">
        <v>1103</v>
      </c>
      <c r="D1686" s="70">
        <f>VLOOKUP(C1686,基本字段定义!$B$3:$C$3013,2,FALSE)</f>
        <v>9324</v>
      </c>
      <c r="E1686" s="71" t="s">
        <v>563</v>
      </c>
      <c r="F1686" s="71"/>
      <c r="G1686" s="73" t="s">
        <v>1104</v>
      </c>
    </row>
    <row r="1687" spans="2:7" x14ac:dyDescent="0.15">
      <c r="B1687" s="299"/>
      <c r="C1687" s="69" t="s">
        <v>1088</v>
      </c>
      <c r="D1687" s="70">
        <f>VLOOKUP(C1687,基本字段定义!$B$3:$C$3013,2,FALSE)</f>
        <v>9357</v>
      </c>
      <c r="E1687" s="71" t="s">
        <v>365</v>
      </c>
      <c r="F1687" s="71"/>
      <c r="G1687" s="73" t="s">
        <v>1089</v>
      </c>
    </row>
    <row r="1688" spans="2:7" x14ac:dyDescent="0.15">
      <c r="B1688" s="300"/>
      <c r="C1688" s="116" t="s">
        <v>1090</v>
      </c>
      <c r="D1688" s="117">
        <f>VLOOKUP(C1688,基本字段定义!$B$3:$C$3013,2,FALSE)</f>
        <v>9364</v>
      </c>
      <c r="E1688" s="117" t="s">
        <v>363</v>
      </c>
      <c r="F1688" s="117"/>
      <c r="G1688" s="115" t="s">
        <v>1091</v>
      </c>
    </row>
    <row r="1689" spans="2:7" ht="14.25" thickBot="1" x14ac:dyDescent="0.2">
      <c r="B1689" s="304"/>
      <c r="C1689" s="75"/>
      <c r="D1689" s="83"/>
      <c r="E1689" s="77"/>
      <c r="F1689" s="77"/>
      <c r="G1689" s="78"/>
    </row>
    <row r="1691" spans="2:7" x14ac:dyDescent="0.15">
      <c r="B1691" s="57" t="s">
        <v>163</v>
      </c>
      <c r="C1691" s="84">
        <v>105012</v>
      </c>
      <c r="D1691" s="85"/>
      <c r="E1691" s="86"/>
      <c r="F1691" s="58" t="s">
        <v>352</v>
      </c>
      <c r="G1691" s="59"/>
    </row>
    <row r="1692" spans="2:7" x14ac:dyDescent="0.15">
      <c r="B1692" s="60" t="s">
        <v>353</v>
      </c>
      <c r="C1692" s="87" t="str">
        <f>VLOOKUP(C1691,功能索引!$C$3:$D$278,2,FALSE)</f>
        <v>客户风险承受能力相适应的基金代码查询</v>
      </c>
      <c r="D1692" s="88"/>
      <c r="E1692" s="89"/>
      <c r="F1692" s="61" t="s">
        <v>165</v>
      </c>
      <c r="G1692" s="62" t="str">
        <f>VLOOKUP(C1691,功能索引!$C$3:$E1903,3,FALSE)</f>
        <v>Y</v>
      </c>
    </row>
    <row r="1693" spans="2:7" x14ac:dyDescent="0.15">
      <c r="B1693" s="299" t="s">
        <v>354</v>
      </c>
      <c r="C1693" s="99"/>
      <c r="D1693" s="100"/>
      <c r="E1693" s="100"/>
      <c r="F1693" s="100"/>
      <c r="G1693" s="101"/>
    </row>
    <row r="1694" spans="2:7" ht="14.25" thickBot="1" x14ac:dyDescent="0.2">
      <c r="B1694" s="304"/>
      <c r="C1694" s="102"/>
      <c r="D1694" s="103"/>
      <c r="E1694" s="103"/>
      <c r="F1694" s="103"/>
      <c r="G1694" s="104"/>
    </row>
    <row r="1695" spans="2:7" x14ac:dyDescent="0.15">
      <c r="B1695" s="298" t="s">
        <v>355</v>
      </c>
      <c r="C1695" s="58" t="s">
        <v>356</v>
      </c>
      <c r="D1695" s="58" t="s">
        <v>357</v>
      </c>
      <c r="E1695" s="58" t="s">
        <v>358</v>
      </c>
      <c r="F1695" s="58" t="s">
        <v>359</v>
      </c>
      <c r="G1695" s="64" t="s">
        <v>360</v>
      </c>
    </row>
    <row r="1696" spans="2:7" x14ac:dyDescent="0.15">
      <c r="B1696" s="299"/>
      <c r="C1696" s="65" t="s">
        <v>428</v>
      </c>
      <c r="D1696" s="66">
        <f>VLOOKUP(C1696,基本字段定义!$B$3:$C$3013,2,FALSE)</f>
        <v>605</v>
      </c>
      <c r="E1696" s="67" t="s">
        <v>429</v>
      </c>
      <c r="F1696" s="67" t="s">
        <v>169</v>
      </c>
      <c r="G1696" s="68" t="s">
        <v>430</v>
      </c>
    </row>
    <row r="1697" spans="2:7" x14ac:dyDescent="0.15">
      <c r="B1697" s="299" t="s">
        <v>361</v>
      </c>
      <c r="C1697" s="69" t="s">
        <v>1083</v>
      </c>
      <c r="D1697" s="70">
        <f>VLOOKUP(C1697,基本字段定义!$B$3:$C$3013,2,FALSE)</f>
        <v>9198</v>
      </c>
      <c r="E1697" s="71" t="s">
        <v>365</v>
      </c>
      <c r="F1697" s="71"/>
      <c r="G1697" s="72" t="s">
        <v>1084</v>
      </c>
    </row>
    <row r="1698" spans="2:7" x14ac:dyDescent="0.15">
      <c r="B1698" s="299"/>
      <c r="C1698" s="69" t="s">
        <v>773</v>
      </c>
      <c r="D1698" s="70">
        <f>VLOOKUP(C1698,基本字段定义!$B$3:$C$3013,2,FALSE)</f>
        <v>9129</v>
      </c>
      <c r="E1698" s="71" t="s">
        <v>365</v>
      </c>
      <c r="F1698" s="71"/>
      <c r="G1698" s="73" t="s">
        <v>774</v>
      </c>
    </row>
    <row r="1699" spans="2:7" x14ac:dyDescent="0.15">
      <c r="B1699" s="299"/>
      <c r="C1699" s="69" t="s">
        <v>1092</v>
      </c>
      <c r="D1699" s="70">
        <f>VLOOKUP(C1699,基本字段定义!$B$3:$C$3013,2,FALSE)</f>
        <v>9202</v>
      </c>
      <c r="E1699" s="71" t="s">
        <v>365</v>
      </c>
      <c r="F1699" s="71"/>
      <c r="G1699" s="73" t="s">
        <v>778</v>
      </c>
    </row>
    <row r="1700" spans="2:7" ht="14.25" thickBot="1" x14ac:dyDescent="0.2">
      <c r="B1700" s="304"/>
      <c r="C1700" s="75"/>
      <c r="D1700" s="83"/>
      <c r="E1700" s="77"/>
      <c r="F1700" s="77"/>
      <c r="G1700" s="78"/>
    </row>
    <row r="1702" spans="2:7" x14ac:dyDescent="0.15">
      <c r="B1702" s="57" t="s">
        <v>163</v>
      </c>
      <c r="C1702" s="84">
        <v>205004</v>
      </c>
      <c r="D1702" s="85"/>
      <c r="E1702" s="86"/>
      <c r="F1702" s="58" t="s">
        <v>352</v>
      </c>
      <c r="G1702" s="59"/>
    </row>
    <row r="1703" spans="2:7" x14ac:dyDescent="0.15">
      <c r="B1703" s="60" t="s">
        <v>353</v>
      </c>
      <c r="C1703" s="87" t="str">
        <f>VLOOKUP(C1702,功能索引!$C$3:$D$278,2,FALSE)</f>
        <v>基金账户自助开户</v>
      </c>
      <c r="D1703" s="88"/>
      <c r="E1703" s="89"/>
      <c r="F1703" s="61" t="s">
        <v>165</v>
      </c>
      <c r="G1703" s="62">
        <f>VLOOKUP(C1702,功能索引!$C$3:$E1920,3,FALSE)</f>
        <v>0</v>
      </c>
    </row>
    <row r="1704" spans="2:7" x14ac:dyDescent="0.15">
      <c r="B1704" s="299" t="s">
        <v>354</v>
      </c>
      <c r="C1704" s="99"/>
      <c r="D1704" s="100"/>
      <c r="E1704" s="100"/>
      <c r="F1704" s="100"/>
      <c r="G1704" s="101"/>
    </row>
    <row r="1705" spans="2:7" ht="14.25" thickBot="1" x14ac:dyDescent="0.2">
      <c r="B1705" s="304"/>
      <c r="C1705" s="102"/>
      <c r="D1705" s="103"/>
      <c r="E1705" s="103"/>
      <c r="F1705" s="103"/>
      <c r="G1705" s="104"/>
    </row>
    <row r="1706" spans="2:7" x14ac:dyDescent="0.15">
      <c r="B1706" s="298" t="s">
        <v>355</v>
      </c>
      <c r="C1706" s="58" t="s">
        <v>356</v>
      </c>
      <c r="D1706" s="58" t="s">
        <v>357</v>
      </c>
      <c r="E1706" s="58" t="s">
        <v>358</v>
      </c>
      <c r="F1706" s="58" t="s">
        <v>359</v>
      </c>
      <c r="G1706" s="64" t="s">
        <v>360</v>
      </c>
    </row>
    <row r="1707" spans="2:7" x14ac:dyDescent="0.15">
      <c r="B1707" s="299"/>
      <c r="C1707" s="65" t="s">
        <v>428</v>
      </c>
      <c r="D1707" s="66">
        <f>VLOOKUP(C1707,基本字段定义!$B$3:$C$3013,2,FALSE)</f>
        <v>605</v>
      </c>
      <c r="E1707" s="67" t="s">
        <v>429</v>
      </c>
      <c r="F1707" s="67" t="s">
        <v>169</v>
      </c>
      <c r="G1707" s="68" t="s">
        <v>430</v>
      </c>
    </row>
    <row r="1708" spans="2:7" x14ac:dyDescent="0.15">
      <c r="B1708" s="299"/>
      <c r="C1708" s="65" t="s">
        <v>1083</v>
      </c>
      <c r="D1708" s="66">
        <f>VLOOKUP(C1708,基本字段定义!$B$3:$C$3013,2,FALSE)</f>
        <v>9198</v>
      </c>
      <c r="E1708" s="67" t="s">
        <v>388</v>
      </c>
      <c r="F1708" s="67" t="s">
        <v>169</v>
      </c>
      <c r="G1708" s="68" t="s">
        <v>1084</v>
      </c>
    </row>
    <row r="1709" spans="2:7" x14ac:dyDescent="0.15">
      <c r="B1709" s="299"/>
      <c r="C1709" s="65" t="s">
        <v>431</v>
      </c>
      <c r="D1709" s="66">
        <f>VLOOKUP(C1709,基本字段定义!$B$3:$C$3013,2,FALSE)</f>
        <v>571</v>
      </c>
      <c r="E1709" s="67" t="s">
        <v>432</v>
      </c>
      <c r="F1709" s="67"/>
      <c r="G1709" s="68" t="s">
        <v>1105</v>
      </c>
    </row>
    <row r="1710" spans="2:7" x14ac:dyDescent="0.15">
      <c r="B1710" s="299" t="s">
        <v>361</v>
      </c>
      <c r="C1710" s="69" t="s">
        <v>362</v>
      </c>
      <c r="D1710" s="70">
        <f>VLOOKUP(C1710,基本字段定义!$B$3:$C$3013,2,FALSE)</f>
        <v>507</v>
      </c>
      <c r="E1710" s="71" t="s">
        <v>363</v>
      </c>
      <c r="F1710" s="71"/>
      <c r="G1710" s="73"/>
    </row>
    <row r="1711" spans="2:7" x14ac:dyDescent="0.15">
      <c r="B1711" s="299"/>
      <c r="C1711" s="69" t="s">
        <v>364</v>
      </c>
      <c r="D1711" s="70">
        <f>VLOOKUP(C1711,基本字段定义!$B$3:$C$3013,2,FALSE)</f>
        <v>508</v>
      </c>
      <c r="E1711" s="71" t="s">
        <v>365</v>
      </c>
      <c r="F1711" s="71"/>
      <c r="G1711" s="72"/>
    </row>
    <row r="1712" spans="2:7" x14ac:dyDescent="0.15">
      <c r="B1712" s="299"/>
      <c r="C1712" s="69" t="s">
        <v>916</v>
      </c>
      <c r="D1712" s="70">
        <f>VLOOKUP(C1712,基本字段定义!$B$3:$C$3013,2,FALSE)</f>
        <v>681</v>
      </c>
      <c r="E1712" s="71" t="s">
        <v>363</v>
      </c>
      <c r="F1712" s="71"/>
      <c r="G1712" s="73" t="s">
        <v>918</v>
      </c>
    </row>
    <row r="1713" spans="2:7" ht="14.25" thickBot="1" x14ac:dyDescent="0.2">
      <c r="B1713" s="304"/>
      <c r="C1713" s="75"/>
      <c r="D1713" s="83"/>
      <c r="E1713" s="77"/>
      <c r="F1713" s="77"/>
      <c r="G1713" s="78"/>
    </row>
    <row r="1715" spans="2:7" x14ac:dyDescent="0.15">
      <c r="B1715" s="57" t="s">
        <v>163</v>
      </c>
      <c r="C1715" s="84">
        <v>205007</v>
      </c>
      <c r="D1715" s="85"/>
      <c r="E1715" s="86"/>
      <c r="F1715" s="58" t="s">
        <v>352</v>
      </c>
      <c r="G1715" s="59"/>
    </row>
    <row r="1716" spans="2:7" x14ac:dyDescent="0.15">
      <c r="B1716" s="60" t="s">
        <v>353</v>
      </c>
      <c r="C1716" s="87" t="str">
        <f>VLOOKUP(C1715,功能索引!$C$3:$D$278,2,FALSE)</f>
        <v>基金认购申购风险检查</v>
      </c>
      <c r="D1716" s="88"/>
      <c r="E1716" s="89"/>
      <c r="F1716" s="61" t="s">
        <v>165</v>
      </c>
      <c r="G1716" s="62">
        <f>VLOOKUP(C1715,功能索引!$C$3:$E1935,3,FALSE)</f>
        <v>0</v>
      </c>
    </row>
    <row r="1717" spans="2:7" ht="13.5" customHeight="1" x14ac:dyDescent="0.15">
      <c r="B1717" s="299" t="s">
        <v>354</v>
      </c>
      <c r="C1717" s="99" t="s">
        <v>1106</v>
      </c>
      <c r="D1717" s="100"/>
      <c r="E1717" s="100"/>
      <c r="F1717" s="100"/>
      <c r="G1717" s="101"/>
    </row>
    <row r="1718" spans="2:7" ht="14.25" thickBot="1" x14ac:dyDescent="0.2">
      <c r="B1718" s="304"/>
      <c r="C1718" s="102"/>
      <c r="D1718" s="103"/>
      <c r="E1718" s="103"/>
      <c r="F1718" s="103"/>
      <c r="G1718" s="104"/>
    </row>
    <row r="1719" spans="2:7" x14ac:dyDescent="0.15">
      <c r="B1719" s="298" t="s">
        <v>355</v>
      </c>
      <c r="C1719" s="58" t="s">
        <v>356</v>
      </c>
      <c r="D1719" s="58" t="s">
        <v>357</v>
      </c>
      <c r="E1719" s="58" t="s">
        <v>358</v>
      </c>
      <c r="F1719" s="58" t="s">
        <v>359</v>
      </c>
      <c r="G1719" s="64" t="s">
        <v>360</v>
      </c>
    </row>
    <row r="1720" spans="2:7" x14ac:dyDescent="0.15">
      <c r="B1720" s="299"/>
      <c r="C1720" s="65" t="s">
        <v>428</v>
      </c>
      <c r="D1720" s="66">
        <f>VLOOKUP(C1720,基本字段定义!$B$3:$C$3013,2,FALSE)</f>
        <v>605</v>
      </c>
      <c r="E1720" s="67" t="s">
        <v>429</v>
      </c>
      <c r="F1720" s="67" t="s">
        <v>169</v>
      </c>
      <c r="G1720" s="68" t="s">
        <v>430</v>
      </c>
    </row>
    <row r="1721" spans="2:7" x14ac:dyDescent="0.15">
      <c r="B1721" s="299"/>
      <c r="C1721" s="65" t="s">
        <v>1083</v>
      </c>
      <c r="D1721" s="66">
        <f>VLOOKUP(C1721,基本字段定义!$B$3:$C$3013,2,FALSE)</f>
        <v>9198</v>
      </c>
      <c r="E1721" s="67" t="s">
        <v>388</v>
      </c>
      <c r="F1721" s="67" t="s">
        <v>169</v>
      </c>
      <c r="G1721" s="68" t="s">
        <v>1084</v>
      </c>
    </row>
    <row r="1722" spans="2:7" x14ac:dyDescent="0.15">
      <c r="B1722" s="299"/>
      <c r="C1722" s="65" t="s">
        <v>773</v>
      </c>
      <c r="D1722" s="66">
        <f>VLOOKUP(C1722,基本字段定义!$B$3:$C$3013,2,FALSE)</f>
        <v>9129</v>
      </c>
      <c r="E1722" s="67" t="s">
        <v>506</v>
      </c>
      <c r="F1722" s="67" t="s">
        <v>169</v>
      </c>
      <c r="G1722" s="68" t="s">
        <v>774</v>
      </c>
    </row>
    <row r="1723" spans="2:7" x14ac:dyDescent="0.15">
      <c r="B1723" s="299" t="s">
        <v>361</v>
      </c>
      <c r="C1723" s="69" t="s">
        <v>362</v>
      </c>
      <c r="D1723" s="70">
        <f>VLOOKUP(C1723,基本字段定义!$B$3:$C$3013,2,FALSE)</f>
        <v>507</v>
      </c>
      <c r="E1723" s="71" t="s">
        <v>363</v>
      </c>
      <c r="F1723" s="71"/>
      <c r="G1723" s="73" t="s">
        <v>889</v>
      </c>
    </row>
    <row r="1724" spans="2:7" x14ac:dyDescent="0.15">
      <c r="B1724" s="299"/>
      <c r="C1724" s="69" t="s">
        <v>364</v>
      </c>
      <c r="D1724" s="70">
        <f>VLOOKUP(C1724,基本字段定义!$B$3:$C$3013,2,FALSE)</f>
        <v>508</v>
      </c>
      <c r="E1724" s="71" t="s">
        <v>365</v>
      </c>
      <c r="F1724" s="71"/>
      <c r="G1724" s="72" t="s">
        <v>890</v>
      </c>
    </row>
    <row r="1725" spans="2:7" ht="14.25" thickBot="1" x14ac:dyDescent="0.2">
      <c r="B1725" s="304"/>
      <c r="C1725" s="75"/>
      <c r="D1725" s="83"/>
      <c r="E1725" s="77"/>
      <c r="F1725" s="77"/>
      <c r="G1725" s="78"/>
    </row>
    <row r="1727" spans="2:7" x14ac:dyDescent="0.15">
      <c r="B1727" s="57" t="s">
        <v>163</v>
      </c>
      <c r="C1727" s="84">
        <v>305001</v>
      </c>
      <c r="D1727" s="85"/>
      <c r="E1727" s="86"/>
      <c r="F1727" s="58" t="s">
        <v>352</v>
      </c>
      <c r="G1727" s="59"/>
    </row>
    <row r="1728" spans="2:7" x14ac:dyDescent="0.15">
      <c r="B1728" s="60" t="s">
        <v>353</v>
      </c>
      <c r="C1728" s="87" t="str">
        <f>VLOOKUP(C1727,功能索引!$C$3:$D$278,2,FALSE)</f>
        <v>基金账户查询</v>
      </c>
      <c r="D1728" s="88"/>
      <c r="E1728" s="89"/>
      <c r="F1728" s="61" t="s">
        <v>165</v>
      </c>
      <c r="G1728" s="62" t="str">
        <f>VLOOKUP(C1727,功能索引!$C$3:$E1947,3,FALSE)</f>
        <v>Y</v>
      </c>
    </row>
    <row r="1729" spans="2:7" x14ac:dyDescent="0.15">
      <c r="B1729" s="299" t="s">
        <v>354</v>
      </c>
      <c r="C1729" s="99"/>
      <c r="D1729" s="100"/>
      <c r="E1729" s="100"/>
      <c r="F1729" s="100"/>
      <c r="G1729" s="101"/>
    </row>
    <row r="1730" spans="2:7" ht="14.25" thickBot="1" x14ac:dyDescent="0.2">
      <c r="B1730" s="304"/>
      <c r="C1730" s="102"/>
      <c r="D1730" s="103"/>
      <c r="E1730" s="103"/>
      <c r="F1730" s="103"/>
      <c r="G1730" s="104"/>
    </row>
    <row r="1731" spans="2:7" x14ac:dyDescent="0.15">
      <c r="B1731" s="298" t="s">
        <v>355</v>
      </c>
      <c r="C1731" s="58" t="s">
        <v>356</v>
      </c>
      <c r="D1731" s="58" t="s">
        <v>357</v>
      </c>
      <c r="E1731" s="58" t="s">
        <v>358</v>
      </c>
      <c r="F1731" s="58" t="s">
        <v>359</v>
      </c>
      <c r="G1731" s="64" t="s">
        <v>360</v>
      </c>
    </row>
    <row r="1732" spans="2:7" x14ac:dyDescent="0.15">
      <c r="B1732" s="299"/>
      <c r="C1732" s="65" t="s">
        <v>428</v>
      </c>
      <c r="D1732" s="66">
        <f>VLOOKUP(C1732,基本字段定义!$B$3:$C$3013,2,FALSE)</f>
        <v>605</v>
      </c>
      <c r="E1732" s="67" t="s">
        <v>429</v>
      </c>
      <c r="F1732" s="67" t="s">
        <v>169</v>
      </c>
      <c r="G1732" s="68" t="s">
        <v>430</v>
      </c>
    </row>
    <row r="1733" spans="2:7" x14ac:dyDescent="0.15">
      <c r="B1733" s="299"/>
      <c r="C1733" s="65" t="s">
        <v>1083</v>
      </c>
      <c r="D1733" s="66">
        <f>VLOOKUP(C1733,基本字段定义!$B$3:$C$3013,2,FALSE)</f>
        <v>9198</v>
      </c>
      <c r="E1733" s="67" t="s">
        <v>388</v>
      </c>
      <c r="F1733" s="67"/>
      <c r="G1733" s="68" t="s">
        <v>1084</v>
      </c>
    </row>
    <row r="1734" spans="2:7" x14ac:dyDescent="0.15">
      <c r="B1734" s="299" t="s">
        <v>361</v>
      </c>
      <c r="C1734" s="69" t="s">
        <v>1083</v>
      </c>
      <c r="D1734" s="70">
        <f>VLOOKUP(C1734,基本字段定义!$B$3:$C$3013,2,FALSE)</f>
        <v>9198</v>
      </c>
      <c r="E1734" s="71" t="s">
        <v>365</v>
      </c>
      <c r="F1734" s="71"/>
      <c r="G1734" s="73" t="s">
        <v>1084</v>
      </c>
    </row>
    <row r="1735" spans="2:7" x14ac:dyDescent="0.15">
      <c r="B1735" s="299"/>
      <c r="C1735" s="69" t="s">
        <v>1107</v>
      </c>
      <c r="D1735" s="70">
        <f>VLOOKUP(C1735,基本字段定义!$B$3:$C$3013,2,FALSE)</f>
        <v>9228</v>
      </c>
      <c r="E1735" s="71" t="s">
        <v>365</v>
      </c>
      <c r="F1735" s="71"/>
      <c r="G1735" s="72" t="s">
        <v>1108</v>
      </c>
    </row>
    <row r="1736" spans="2:7" ht="14.25" thickBot="1" x14ac:dyDescent="0.2">
      <c r="B1736" s="304"/>
      <c r="C1736" s="75"/>
      <c r="D1736" s="83"/>
      <c r="E1736" s="77"/>
      <c r="F1736" s="77"/>
      <c r="G1736" s="78"/>
    </row>
    <row r="1738" spans="2:7" x14ac:dyDescent="0.15">
      <c r="B1738" s="57" t="s">
        <v>163</v>
      </c>
      <c r="C1738" s="84">
        <v>305002</v>
      </c>
      <c r="D1738" s="85"/>
      <c r="E1738" s="86"/>
      <c r="F1738" s="58" t="s">
        <v>352</v>
      </c>
      <c r="G1738" s="59"/>
    </row>
    <row r="1739" spans="2:7" x14ac:dyDescent="0.15">
      <c r="B1739" s="60" t="s">
        <v>353</v>
      </c>
      <c r="C1739" s="87" t="str">
        <f>VLOOKUP(C1738,功能索引!$C$3:$D$278,2,FALSE)</f>
        <v>基金持有份额查询</v>
      </c>
      <c r="D1739" s="88"/>
      <c r="E1739" s="89"/>
      <c r="F1739" s="61" t="s">
        <v>165</v>
      </c>
      <c r="G1739" s="62" t="str">
        <f>VLOOKUP(C1738,功能索引!$C$3:$E1984,3,FALSE)</f>
        <v>Y</v>
      </c>
    </row>
    <row r="1740" spans="2:7" x14ac:dyDescent="0.15">
      <c r="B1740" s="299" t="s">
        <v>354</v>
      </c>
      <c r="C1740" s="99"/>
      <c r="D1740" s="100"/>
      <c r="E1740" s="100"/>
      <c r="F1740" s="100"/>
      <c r="G1740" s="101"/>
    </row>
    <row r="1741" spans="2:7" ht="14.25" thickBot="1" x14ac:dyDescent="0.2">
      <c r="B1741" s="304"/>
      <c r="C1741" s="102"/>
      <c r="D1741" s="103"/>
      <c r="E1741" s="103"/>
      <c r="F1741" s="103"/>
      <c r="G1741" s="104"/>
    </row>
    <row r="1742" spans="2:7" x14ac:dyDescent="0.15">
      <c r="B1742" s="298" t="s">
        <v>355</v>
      </c>
      <c r="C1742" s="58" t="s">
        <v>356</v>
      </c>
      <c r="D1742" s="58" t="s">
        <v>357</v>
      </c>
      <c r="E1742" s="58" t="s">
        <v>358</v>
      </c>
      <c r="F1742" s="58" t="s">
        <v>359</v>
      </c>
      <c r="G1742" s="64" t="s">
        <v>360</v>
      </c>
    </row>
    <row r="1743" spans="2:7" x14ac:dyDescent="0.15">
      <c r="B1743" s="299"/>
      <c r="C1743" s="65" t="s">
        <v>428</v>
      </c>
      <c r="D1743" s="66">
        <f>VLOOKUP(C1743,基本字段定义!$B$3:$C$3013,2,FALSE)</f>
        <v>605</v>
      </c>
      <c r="E1743" s="67" t="s">
        <v>429</v>
      </c>
      <c r="F1743" s="67" t="s">
        <v>169</v>
      </c>
      <c r="G1743" s="68" t="s">
        <v>430</v>
      </c>
    </row>
    <row r="1744" spans="2:7" x14ac:dyDescent="0.15">
      <c r="B1744" s="299"/>
      <c r="C1744" s="65" t="s">
        <v>1083</v>
      </c>
      <c r="D1744" s="66">
        <f>VLOOKUP(C1744,基本字段定义!$B$3:$C$3013,2,FALSE)</f>
        <v>9198</v>
      </c>
      <c r="E1744" s="67" t="s">
        <v>388</v>
      </c>
      <c r="F1744" s="67"/>
      <c r="G1744" s="68" t="s">
        <v>1084</v>
      </c>
    </row>
    <row r="1745" spans="2:7" x14ac:dyDescent="0.15">
      <c r="B1745" s="299" t="s">
        <v>361</v>
      </c>
      <c r="C1745" s="69" t="s">
        <v>1083</v>
      </c>
      <c r="D1745" s="70">
        <f>VLOOKUP(C1745,基本字段定义!$B$3:$C$3013,2,FALSE)</f>
        <v>9198</v>
      </c>
      <c r="E1745" s="71" t="s">
        <v>365</v>
      </c>
      <c r="F1745" s="71"/>
      <c r="G1745" s="73" t="s">
        <v>1084</v>
      </c>
    </row>
    <row r="1746" spans="2:7" x14ac:dyDescent="0.15">
      <c r="B1746" s="299"/>
      <c r="C1746" s="69" t="s">
        <v>1107</v>
      </c>
      <c r="D1746" s="70">
        <f>VLOOKUP(C1746,基本字段定义!$B$3:$C$3013,2,FALSE)</f>
        <v>9228</v>
      </c>
      <c r="E1746" s="71" t="s">
        <v>365</v>
      </c>
      <c r="F1746" s="71"/>
      <c r="G1746" s="73" t="s">
        <v>1108</v>
      </c>
    </row>
    <row r="1747" spans="2:7" x14ac:dyDescent="0.15">
      <c r="B1747" s="299"/>
      <c r="C1747" s="69" t="s">
        <v>773</v>
      </c>
      <c r="D1747" s="70">
        <f>VLOOKUP(C1747,基本字段定义!$B$3:$C$3013,2,FALSE)</f>
        <v>9129</v>
      </c>
      <c r="E1747" s="71" t="s">
        <v>365</v>
      </c>
      <c r="F1747" s="71"/>
      <c r="G1747" s="73" t="s">
        <v>774</v>
      </c>
    </row>
    <row r="1748" spans="2:7" x14ac:dyDescent="0.15">
      <c r="B1748" s="299"/>
      <c r="C1748" s="69" t="s">
        <v>1097</v>
      </c>
      <c r="D1748" s="70">
        <f>VLOOKUP(C1748,基本字段定义!$B$3:$C$3013,2,FALSE)</f>
        <v>874</v>
      </c>
      <c r="E1748" s="71" t="s">
        <v>363</v>
      </c>
      <c r="F1748" s="71"/>
      <c r="G1748" s="73" t="s">
        <v>1109</v>
      </c>
    </row>
    <row r="1749" spans="2:7" x14ac:dyDescent="0.15">
      <c r="B1749" s="299"/>
      <c r="C1749" s="69" t="s">
        <v>1092</v>
      </c>
      <c r="D1749" s="70">
        <f>VLOOKUP(C1749,基本字段定义!$B$3:$C$3013,2,FALSE)</f>
        <v>9202</v>
      </c>
      <c r="E1749" s="71" t="s">
        <v>365</v>
      </c>
      <c r="F1749" s="71"/>
      <c r="G1749" s="72" t="s">
        <v>778</v>
      </c>
    </row>
    <row r="1750" spans="2:7" x14ac:dyDescent="0.15">
      <c r="B1750" s="299"/>
      <c r="C1750" s="69" t="s">
        <v>1110</v>
      </c>
      <c r="D1750" s="70">
        <f>VLOOKUP(C1750,基本字段定义!$B$3:$C$3013,2,FALSE)</f>
        <v>1000</v>
      </c>
      <c r="E1750" s="71" t="s">
        <v>363</v>
      </c>
      <c r="F1750" s="71"/>
      <c r="G1750" s="73" t="s">
        <v>1111</v>
      </c>
    </row>
    <row r="1751" spans="2:7" x14ac:dyDescent="0.15">
      <c r="B1751" s="299"/>
      <c r="C1751" s="69" t="s">
        <v>1112</v>
      </c>
      <c r="D1751" s="70">
        <f>VLOOKUP(C1751,基本字段定义!$B$3:$C$3013,2,FALSE)</f>
        <v>9248</v>
      </c>
      <c r="E1751" s="71" t="s">
        <v>563</v>
      </c>
      <c r="F1751" s="71"/>
      <c r="G1751" s="73" t="s">
        <v>1113</v>
      </c>
    </row>
    <row r="1752" spans="2:7" x14ac:dyDescent="0.15">
      <c r="B1752" s="299"/>
      <c r="C1752" s="69" t="s">
        <v>1114</v>
      </c>
      <c r="D1752" s="70">
        <f>VLOOKUP(C1752,基本字段定义!$B$3:$C$3013,2,FALSE)</f>
        <v>9237</v>
      </c>
      <c r="E1752" s="71" t="s">
        <v>563</v>
      </c>
      <c r="F1752" s="71"/>
      <c r="G1752" s="73" t="s">
        <v>1115</v>
      </c>
    </row>
    <row r="1753" spans="2:7" x14ac:dyDescent="0.15">
      <c r="B1753" s="300"/>
      <c r="C1753" s="69" t="s">
        <v>857</v>
      </c>
      <c r="D1753" s="70">
        <f>VLOOKUP(C1753,基本字段定义!$B$3:$C$3013,2,FALSE)</f>
        <v>1209</v>
      </c>
      <c r="E1753" s="71" t="s">
        <v>563</v>
      </c>
      <c r="F1753" s="71"/>
      <c r="G1753" s="73" t="s">
        <v>981</v>
      </c>
    </row>
    <row r="1754" spans="2:7" x14ac:dyDescent="0.15">
      <c r="B1754" s="300"/>
      <c r="C1754" s="69" t="s">
        <v>573</v>
      </c>
      <c r="D1754" s="70">
        <f>VLOOKUP(C1754,基本字段定义!$B$3:$C$3013,2,FALSE)</f>
        <v>760</v>
      </c>
      <c r="E1754" s="71" t="s">
        <v>563</v>
      </c>
      <c r="F1754" s="71"/>
      <c r="G1754" s="73" t="s">
        <v>1116</v>
      </c>
    </row>
    <row r="1755" spans="2:7" ht="14.25" thickBot="1" x14ac:dyDescent="0.2">
      <c r="B1755" s="304"/>
      <c r="C1755" s="75"/>
      <c r="D1755" s="83"/>
      <c r="E1755" s="77"/>
      <c r="F1755" s="77"/>
      <c r="G1755" s="78"/>
    </row>
    <row r="1757" spans="2:7" x14ac:dyDescent="0.15">
      <c r="B1757" s="57" t="s">
        <v>163</v>
      </c>
      <c r="C1757" s="84">
        <v>205021</v>
      </c>
      <c r="D1757" s="85"/>
      <c r="E1757" s="86"/>
      <c r="F1757" s="58" t="s">
        <v>352</v>
      </c>
      <c r="G1757" s="59"/>
    </row>
    <row r="1758" spans="2:7" x14ac:dyDescent="0.15">
      <c r="B1758" s="60" t="s">
        <v>353</v>
      </c>
      <c r="C1758" s="87" t="str">
        <f>VLOOKUP(C1757,功能索引!$C$3:$D$278,2,FALSE)</f>
        <v>基金认购申购赎回</v>
      </c>
      <c r="D1758" s="88"/>
      <c r="E1758" s="89"/>
      <c r="F1758" s="61" t="s">
        <v>165</v>
      </c>
      <c r="G1758" s="62">
        <f>VLOOKUP(C1757,功能索引!$C$3:$E2008,3,FALSE)</f>
        <v>0</v>
      </c>
    </row>
    <row r="1759" spans="2:7" x14ac:dyDescent="0.15">
      <c r="B1759" s="299" t="s">
        <v>354</v>
      </c>
      <c r="C1759" s="99"/>
      <c r="D1759" s="100"/>
      <c r="E1759" s="100"/>
      <c r="F1759" s="100"/>
      <c r="G1759" s="101"/>
    </row>
    <row r="1760" spans="2:7" s="55" customFormat="1" ht="14.25" thickBot="1" x14ac:dyDescent="0.2">
      <c r="B1760" s="304"/>
      <c r="C1760" s="102"/>
      <c r="D1760" s="103"/>
      <c r="E1760" s="103"/>
      <c r="F1760" s="103"/>
      <c r="G1760" s="104"/>
    </row>
    <row r="1761" spans="2:7" x14ac:dyDescent="0.15">
      <c r="B1761" s="298" t="s">
        <v>355</v>
      </c>
      <c r="C1761" s="58" t="s">
        <v>356</v>
      </c>
      <c r="D1761" s="58" t="s">
        <v>357</v>
      </c>
      <c r="E1761" s="58" t="s">
        <v>358</v>
      </c>
      <c r="F1761" s="58" t="s">
        <v>359</v>
      </c>
      <c r="G1761" s="64" t="s">
        <v>360</v>
      </c>
    </row>
    <row r="1762" spans="2:7" x14ac:dyDescent="0.15">
      <c r="B1762" s="299"/>
      <c r="C1762" s="65" t="s">
        <v>428</v>
      </c>
      <c r="D1762" s="66">
        <f>VLOOKUP(C1762,基本字段定义!$B$3:$C$3013,2,FALSE)</f>
        <v>605</v>
      </c>
      <c r="E1762" s="67" t="s">
        <v>429</v>
      </c>
      <c r="F1762" s="67" t="s">
        <v>169</v>
      </c>
      <c r="G1762" s="68" t="s">
        <v>430</v>
      </c>
    </row>
    <row r="1763" spans="2:7" x14ac:dyDescent="0.15">
      <c r="B1763" s="299"/>
      <c r="C1763" s="65" t="s">
        <v>1083</v>
      </c>
      <c r="D1763" s="66">
        <v>9198</v>
      </c>
      <c r="E1763" s="67" t="s">
        <v>388</v>
      </c>
      <c r="F1763" s="67" t="s">
        <v>169</v>
      </c>
      <c r="G1763" s="68" t="s">
        <v>1117</v>
      </c>
    </row>
    <row r="1764" spans="2:7" x14ac:dyDescent="0.15">
      <c r="B1764" s="299"/>
      <c r="C1764" s="65" t="s">
        <v>773</v>
      </c>
      <c r="D1764" s="66">
        <f>VLOOKUP(C1764,基本字段定义!$B$3:$C$3013,2,FALSE)</f>
        <v>9129</v>
      </c>
      <c r="E1764" s="67" t="s">
        <v>506</v>
      </c>
      <c r="F1764" s="67" t="s">
        <v>169</v>
      </c>
      <c r="G1764" s="68" t="s">
        <v>774</v>
      </c>
    </row>
    <row r="1765" spans="2:7" x14ac:dyDescent="0.15">
      <c r="B1765" s="299"/>
      <c r="C1765" s="65" t="s">
        <v>1107</v>
      </c>
      <c r="D1765" s="66">
        <f>VLOOKUP(C1765,基本字段定义!$B$3:$C$3013,2,FALSE)</f>
        <v>9228</v>
      </c>
      <c r="E1765" s="67" t="s">
        <v>429</v>
      </c>
      <c r="F1765" s="67" t="s">
        <v>169</v>
      </c>
      <c r="G1765" s="68" t="s">
        <v>1108</v>
      </c>
    </row>
    <row r="1766" spans="2:7" x14ac:dyDescent="0.15">
      <c r="B1766" s="299"/>
      <c r="C1766" s="65" t="s">
        <v>1046</v>
      </c>
      <c r="D1766" s="66">
        <f>VLOOKUP(C1766,基本字段定义!$B$3:$C$3013,2,FALSE)</f>
        <v>1676</v>
      </c>
      <c r="E1766" s="67" t="s">
        <v>553</v>
      </c>
      <c r="F1766" s="67" t="s">
        <v>169</v>
      </c>
      <c r="G1766" s="68" t="s">
        <v>1118</v>
      </c>
    </row>
    <row r="1767" spans="2:7" x14ac:dyDescent="0.15">
      <c r="B1767" s="299"/>
      <c r="C1767" s="65" t="s">
        <v>1097</v>
      </c>
      <c r="D1767" s="66">
        <f>VLOOKUP(C1767,基本字段定义!$B$3:$C$3013,2,FALSE)</f>
        <v>874</v>
      </c>
      <c r="E1767" s="67" t="s">
        <v>363</v>
      </c>
      <c r="F1767" s="67" t="s">
        <v>169</v>
      </c>
      <c r="G1767" s="68" t="s">
        <v>1119</v>
      </c>
    </row>
    <row r="1768" spans="2:7" x14ac:dyDescent="0.15">
      <c r="B1768" s="299"/>
      <c r="C1768" s="65" t="s">
        <v>1120</v>
      </c>
      <c r="D1768" s="66">
        <f>VLOOKUP(C1768,基本字段定义!$B$3:$C$3013,2,FALSE)</f>
        <v>9132</v>
      </c>
      <c r="E1768" s="67" t="s">
        <v>563</v>
      </c>
      <c r="F1768" s="67" t="s">
        <v>169</v>
      </c>
      <c r="G1768" s="68" t="s">
        <v>1121</v>
      </c>
    </row>
    <row r="1769" spans="2:7" x14ac:dyDescent="0.15">
      <c r="B1769" s="299"/>
      <c r="C1769" s="65" t="s">
        <v>585</v>
      </c>
      <c r="D1769" s="66">
        <f>VLOOKUP(C1769,基本字段定义!$B$3:$C$3013,2,FALSE)</f>
        <v>9020</v>
      </c>
      <c r="E1769" s="67" t="s">
        <v>363</v>
      </c>
      <c r="F1769" s="67"/>
      <c r="G1769" s="68" t="s">
        <v>1122</v>
      </c>
    </row>
    <row r="1770" spans="2:7" x14ac:dyDescent="0.15">
      <c r="B1770" s="299" t="s">
        <v>361</v>
      </c>
      <c r="C1770" s="69" t="s">
        <v>362</v>
      </c>
      <c r="D1770" s="70">
        <f>VLOOKUP(C1770,基本字段定义!$B$3:$C$3013,2,FALSE)</f>
        <v>507</v>
      </c>
      <c r="E1770" s="71" t="s">
        <v>363</v>
      </c>
      <c r="F1770" s="71"/>
      <c r="G1770" s="73"/>
    </row>
    <row r="1771" spans="2:7" x14ac:dyDescent="0.15">
      <c r="B1771" s="299"/>
      <c r="C1771" s="69" t="s">
        <v>364</v>
      </c>
      <c r="D1771" s="70">
        <f>VLOOKUP(C1771,基本字段定义!$B$3:$C$3013,2,FALSE)</f>
        <v>508</v>
      </c>
      <c r="E1771" s="71" t="s">
        <v>365</v>
      </c>
      <c r="F1771" s="71"/>
      <c r="G1771" s="72"/>
    </row>
    <row r="1772" spans="2:7" x14ac:dyDescent="0.15">
      <c r="B1772" s="299"/>
      <c r="C1772" s="69" t="s">
        <v>916</v>
      </c>
      <c r="D1772" s="70">
        <f>VLOOKUP(C1772,基本字段定义!$B$3:$C$3013,2,FALSE)</f>
        <v>681</v>
      </c>
      <c r="E1772" s="71" t="s">
        <v>363</v>
      </c>
      <c r="F1772" s="71"/>
      <c r="G1772" s="73"/>
    </row>
    <row r="1773" spans="2:7" ht="14.25" thickBot="1" x14ac:dyDescent="0.2">
      <c r="B1773" s="304"/>
      <c r="C1773" s="75"/>
      <c r="D1773" s="83"/>
      <c r="E1773" s="77"/>
      <c r="F1773" s="77"/>
      <c r="G1773" s="78"/>
    </row>
    <row r="1775" spans="2:7" x14ac:dyDescent="0.15">
      <c r="B1775" s="57" t="s">
        <v>163</v>
      </c>
      <c r="C1775" s="84">
        <v>205022</v>
      </c>
      <c r="D1775" s="85"/>
      <c r="E1775" s="86"/>
      <c r="F1775" s="58" t="s">
        <v>352</v>
      </c>
      <c r="G1775" s="59"/>
    </row>
    <row r="1776" spans="2:7" x14ac:dyDescent="0.15">
      <c r="B1776" s="60" t="s">
        <v>353</v>
      </c>
      <c r="C1776" s="87" t="str">
        <f>VLOOKUP(C1775,功能索引!$C$3:$D$278,2,FALSE)</f>
        <v>基金分红方式设置</v>
      </c>
      <c r="D1776" s="88"/>
      <c r="E1776" s="89"/>
      <c r="F1776" s="61" t="s">
        <v>165</v>
      </c>
      <c r="G1776" s="62">
        <f>VLOOKUP(C1775,功能索引!$C$3:$E2030,3,FALSE)</f>
        <v>0</v>
      </c>
    </row>
    <row r="1777" spans="2:7" x14ac:dyDescent="0.15">
      <c r="B1777" s="299" t="s">
        <v>354</v>
      </c>
      <c r="C1777" s="99"/>
      <c r="D1777" s="100"/>
      <c r="E1777" s="100"/>
      <c r="F1777" s="100"/>
      <c r="G1777" s="101"/>
    </row>
    <row r="1778" spans="2:7" ht="14.25" thickBot="1" x14ac:dyDescent="0.2">
      <c r="B1778" s="304"/>
      <c r="C1778" s="102"/>
      <c r="D1778" s="103"/>
      <c r="E1778" s="103"/>
      <c r="F1778" s="103"/>
      <c r="G1778" s="104"/>
    </row>
    <row r="1779" spans="2:7" x14ac:dyDescent="0.15">
      <c r="B1779" s="298" t="s">
        <v>355</v>
      </c>
      <c r="C1779" s="58" t="s">
        <v>356</v>
      </c>
      <c r="D1779" s="58" t="s">
        <v>357</v>
      </c>
      <c r="E1779" s="58" t="s">
        <v>358</v>
      </c>
      <c r="F1779" s="58" t="s">
        <v>359</v>
      </c>
      <c r="G1779" s="64" t="s">
        <v>360</v>
      </c>
    </row>
    <row r="1780" spans="2:7" x14ac:dyDescent="0.15">
      <c r="B1780" s="299"/>
      <c r="C1780" s="65" t="s">
        <v>428</v>
      </c>
      <c r="D1780" s="66">
        <f>VLOOKUP(C1780,基本字段定义!$B$3:$C$3013,2,FALSE)</f>
        <v>605</v>
      </c>
      <c r="E1780" s="67" t="s">
        <v>429</v>
      </c>
      <c r="F1780" s="67" t="s">
        <v>169</v>
      </c>
      <c r="G1780" s="68" t="s">
        <v>430</v>
      </c>
    </row>
    <row r="1781" spans="2:7" s="55" customFormat="1" x14ac:dyDescent="0.15">
      <c r="B1781" s="299"/>
      <c r="C1781" s="65" t="s">
        <v>1083</v>
      </c>
      <c r="D1781" s="66">
        <f>VLOOKUP(C1781,基本字段定义!$B$3:$C$3013,2,FALSE)</f>
        <v>9198</v>
      </c>
      <c r="E1781" s="67" t="s">
        <v>388</v>
      </c>
      <c r="F1781" s="67" t="s">
        <v>169</v>
      </c>
      <c r="G1781" s="68" t="s">
        <v>1084</v>
      </c>
    </row>
    <row r="1782" spans="2:7" s="55" customFormat="1" x14ac:dyDescent="0.15">
      <c r="B1782" s="299"/>
      <c r="C1782" s="65" t="s">
        <v>1107</v>
      </c>
      <c r="D1782" s="66">
        <f>VLOOKUP(C1782,基本字段定义!$B$3:$C$3013,2,FALSE)</f>
        <v>9228</v>
      </c>
      <c r="E1782" s="67" t="s">
        <v>429</v>
      </c>
      <c r="F1782" s="67" t="s">
        <v>169</v>
      </c>
      <c r="G1782" s="68" t="s">
        <v>1108</v>
      </c>
    </row>
    <row r="1783" spans="2:7" s="55" customFormat="1" x14ac:dyDescent="0.15">
      <c r="B1783" s="299"/>
      <c r="C1783" s="65" t="s">
        <v>773</v>
      </c>
      <c r="D1783" s="66">
        <f>VLOOKUP(C1783,基本字段定义!$B$3:$C$3013,2,FALSE)</f>
        <v>9129</v>
      </c>
      <c r="E1783" s="67" t="s">
        <v>506</v>
      </c>
      <c r="F1783" s="67" t="s">
        <v>169</v>
      </c>
      <c r="G1783" s="68" t="s">
        <v>774</v>
      </c>
    </row>
    <row r="1784" spans="2:7" x14ac:dyDescent="0.15">
      <c r="B1784" s="299"/>
      <c r="C1784" s="65" t="s">
        <v>1097</v>
      </c>
      <c r="D1784" s="66">
        <f>VLOOKUP(C1784,基本字段定义!$B$3:$C$3013,2,FALSE)</f>
        <v>874</v>
      </c>
      <c r="E1784" s="67" t="s">
        <v>363</v>
      </c>
      <c r="F1784" s="67" t="s">
        <v>169</v>
      </c>
      <c r="G1784" s="68" t="s">
        <v>1119</v>
      </c>
    </row>
    <row r="1785" spans="2:7" x14ac:dyDescent="0.15">
      <c r="B1785" s="299"/>
      <c r="C1785" s="65" t="s">
        <v>1110</v>
      </c>
      <c r="D1785" s="66">
        <f>VLOOKUP(C1785,基本字段定义!$B$3:$C$3013,2,FALSE)</f>
        <v>1000</v>
      </c>
      <c r="E1785" s="67" t="s">
        <v>363</v>
      </c>
      <c r="F1785" s="67" t="s">
        <v>169</v>
      </c>
      <c r="G1785" s="68" t="s">
        <v>1111</v>
      </c>
    </row>
    <row r="1786" spans="2:7" x14ac:dyDescent="0.15">
      <c r="B1786" s="299" t="s">
        <v>361</v>
      </c>
      <c r="C1786" s="69" t="s">
        <v>362</v>
      </c>
      <c r="D1786" s="70">
        <f>VLOOKUP(C1786,基本字段定义!$B$3:$C$3013,2,FALSE)</f>
        <v>507</v>
      </c>
      <c r="E1786" s="71" t="s">
        <v>363</v>
      </c>
      <c r="F1786" s="71"/>
      <c r="G1786" s="73"/>
    </row>
    <row r="1787" spans="2:7" x14ac:dyDescent="0.15">
      <c r="B1787" s="299"/>
      <c r="C1787" s="69" t="s">
        <v>364</v>
      </c>
      <c r="D1787" s="70">
        <f>VLOOKUP(C1787,基本字段定义!$B$3:$C$3013,2,FALSE)</f>
        <v>508</v>
      </c>
      <c r="E1787" s="71" t="s">
        <v>365</v>
      </c>
      <c r="F1787" s="71"/>
      <c r="G1787" s="72"/>
    </row>
    <row r="1788" spans="2:7" x14ac:dyDescent="0.15">
      <c r="B1788" s="299"/>
      <c r="C1788" s="69" t="s">
        <v>916</v>
      </c>
      <c r="D1788" s="70">
        <f>VLOOKUP(C1788,基本字段定义!$B$3:$C$3013,2,FALSE)</f>
        <v>681</v>
      </c>
      <c r="E1788" s="71" t="s">
        <v>363</v>
      </c>
      <c r="F1788" s="71"/>
      <c r="G1788" s="73"/>
    </row>
    <row r="1789" spans="2:7" ht="14.25" thickBot="1" x14ac:dyDescent="0.2">
      <c r="B1789" s="304"/>
      <c r="C1789" s="75"/>
      <c r="D1789" s="83"/>
      <c r="E1789" s="77"/>
      <c r="F1789" s="77"/>
      <c r="G1789" s="78"/>
    </row>
    <row r="1791" spans="2:7" x14ac:dyDescent="0.15">
      <c r="B1791" s="57" t="s">
        <v>163</v>
      </c>
      <c r="C1791" s="84">
        <v>205025</v>
      </c>
      <c r="D1791" s="85"/>
      <c r="E1791" s="86"/>
      <c r="F1791" s="58" t="s">
        <v>352</v>
      </c>
      <c r="G1791" s="59"/>
    </row>
    <row r="1792" spans="2:7" x14ac:dyDescent="0.15">
      <c r="B1792" s="60" t="s">
        <v>353</v>
      </c>
      <c r="C1792" s="87" t="str">
        <f>VLOOKUP(C1791,功能索引!$C$3:$D$278,2,FALSE)</f>
        <v>基金转换申请</v>
      </c>
      <c r="D1792" s="88"/>
      <c r="E1792" s="89"/>
      <c r="F1792" s="61" t="s">
        <v>165</v>
      </c>
      <c r="G1792" s="62">
        <f>VLOOKUP(C1791,功能索引!$C$3:$E2047,3,FALSE)</f>
        <v>0</v>
      </c>
    </row>
    <row r="1793" spans="2:7" x14ac:dyDescent="0.15">
      <c r="B1793" s="299" t="s">
        <v>354</v>
      </c>
      <c r="C1793" s="99"/>
      <c r="D1793" s="100"/>
      <c r="E1793" s="100"/>
      <c r="F1793" s="100"/>
      <c r="G1793" s="101"/>
    </row>
    <row r="1794" spans="2:7" ht="14.25" thickBot="1" x14ac:dyDescent="0.2">
      <c r="B1794" s="304"/>
      <c r="C1794" s="102"/>
      <c r="D1794" s="103"/>
      <c r="E1794" s="103"/>
      <c r="F1794" s="103"/>
      <c r="G1794" s="104"/>
    </row>
    <row r="1795" spans="2:7" x14ac:dyDescent="0.15">
      <c r="B1795" s="298" t="s">
        <v>355</v>
      </c>
      <c r="C1795" s="58" t="s">
        <v>356</v>
      </c>
      <c r="D1795" s="58" t="s">
        <v>357</v>
      </c>
      <c r="E1795" s="58" t="s">
        <v>358</v>
      </c>
      <c r="F1795" s="58" t="s">
        <v>359</v>
      </c>
      <c r="G1795" s="64" t="s">
        <v>360</v>
      </c>
    </row>
    <row r="1796" spans="2:7" x14ac:dyDescent="0.15">
      <c r="B1796" s="299"/>
      <c r="C1796" s="65" t="s">
        <v>428</v>
      </c>
      <c r="D1796" s="66">
        <f>VLOOKUP(C1796,基本字段定义!$B$3:$C$3013,2,FALSE)</f>
        <v>605</v>
      </c>
      <c r="E1796" s="67" t="s">
        <v>429</v>
      </c>
      <c r="F1796" s="67" t="s">
        <v>169</v>
      </c>
      <c r="G1796" s="68" t="s">
        <v>430</v>
      </c>
    </row>
    <row r="1797" spans="2:7" x14ac:dyDescent="0.15">
      <c r="B1797" s="299"/>
      <c r="C1797" s="65" t="s">
        <v>1083</v>
      </c>
      <c r="D1797" s="66">
        <f>VLOOKUP(C1797,基本字段定义!$B$3:$C$3013,2,FALSE)</f>
        <v>9198</v>
      </c>
      <c r="E1797" s="67" t="s">
        <v>388</v>
      </c>
      <c r="F1797" s="67" t="s">
        <v>169</v>
      </c>
      <c r="G1797" s="68" t="s">
        <v>1084</v>
      </c>
    </row>
    <row r="1798" spans="2:7" x14ac:dyDescent="0.15">
      <c r="B1798" s="299"/>
      <c r="C1798" s="65" t="s">
        <v>1107</v>
      </c>
      <c r="D1798" s="66">
        <f>VLOOKUP(C1798,基本字段定义!$B$3:$C$3013,2,FALSE)</f>
        <v>9228</v>
      </c>
      <c r="E1798" s="67" t="s">
        <v>429</v>
      </c>
      <c r="F1798" s="67" t="s">
        <v>169</v>
      </c>
      <c r="G1798" s="68" t="s">
        <v>1108</v>
      </c>
    </row>
    <row r="1799" spans="2:7" x14ac:dyDescent="0.15">
      <c r="B1799" s="299"/>
      <c r="C1799" s="65" t="s">
        <v>773</v>
      </c>
      <c r="D1799" s="66">
        <f>VLOOKUP(C1799,基本字段定义!$B$3:$C$3013,2,FALSE)</f>
        <v>9129</v>
      </c>
      <c r="E1799" s="67" t="s">
        <v>506</v>
      </c>
      <c r="F1799" s="67" t="s">
        <v>169</v>
      </c>
      <c r="G1799" s="68" t="s">
        <v>1123</v>
      </c>
    </row>
    <row r="1800" spans="2:7" x14ac:dyDescent="0.15">
      <c r="B1800" s="299"/>
      <c r="C1800" s="65" t="s">
        <v>1097</v>
      </c>
      <c r="D1800" s="66">
        <f>VLOOKUP(C1800,基本字段定义!$B$3:$C$3013,2,FALSE)</f>
        <v>874</v>
      </c>
      <c r="E1800" s="67" t="s">
        <v>363</v>
      </c>
      <c r="F1800" s="67" t="s">
        <v>169</v>
      </c>
      <c r="G1800" s="68" t="s">
        <v>1124</v>
      </c>
    </row>
    <row r="1801" spans="2:7" x14ac:dyDescent="0.15">
      <c r="B1801" s="299"/>
      <c r="C1801" s="65" t="s">
        <v>1125</v>
      </c>
      <c r="D1801" s="66">
        <f>VLOOKUP(C1801,基本字段定义!$B$3:$C$3013,2,FALSE)</f>
        <v>9238</v>
      </c>
      <c r="E1801" s="67" t="s">
        <v>563</v>
      </c>
      <c r="F1801" s="67" t="s">
        <v>169</v>
      </c>
      <c r="G1801" s="68" t="s">
        <v>1126</v>
      </c>
    </row>
    <row r="1802" spans="2:7" x14ac:dyDescent="0.15">
      <c r="B1802" s="299"/>
      <c r="C1802" s="65" t="s">
        <v>1127</v>
      </c>
      <c r="D1802" s="66">
        <f>VLOOKUP(C1802,基本字段定义!$B$3:$C$3013,2,FALSE)</f>
        <v>9205</v>
      </c>
      <c r="E1802" s="67" t="s">
        <v>506</v>
      </c>
      <c r="F1802" s="67" t="s">
        <v>169</v>
      </c>
      <c r="G1802" s="68" t="s">
        <v>1128</v>
      </c>
    </row>
    <row r="1803" spans="2:7" x14ac:dyDescent="0.15">
      <c r="B1803" s="299"/>
      <c r="C1803" s="65" t="s">
        <v>1129</v>
      </c>
      <c r="D1803" s="66">
        <f>VLOOKUP(C1803,基本字段定义!$B$3:$C$3013,2,FALSE)</f>
        <v>9246</v>
      </c>
      <c r="E1803" s="67" t="s">
        <v>363</v>
      </c>
      <c r="F1803" s="67" t="s">
        <v>169</v>
      </c>
      <c r="G1803" s="68" t="s">
        <v>1130</v>
      </c>
    </row>
    <row r="1804" spans="2:7" x14ac:dyDescent="0.15">
      <c r="B1804" s="299"/>
      <c r="C1804" s="65" t="s">
        <v>1046</v>
      </c>
      <c r="D1804" s="66">
        <f>VLOOKUP(C1804,基本字段定义!$B$3:$C$3013,2,FALSE)</f>
        <v>1676</v>
      </c>
      <c r="E1804" s="67" t="s">
        <v>553</v>
      </c>
      <c r="F1804" s="67" t="s">
        <v>169</v>
      </c>
      <c r="G1804" s="68" t="s">
        <v>1131</v>
      </c>
    </row>
    <row r="1805" spans="2:7" x14ac:dyDescent="0.15">
      <c r="B1805" s="299" t="s">
        <v>361</v>
      </c>
      <c r="C1805" s="69" t="s">
        <v>362</v>
      </c>
      <c r="D1805" s="70">
        <f>VLOOKUP(C1805,基本字段定义!$B$3:$C$3013,2,FALSE)</f>
        <v>507</v>
      </c>
      <c r="E1805" s="71" t="s">
        <v>363</v>
      </c>
      <c r="F1805" s="71"/>
      <c r="G1805" s="73"/>
    </row>
    <row r="1806" spans="2:7" x14ac:dyDescent="0.15">
      <c r="B1806" s="299"/>
      <c r="C1806" s="69" t="s">
        <v>364</v>
      </c>
      <c r="D1806" s="70">
        <f>VLOOKUP(C1806,基本字段定义!$B$3:$C$3013,2,FALSE)</f>
        <v>508</v>
      </c>
      <c r="E1806" s="71" t="s">
        <v>365</v>
      </c>
      <c r="F1806" s="71"/>
      <c r="G1806" s="72"/>
    </row>
    <row r="1807" spans="2:7" x14ac:dyDescent="0.15">
      <c r="B1807" s="299"/>
      <c r="C1807" s="69" t="s">
        <v>916</v>
      </c>
      <c r="D1807" s="70">
        <f>VLOOKUP(C1807,基本字段定义!$B$3:$C$3013,2,FALSE)</f>
        <v>681</v>
      </c>
      <c r="E1807" s="71" t="s">
        <v>363</v>
      </c>
      <c r="F1807" s="71"/>
      <c r="G1807" s="73"/>
    </row>
    <row r="1808" spans="2:7" ht="14.25" thickBot="1" x14ac:dyDescent="0.2">
      <c r="B1808" s="304"/>
      <c r="C1808" s="75"/>
      <c r="D1808" s="83"/>
      <c r="E1808" s="77"/>
      <c r="F1808" s="77"/>
      <c r="G1808" s="78"/>
    </row>
    <row r="1810" spans="2:7" x14ac:dyDescent="0.15">
      <c r="B1810" s="57" t="s">
        <v>163</v>
      </c>
      <c r="C1810" s="84">
        <v>205011</v>
      </c>
      <c r="D1810" s="85"/>
      <c r="E1810" s="86"/>
      <c r="F1810" s="58" t="s">
        <v>352</v>
      </c>
      <c r="G1810" s="59"/>
    </row>
    <row r="1811" spans="2:7" x14ac:dyDescent="0.15">
      <c r="B1811" s="60" t="s">
        <v>353</v>
      </c>
      <c r="C1811" s="87" t="str">
        <f>VLOOKUP(C1810,功能索引!$C$3:$D$278,2,FALSE)</f>
        <v>基金委托撤销</v>
      </c>
      <c r="D1811" s="88"/>
      <c r="E1811" s="89"/>
      <c r="F1811" s="61" t="s">
        <v>165</v>
      </c>
      <c r="G1811" s="62">
        <f>VLOOKUP(C1810,功能索引!$C$3:$E2073,3,FALSE)</f>
        <v>0</v>
      </c>
    </row>
    <row r="1812" spans="2:7" x14ac:dyDescent="0.15">
      <c r="B1812" s="299" t="s">
        <v>354</v>
      </c>
      <c r="C1812" s="99"/>
      <c r="D1812" s="100"/>
      <c r="E1812" s="100"/>
      <c r="F1812" s="100"/>
      <c r="G1812" s="101"/>
    </row>
    <row r="1813" spans="2:7" ht="14.25" thickBot="1" x14ac:dyDescent="0.2">
      <c r="B1813" s="304"/>
      <c r="C1813" s="102"/>
      <c r="D1813" s="103"/>
      <c r="E1813" s="103"/>
      <c r="F1813" s="103"/>
      <c r="G1813" s="104"/>
    </row>
    <row r="1814" spans="2:7" x14ac:dyDescent="0.15">
      <c r="B1814" s="298" t="s">
        <v>355</v>
      </c>
      <c r="C1814" s="58" t="s">
        <v>356</v>
      </c>
      <c r="D1814" s="58" t="s">
        <v>357</v>
      </c>
      <c r="E1814" s="58" t="s">
        <v>358</v>
      </c>
      <c r="F1814" s="58" t="s">
        <v>359</v>
      </c>
      <c r="G1814" s="64" t="s">
        <v>360</v>
      </c>
    </row>
    <row r="1815" spans="2:7" x14ac:dyDescent="0.15">
      <c r="B1815" s="299"/>
      <c r="C1815" s="65" t="s">
        <v>428</v>
      </c>
      <c r="D1815" s="66">
        <f>VLOOKUP(C1815,基本字段定义!$B$3:$C$3013,2,FALSE)</f>
        <v>605</v>
      </c>
      <c r="E1815" s="67" t="s">
        <v>429</v>
      </c>
      <c r="F1815" s="67" t="s">
        <v>169</v>
      </c>
      <c r="G1815" s="68" t="s">
        <v>430</v>
      </c>
    </row>
    <row r="1816" spans="2:7" x14ac:dyDescent="0.15">
      <c r="B1816" s="299"/>
      <c r="C1816" s="65" t="s">
        <v>916</v>
      </c>
      <c r="D1816" s="66">
        <f>VLOOKUP(C1816,基本字段定义!$B$3:$C$3013,2,FALSE)</f>
        <v>681</v>
      </c>
      <c r="E1816" s="67" t="s">
        <v>363</v>
      </c>
      <c r="F1816" s="67" t="s">
        <v>169</v>
      </c>
      <c r="G1816" s="68" t="s">
        <v>918</v>
      </c>
    </row>
    <row r="1817" spans="2:7" x14ac:dyDescent="0.15">
      <c r="B1817" s="299" t="s">
        <v>361</v>
      </c>
      <c r="C1817" s="69" t="s">
        <v>362</v>
      </c>
      <c r="D1817" s="70">
        <f>VLOOKUP(C1817,基本字段定义!$B$3:$C$3013,2,FALSE)</f>
        <v>507</v>
      </c>
      <c r="E1817" s="71" t="s">
        <v>363</v>
      </c>
      <c r="F1817" s="71"/>
      <c r="G1817" s="73"/>
    </row>
    <row r="1818" spans="2:7" x14ac:dyDescent="0.15">
      <c r="B1818" s="299"/>
      <c r="C1818" s="69" t="s">
        <v>364</v>
      </c>
      <c r="D1818" s="70">
        <f>VLOOKUP(C1818,基本字段定义!$B$3:$C$3013,2,FALSE)</f>
        <v>508</v>
      </c>
      <c r="E1818" s="71" t="s">
        <v>365</v>
      </c>
      <c r="F1818" s="71"/>
      <c r="G1818" s="72"/>
    </row>
    <row r="1819" spans="2:7" ht="14.25" thickBot="1" x14ac:dyDescent="0.2">
      <c r="B1819" s="304"/>
      <c r="C1819" s="75"/>
      <c r="D1819" s="83"/>
      <c r="E1819" s="77"/>
      <c r="F1819" s="77"/>
      <c r="G1819" s="78"/>
    </row>
    <row r="1821" spans="2:7" x14ac:dyDescent="0.15">
      <c r="B1821" s="57" t="s">
        <v>163</v>
      </c>
      <c r="C1821" s="84">
        <v>305003</v>
      </c>
      <c r="D1821" s="85"/>
      <c r="E1821" s="86"/>
      <c r="F1821" s="58" t="s">
        <v>352</v>
      </c>
      <c r="G1821" s="59"/>
    </row>
    <row r="1822" spans="2:7" x14ac:dyDescent="0.15">
      <c r="B1822" s="60" t="s">
        <v>353</v>
      </c>
      <c r="C1822" s="87" t="str">
        <f>VLOOKUP(C1821,功能索引!$C$3:$D$278,2,FALSE)</f>
        <v>查询当日基金委托</v>
      </c>
      <c r="D1822" s="88"/>
      <c r="E1822" s="89"/>
      <c r="F1822" s="61" t="s">
        <v>165</v>
      </c>
      <c r="G1822" s="62" t="str">
        <f>VLOOKUP(C1821,功能索引!$C$3:$E2085,3,FALSE)</f>
        <v>Y</v>
      </c>
    </row>
    <row r="1823" spans="2:7" x14ac:dyDescent="0.15">
      <c r="B1823" s="299" t="s">
        <v>354</v>
      </c>
      <c r="C1823" s="99"/>
      <c r="D1823" s="100"/>
      <c r="E1823" s="100"/>
      <c r="F1823" s="100"/>
      <c r="G1823" s="101"/>
    </row>
    <row r="1824" spans="2:7" ht="14.25" thickBot="1" x14ac:dyDescent="0.2">
      <c r="B1824" s="304"/>
      <c r="C1824" s="102"/>
      <c r="D1824" s="103"/>
      <c r="E1824" s="103"/>
      <c r="F1824" s="103"/>
      <c r="G1824" s="104"/>
    </row>
    <row r="1825" spans="2:7" x14ac:dyDescent="0.15">
      <c r="B1825" s="298" t="s">
        <v>355</v>
      </c>
      <c r="C1825" s="58" t="s">
        <v>356</v>
      </c>
      <c r="D1825" s="58" t="s">
        <v>357</v>
      </c>
      <c r="E1825" s="58" t="s">
        <v>358</v>
      </c>
      <c r="F1825" s="58" t="s">
        <v>359</v>
      </c>
      <c r="G1825" s="64" t="s">
        <v>360</v>
      </c>
    </row>
    <row r="1826" spans="2:7" x14ac:dyDescent="0.15">
      <c r="B1826" s="299"/>
      <c r="C1826" s="65" t="s">
        <v>428</v>
      </c>
      <c r="D1826" s="66">
        <f>VLOOKUP(C1826,基本字段定义!$B$3:$C$3013,2,FALSE)</f>
        <v>605</v>
      </c>
      <c r="E1826" s="67" t="s">
        <v>429</v>
      </c>
      <c r="F1826" s="67" t="s">
        <v>169</v>
      </c>
      <c r="G1826" s="68" t="s">
        <v>430</v>
      </c>
    </row>
    <row r="1827" spans="2:7" x14ac:dyDescent="0.15">
      <c r="B1827" s="299"/>
      <c r="C1827" s="65" t="s">
        <v>1083</v>
      </c>
      <c r="D1827" s="66">
        <f>VLOOKUP(C1827,基本字段定义!$B$3:$C$3013,2,FALSE)</f>
        <v>9198</v>
      </c>
      <c r="E1827" s="67" t="s">
        <v>388</v>
      </c>
      <c r="F1827" s="67"/>
      <c r="G1827" s="68" t="s">
        <v>1084</v>
      </c>
    </row>
    <row r="1828" spans="2:7" x14ac:dyDescent="0.15">
      <c r="B1828" s="299"/>
      <c r="C1828" s="65" t="s">
        <v>916</v>
      </c>
      <c r="D1828" s="66">
        <f>VLOOKUP(C1828,基本字段定义!$B$3:$C$3013,2,FALSE)</f>
        <v>681</v>
      </c>
      <c r="E1828" s="67" t="s">
        <v>363</v>
      </c>
      <c r="F1828" s="67"/>
      <c r="G1828" s="68" t="s">
        <v>918</v>
      </c>
    </row>
    <row r="1829" spans="2:7" x14ac:dyDescent="0.15">
      <c r="B1829" s="299" t="s">
        <v>361</v>
      </c>
      <c r="C1829" s="69" t="s">
        <v>916</v>
      </c>
      <c r="D1829" s="70">
        <f>VLOOKUP(C1829,基本字段定义!$B$3:$C$3013,2,FALSE)</f>
        <v>681</v>
      </c>
      <c r="E1829" s="71" t="s">
        <v>363</v>
      </c>
      <c r="F1829" s="71"/>
      <c r="G1829" s="73" t="s">
        <v>918</v>
      </c>
    </row>
    <row r="1830" spans="2:7" x14ac:dyDescent="0.15">
      <c r="B1830" s="299"/>
      <c r="C1830" s="69" t="s">
        <v>990</v>
      </c>
      <c r="D1830" s="70">
        <f>VLOOKUP(C1830,基本字段定义!$B$3:$C$3013,2,FALSE)</f>
        <v>1898</v>
      </c>
      <c r="E1830" s="71" t="s">
        <v>363</v>
      </c>
      <c r="F1830" s="71"/>
      <c r="G1830" s="73" t="s">
        <v>991</v>
      </c>
    </row>
    <row r="1831" spans="2:7" x14ac:dyDescent="0.15">
      <c r="B1831" s="299"/>
      <c r="C1831" s="69" t="s">
        <v>941</v>
      </c>
      <c r="D1831" s="70">
        <f>VLOOKUP(C1831,基本字段定义!$B$3:$C$3013,2,FALSE)</f>
        <v>750</v>
      </c>
      <c r="E1831" s="71" t="s">
        <v>365</v>
      </c>
      <c r="F1831" s="71"/>
      <c r="G1831" s="73" t="s">
        <v>942</v>
      </c>
    </row>
    <row r="1832" spans="2:7" x14ac:dyDescent="0.15">
      <c r="B1832" s="299"/>
      <c r="C1832" s="69" t="s">
        <v>1107</v>
      </c>
      <c r="D1832" s="70">
        <f>VLOOKUP(C1832,基本字段定义!$B$3:$C$3013,2,FALSE)</f>
        <v>9228</v>
      </c>
      <c r="E1832" s="71" t="s">
        <v>365</v>
      </c>
      <c r="F1832" s="71"/>
      <c r="G1832" s="73" t="s">
        <v>1108</v>
      </c>
    </row>
    <row r="1833" spans="2:7" x14ac:dyDescent="0.15">
      <c r="B1833" s="299"/>
      <c r="C1833" s="69" t="s">
        <v>1083</v>
      </c>
      <c r="D1833" s="70">
        <f>VLOOKUP(C1833,基本字段定义!$B$3:$C$3013,2,FALSE)</f>
        <v>9198</v>
      </c>
      <c r="E1833" s="71" t="s">
        <v>365</v>
      </c>
      <c r="F1833" s="71"/>
      <c r="G1833" s="73" t="s">
        <v>1084</v>
      </c>
    </row>
    <row r="1834" spans="2:7" x14ac:dyDescent="0.15">
      <c r="B1834" s="299"/>
      <c r="C1834" s="69" t="s">
        <v>773</v>
      </c>
      <c r="D1834" s="70">
        <f>VLOOKUP(C1834,基本字段定义!$B$3:$C$3013,2,FALSE)</f>
        <v>9129</v>
      </c>
      <c r="E1834" s="71" t="s">
        <v>365</v>
      </c>
      <c r="F1834" s="71"/>
      <c r="G1834" s="73" t="s">
        <v>774</v>
      </c>
    </row>
    <row r="1835" spans="2:7" x14ac:dyDescent="0.15">
      <c r="B1835" s="299"/>
      <c r="C1835" s="69" t="s">
        <v>1097</v>
      </c>
      <c r="D1835" s="70">
        <f>VLOOKUP(C1835,基本字段定义!$B$3:$C$3013,2,FALSE)</f>
        <v>874</v>
      </c>
      <c r="E1835" s="71" t="s">
        <v>363</v>
      </c>
      <c r="F1835" s="71"/>
      <c r="G1835" s="73" t="s">
        <v>1119</v>
      </c>
    </row>
    <row r="1836" spans="2:7" x14ac:dyDescent="0.15">
      <c r="B1836" s="299"/>
      <c r="C1836" s="69" t="s">
        <v>1092</v>
      </c>
      <c r="D1836" s="70">
        <f>VLOOKUP(C1836,基本字段定义!$B$3:$C$3013,2,FALSE)</f>
        <v>9202</v>
      </c>
      <c r="E1836" s="71" t="s">
        <v>365</v>
      </c>
      <c r="F1836" s="71"/>
      <c r="G1836" s="73" t="s">
        <v>778</v>
      </c>
    </row>
    <row r="1837" spans="2:7" x14ac:dyDescent="0.15">
      <c r="B1837" s="299"/>
      <c r="C1837" s="69" t="s">
        <v>1046</v>
      </c>
      <c r="D1837" s="70">
        <f>VLOOKUP(C1837,基本字段定义!$B$3:$C$3013,2,FALSE)</f>
        <v>1676</v>
      </c>
      <c r="E1837" s="71" t="s">
        <v>365</v>
      </c>
      <c r="F1837" s="71"/>
      <c r="G1837" s="73" t="s">
        <v>1132</v>
      </c>
    </row>
    <row r="1838" spans="2:7" x14ac:dyDescent="0.15">
      <c r="B1838" s="299"/>
      <c r="C1838" s="69" t="s">
        <v>1125</v>
      </c>
      <c r="D1838" s="70">
        <f>VLOOKUP(C1838,基本字段定义!$B$3:$C$3013,2,FALSE)</f>
        <v>9238</v>
      </c>
      <c r="E1838" s="71" t="s">
        <v>563</v>
      </c>
      <c r="F1838" s="71"/>
      <c r="G1838" s="73" t="s">
        <v>1133</v>
      </c>
    </row>
    <row r="1839" spans="2:7" x14ac:dyDescent="0.15">
      <c r="B1839" s="299"/>
      <c r="C1839" s="69" t="s">
        <v>1120</v>
      </c>
      <c r="D1839" s="70">
        <f>VLOOKUP(C1839,基本字段定义!$B$3:$C$3013,2,FALSE)</f>
        <v>9132</v>
      </c>
      <c r="E1839" s="71" t="s">
        <v>563</v>
      </c>
      <c r="F1839" s="71"/>
      <c r="G1839" s="73" t="s">
        <v>1134</v>
      </c>
    </row>
    <row r="1840" spans="2:7" x14ac:dyDescent="0.15">
      <c r="B1840" s="299"/>
      <c r="C1840" s="69" t="s">
        <v>956</v>
      </c>
      <c r="D1840" s="70">
        <f>VLOOKUP(C1840,基本字段定义!$B$3:$C$3013,2,FALSE)</f>
        <v>641</v>
      </c>
      <c r="E1840" s="71" t="s">
        <v>365</v>
      </c>
      <c r="F1840" s="71"/>
      <c r="G1840" s="73" t="s">
        <v>1000</v>
      </c>
    </row>
    <row r="1841" spans="2:7" x14ac:dyDescent="0.15">
      <c r="B1841" s="299"/>
      <c r="C1841" s="69" t="s">
        <v>945</v>
      </c>
      <c r="D1841" s="70">
        <f>VLOOKUP(C1841,基本字段定义!$B$3:$C$3013,2,FALSE)</f>
        <v>753</v>
      </c>
      <c r="E1841" s="71" t="s">
        <v>363</v>
      </c>
      <c r="F1841" s="71"/>
      <c r="G1841" s="73" t="s">
        <v>1135</v>
      </c>
    </row>
    <row r="1842" spans="2:7" x14ac:dyDescent="0.15">
      <c r="B1842" s="299"/>
      <c r="C1842" s="116" t="s">
        <v>1127</v>
      </c>
      <c r="D1842" s="117">
        <f>VLOOKUP(C1842,基本字段定义!$B$3:$C$3013,2,FALSE)</f>
        <v>9205</v>
      </c>
      <c r="E1842" s="117" t="s">
        <v>365</v>
      </c>
      <c r="F1842" s="117"/>
      <c r="G1842" s="115" t="s">
        <v>1136</v>
      </c>
    </row>
    <row r="1843" spans="2:7" x14ac:dyDescent="0.15">
      <c r="B1843" s="299"/>
      <c r="C1843" s="116" t="s">
        <v>1129</v>
      </c>
      <c r="D1843" s="117">
        <f>VLOOKUP(C1843,基本字段定义!$B$3:$C$3013,2,FALSE)</f>
        <v>9246</v>
      </c>
      <c r="E1843" s="117" t="s">
        <v>363</v>
      </c>
      <c r="F1843" s="117"/>
      <c r="G1843" s="115" t="s">
        <v>1137</v>
      </c>
    </row>
    <row r="1844" spans="2:7" x14ac:dyDescent="0.15">
      <c r="B1844" s="299"/>
      <c r="C1844" s="116" t="s">
        <v>1110</v>
      </c>
      <c r="D1844" s="117">
        <f>VLOOKUP(C1844,基本字段定义!$B$3:$C$3013,2,FALSE)</f>
        <v>1000</v>
      </c>
      <c r="E1844" s="117" t="s">
        <v>363</v>
      </c>
      <c r="F1844" s="117"/>
      <c r="G1844" s="115" t="s">
        <v>1138</v>
      </c>
    </row>
    <row r="1845" spans="2:7" x14ac:dyDescent="0.15">
      <c r="B1845" s="299"/>
      <c r="C1845" s="116" t="s">
        <v>585</v>
      </c>
      <c r="D1845" s="117">
        <f>VLOOKUP(C1845,基本字段定义!$B$3:$C$3013,2,FALSE)</f>
        <v>9020</v>
      </c>
      <c r="E1845" s="117" t="s">
        <v>363</v>
      </c>
      <c r="F1845" s="117"/>
      <c r="G1845" s="115" t="s">
        <v>1139</v>
      </c>
    </row>
    <row r="1846" spans="2:7" ht="14.25" thickBot="1" x14ac:dyDescent="0.2">
      <c r="B1846" s="304"/>
      <c r="C1846" s="75"/>
      <c r="D1846" s="83"/>
      <c r="E1846" s="77"/>
      <c r="F1846" s="77"/>
      <c r="G1846" s="78"/>
    </row>
    <row r="1848" spans="2:7" x14ac:dyDescent="0.15">
      <c r="B1848" s="57" t="s">
        <v>163</v>
      </c>
      <c r="C1848" s="84">
        <v>105008</v>
      </c>
      <c r="D1848" s="85"/>
      <c r="E1848" s="86"/>
      <c r="F1848" s="58" t="s">
        <v>352</v>
      </c>
      <c r="G1848" s="59"/>
    </row>
    <row r="1849" spans="2:7" x14ac:dyDescent="0.15">
      <c r="B1849" s="60" t="s">
        <v>353</v>
      </c>
      <c r="C1849" s="87" t="str">
        <f>VLOOKUP(C1848,功能索引!$C$3:$D$278,2,FALSE)</f>
        <v>定期定额申购品种查询</v>
      </c>
      <c r="D1849" s="88"/>
      <c r="E1849" s="89"/>
      <c r="F1849" s="61" t="s">
        <v>165</v>
      </c>
      <c r="G1849" s="62" t="str">
        <f>VLOOKUP(C1848,功能索引!$C$3:$E2149,3,FALSE)</f>
        <v>Y</v>
      </c>
    </row>
    <row r="1850" spans="2:7" x14ac:dyDescent="0.15">
      <c r="B1850" s="299" t="s">
        <v>354</v>
      </c>
      <c r="C1850" s="99"/>
      <c r="D1850" s="100"/>
      <c r="E1850" s="100"/>
      <c r="F1850" s="100"/>
      <c r="G1850" s="101"/>
    </row>
    <row r="1851" spans="2:7" ht="14.25" thickBot="1" x14ac:dyDescent="0.2">
      <c r="B1851" s="304"/>
      <c r="C1851" s="102"/>
      <c r="D1851" s="103"/>
      <c r="E1851" s="103"/>
      <c r="F1851" s="103"/>
      <c r="G1851" s="104"/>
    </row>
    <row r="1852" spans="2:7" x14ac:dyDescent="0.15">
      <c r="B1852" s="298" t="s">
        <v>355</v>
      </c>
      <c r="C1852" s="58" t="s">
        <v>356</v>
      </c>
      <c r="D1852" s="58" t="s">
        <v>357</v>
      </c>
      <c r="E1852" s="58" t="s">
        <v>358</v>
      </c>
      <c r="F1852" s="58" t="s">
        <v>359</v>
      </c>
      <c r="G1852" s="64" t="s">
        <v>360</v>
      </c>
    </row>
    <row r="1853" spans="2:7" x14ac:dyDescent="0.15">
      <c r="B1853" s="299"/>
      <c r="C1853" s="65" t="s">
        <v>1083</v>
      </c>
      <c r="D1853" s="66">
        <f>VLOOKUP(C1853,基本字段定义!$B$3:$C$3013,2,FALSE)</f>
        <v>9198</v>
      </c>
      <c r="E1853" s="67" t="s">
        <v>388</v>
      </c>
      <c r="F1853" s="67"/>
      <c r="G1853" s="68" t="s">
        <v>1084</v>
      </c>
    </row>
    <row r="1854" spans="2:7" x14ac:dyDescent="0.15">
      <c r="B1854" s="299" t="s">
        <v>361</v>
      </c>
      <c r="C1854" s="69" t="s">
        <v>1083</v>
      </c>
      <c r="D1854" s="70">
        <f>VLOOKUP(C1854,基本字段定义!$B$3:$C$3013,2,FALSE)</f>
        <v>9198</v>
      </c>
      <c r="E1854" s="71" t="s">
        <v>365</v>
      </c>
      <c r="F1854" s="71"/>
      <c r="G1854" s="73" t="s">
        <v>1084</v>
      </c>
    </row>
    <row r="1855" spans="2:7" x14ac:dyDescent="0.15">
      <c r="B1855" s="299"/>
      <c r="C1855" s="69" t="s">
        <v>1140</v>
      </c>
      <c r="D1855" s="70">
        <f>VLOOKUP(C1855,基本字段定义!$B$3:$C$3013,2,FALSE)</f>
        <v>9245</v>
      </c>
      <c r="E1855" s="71" t="s">
        <v>365</v>
      </c>
      <c r="F1855" s="71"/>
      <c r="G1855" s="73" t="s">
        <v>1141</v>
      </c>
    </row>
    <row r="1856" spans="2:7" x14ac:dyDescent="0.15">
      <c r="B1856" s="299"/>
      <c r="C1856" s="69" t="s">
        <v>1142</v>
      </c>
      <c r="D1856" s="70">
        <f>VLOOKUP(C1856,基本字段定义!$B$3:$C$3013,2,FALSE)</f>
        <v>642</v>
      </c>
      <c r="E1856" s="71" t="s">
        <v>365</v>
      </c>
      <c r="F1856" s="71"/>
      <c r="G1856" s="73" t="s">
        <v>1143</v>
      </c>
    </row>
    <row r="1857" spans="2:7" x14ac:dyDescent="0.15">
      <c r="B1857" s="299"/>
      <c r="C1857" s="69" t="s">
        <v>393</v>
      </c>
      <c r="D1857" s="70">
        <f>VLOOKUP(C1857,基本字段定义!$B$3:$C$3013,2,FALSE)</f>
        <v>651</v>
      </c>
      <c r="E1857" s="71" t="s">
        <v>363</v>
      </c>
      <c r="F1857" s="71"/>
      <c r="G1857" s="73" t="s">
        <v>1144</v>
      </c>
    </row>
    <row r="1858" spans="2:7" ht="14.25" thickBot="1" x14ac:dyDescent="0.2">
      <c r="B1858" s="304"/>
      <c r="C1858" s="75"/>
      <c r="D1858" s="83"/>
      <c r="E1858" s="77"/>
      <c r="F1858" s="77"/>
      <c r="G1858" s="78"/>
    </row>
    <row r="1860" spans="2:7" x14ac:dyDescent="0.15">
      <c r="B1860" s="57" t="s">
        <v>163</v>
      </c>
      <c r="C1860" s="84">
        <v>105009</v>
      </c>
      <c r="D1860" s="85"/>
      <c r="E1860" s="86"/>
      <c r="F1860" s="58" t="s">
        <v>352</v>
      </c>
      <c r="G1860" s="59"/>
    </row>
    <row r="1861" spans="2:7" x14ac:dyDescent="0.15">
      <c r="B1861" s="60" t="s">
        <v>353</v>
      </c>
      <c r="C1861" s="87" t="str">
        <f>VLOOKUP(C1860,功能索引!$C$3:$D$278,2,FALSE)</f>
        <v>定期定额协议查询</v>
      </c>
      <c r="D1861" s="88"/>
      <c r="E1861" s="89"/>
      <c r="F1861" s="61" t="s">
        <v>165</v>
      </c>
      <c r="G1861" s="62" t="str">
        <f>VLOOKUP(C1860,功能索引!$C$3:$E2171,3,FALSE)</f>
        <v>Y</v>
      </c>
    </row>
    <row r="1862" spans="2:7" x14ac:dyDescent="0.15">
      <c r="B1862" s="299" t="s">
        <v>354</v>
      </c>
      <c r="C1862" s="99"/>
      <c r="D1862" s="100"/>
      <c r="E1862" s="100"/>
      <c r="F1862" s="100"/>
      <c r="G1862" s="101"/>
    </row>
    <row r="1863" spans="2:7" ht="14.25" thickBot="1" x14ac:dyDescent="0.2">
      <c r="B1863" s="304"/>
      <c r="C1863" s="102"/>
      <c r="D1863" s="103"/>
      <c r="E1863" s="103"/>
      <c r="F1863" s="103"/>
      <c r="G1863" s="104"/>
    </row>
    <row r="1864" spans="2:7" x14ac:dyDescent="0.15">
      <c r="B1864" s="298" t="s">
        <v>355</v>
      </c>
      <c r="C1864" s="58" t="s">
        <v>356</v>
      </c>
      <c r="D1864" s="58" t="s">
        <v>357</v>
      </c>
      <c r="E1864" s="58" t="s">
        <v>358</v>
      </c>
      <c r="F1864" s="58" t="s">
        <v>359</v>
      </c>
      <c r="G1864" s="64" t="s">
        <v>360</v>
      </c>
    </row>
    <row r="1865" spans="2:7" x14ac:dyDescent="0.15">
      <c r="B1865" s="299"/>
      <c r="C1865" s="65" t="s">
        <v>428</v>
      </c>
      <c r="D1865" s="66">
        <f>VLOOKUP(C1865,基本字段定义!$B$3:$C$3013,2,FALSE)</f>
        <v>605</v>
      </c>
      <c r="E1865" s="67" t="s">
        <v>429</v>
      </c>
      <c r="F1865" s="67" t="s">
        <v>169</v>
      </c>
      <c r="G1865" s="68" t="s">
        <v>430</v>
      </c>
    </row>
    <row r="1866" spans="2:7" x14ac:dyDescent="0.15">
      <c r="B1866" s="299"/>
      <c r="C1866" s="65" t="s">
        <v>1083</v>
      </c>
      <c r="D1866" s="66">
        <f>VLOOKUP(C1866,基本字段定义!$B$3:$C$3013,2,FALSE)</f>
        <v>9198</v>
      </c>
      <c r="E1866" s="67" t="s">
        <v>388</v>
      </c>
      <c r="F1866" s="67"/>
      <c r="G1866" s="68" t="s">
        <v>1084</v>
      </c>
    </row>
    <row r="1867" spans="2:7" x14ac:dyDescent="0.15">
      <c r="B1867" s="299"/>
      <c r="C1867" s="65" t="s">
        <v>773</v>
      </c>
      <c r="D1867" s="66">
        <f>VLOOKUP(C1867,基本字段定义!$B$3:$C$3013,2,FALSE)</f>
        <v>9129</v>
      </c>
      <c r="E1867" s="67" t="s">
        <v>506</v>
      </c>
      <c r="F1867" s="67"/>
      <c r="G1867" s="68" t="s">
        <v>774</v>
      </c>
    </row>
    <row r="1868" spans="2:7" x14ac:dyDescent="0.15">
      <c r="B1868" s="299"/>
      <c r="C1868" s="65" t="s">
        <v>933</v>
      </c>
      <c r="D1868" s="66">
        <f>VLOOKUP(C1868,基本字段定义!$B$3:$C$3013,2,FALSE)</f>
        <v>755</v>
      </c>
      <c r="E1868" s="67" t="s">
        <v>363</v>
      </c>
      <c r="F1868" s="67"/>
      <c r="G1868" s="68" t="s">
        <v>1145</v>
      </c>
    </row>
    <row r="1869" spans="2:7" x14ac:dyDescent="0.15">
      <c r="B1869" s="300" t="s">
        <v>361</v>
      </c>
      <c r="C1869" s="69" t="s">
        <v>1146</v>
      </c>
      <c r="D1869" s="70">
        <f>VLOOKUP(C1869,基本字段定义!$B$3:$C$3013,2,FALSE)</f>
        <v>1077</v>
      </c>
      <c r="E1869" s="71" t="s">
        <v>365</v>
      </c>
      <c r="F1869" s="71"/>
      <c r="G1869" s="73" t="s">
        <v>1147</v>
      </c>
    </row>
    <row r="1870" spans="2:7" x14ac:dyDescent="0.15">
      <c r="B1870" s="301"/>
      <c r="C1870" s="69" t="s">
        <v>1083</v>
      </c>
      <c r="D1870" s="70">
        <f>VLOOKUP(C1870,基本字段定义!$B$3:$C$3013,2,FALSE)</f>
        <v>9198</v>
      </c>
      <c r="E1870" s="71" t="s">
        <v>365</v>
      </c>
      <c r="F1870" s="71"/>
      <c r="G1870" s="73" t="s">
        <v>1084</v>
      </c>
    </row>
    <row r="1871" spans="2:7" x14ac:dyDescent="0.15">
      <c r="B1871" s="301"/>
      <c r="C1871" s="69" t="s">
        <v>773</v>
      </c>
      <c r="D1871" s="70">
        <f>VLOOKUP(C1871,基本字段定义!$B$3:$C$3013,2,FALSE)</f>
        <v>9129</v>
      </c>
      <c r="E1871" s="71" t="s">
        <v>365</v>
      </c>
      <c r="F1871" s="71"/>
      <c r="G1871" s="72" t="s">
        <v>774</v>
      </c>
    </row>
    <row r="1872" spans="2:7" x14ac:dyDescent="0.15">
      <c r="B1872" s="301"/>
      <c r="C1872" s="69" t="s">
        <v>1097</v>
      </c>
      <c r="D1872" s="70">
        <f>VLOOKUP(C1872,基本字段定义!$B$3:$C$3013,2,FALSE)</f>
        <v>874</v>
      </c>
      <c r="E1872" s="71" t="s">
        <v>363</v>
      </c>
      <c r="F1872" s="71"/>
      <c r="G1872" s="73" t="s">
        <v>1119</v>
      </c>
    </row>
    <row r="1873" spans="2:7" x14ac:dyDescent="0.15">
      <c r="B1873" s="301"/>
      <c r="C1873" s="69" t="s">
        <v>1140</v>
      </c>
      <c r="D1873" s="70">
        <f>VLOOKUP(C1873,基本字段定义!$B$3:$C$3013,2,FALSE)</f>
        <v>9245</v>
      </c>
      <c r="E1873" s="71" t="s">
        <v>365</v>
      </c>
      <c r="F1873" s="71"/>
      <c r="G1873" s="73" t="s">
        <v>1141</v>
      </c>
    </row>
    <row r="1874" spans="2:7" x14ac:dyDescent="0.15">
      <c r="B1874" s="301"/>
      <c r="C1874" s="69" t="s">
        <v>1148</v>
      </c>
      <c r="D1874" s="70">
        <f>VLOOKUP(C1874,基本字段定义!$B$3:$C$3013,2,FALSE)</f>
        <v>9253</v>
      </c>
      <c r="E1874" s="71" t="s">
        <v>363</v>
      </c>
      <c r="F1874" s="71"/>
      <c r="G1874" s="73" t="s">
        <v>1144</v>
      </c>
    </row>
    <row r="1875" spans="2:7" x14ac:dyDescent="0.15">
      <c r="B1875" s="301"/>
      <c r="C1875" s="69" t="s">
        <v>510</v>
      </c>
      <c r="D1875" s="70">
        <f>VLOOKUP(C1875,基本字段定义!$B$3:$C$3013,2,FALSE)</f>
        <v>618</v>
      </c>
      <c r="E1875" s="71" t="s">
        <v>363</v>
      </c>
      <c r="F1875" s="71"/>
      <c r="G1875" s="73" t="s">
        <v>1149</v>
      </c>
    </row>
    <row r="1876" spans="2:7" x14ac:dyDescent="0.15">
      <c r="B1876" s="301"/>
      <c r="C1876" s="69" t="s">
        <v>512</v>
      </c>
      <c r="D1876" s="70">
        <f>VLOOKUP(C1876,基本字段定义!$B$3:$C$3013,2,FALSE)</f>
        <v>590</v>
      </c>
      <c r="E1876" s="71" t="s">
        <v>363</v>
      </c>
      <c r="F1876" s="71"/>
      <c r="G1876" s="73" t="s">
        <v>1150</v>
      </c>
    </row>
    <row r="1877" spans="2:7" x14ac:dyDescent="0.15">
      <c r="B1877" s="301"/>
      <c r="C1877" s="69" t="s">
        <v>765</v>
      </c>
      <c r="D1877" s="70">
        <f>VLOOKUP(C1877,基本字段定义!$B$3:$C$3013,2,FALSE)</f>
        <v>9108</v>
      </c>
      <c r="E1877" s="71" t="s">
        <v>363</v>
      </c>
      <c r="F1877" s="71"/>
      <c r="G1877" s="73" t="s">
        <v>1151</v>
      </c>
    </row>
    <row r="1878" spans="2:7" x14ac:dyDescent="0.15">
      <c r="B1878" s="301"/>
      <c r="C1878" s="69" t="s">
        <v>1152</v>
      </c>
      <c r="D1878" s="70">
        <f>VLOOKUP(C1878,基本字段定义!$B$3:$C$3013,2,FALSE)</f>
        <v>9254</v>
      </c>
      <c r="E1878" s="71" t="s">
        <v>563</v>
      </c>
      <c r="F1878" s="71"/>
      <c r="G1878" s="73" t="s">
        <v>1153</v>
      </c>
    </row>
    <row r="1879" spans="2:7" ht="14.25" thickBot="1" x14ac:dyDescent="0.2">
      <c r="B1879" s="305"/>
      <c r="C1879" s="75"/>
      <c r="D1879" s="83"/>
      <c r="E1879" s="77"/>
      <c r="F1879" s="77"/>
      <c r="G1879" s="78"/>
    </row>
    <row r="1881" spans="2:7" x14ac:dyDescent="0.15">
      <c r="B1881" s="57" t="s">
        <v>163</v>
      </c>
      <c r="C1881" s="84">
        <v>125009</v>
      </c>
      <c r="D1881" s="85"/>
      <c r="E1881" s="86"/>
      <c r="F1881" s="58" t="s">
        <v>352</v>
      </c>
      <c r="G1881" s="59"/>
    </row>
    <row r="1882" spans="2:7" x14ac:dyDescent="0.15">
      <c r="B1882" s="60" t="s">
        <v>353</v>
      </c>
      <c r="C1882" s="87" t="str">
        <f>VLOOKUP(C1881,功能索引!$C$3:$D$278,2,FALSE)</f>
        <v>定期定额申购协议开通</v>
      </c>
      <c r="D1882" s="88"/>
      <c r="E1882" s="89"/>
      <c r="F1882" s="61" t="s">
        <v>165</v>
      </c>
      <c r="G1882" s="62">
        <f>VLOOKUP(C1881,功能索引!$C$3:$E2208,3,FALSE)</f>
        <v>0</v>
      </c>
    </row>
    <row r="1883" spans="2:7" x14ac:dyDescent="0.15">
      <c r="B1883" s="299" t="s">
        <v>354</v>
      </c>
      <c r="C1883" s="99"/>
      <c r="D1883" s="100"/>
      <c r="E1883" s="100"/>
      <c r="F1883" s="100"/>
      <c r="G1883" s="101"/>
    </row>
    <row r="1884" spans="2:7" ht="14.25" thickBot="1" x14ac:dyDescent="0.2">
      <c r="B1884" s="304"/>
      <c r="C1884" s="102"/>
      <c r="D1884" s="103"/>
      <c r="E1884" s="103"/>
      <c r="F1884" s="103"/>
      <c r="G1884" s="104"/>
    </row>
    <row r="1885" spans="2:7" x14ac:dyDescent="0.15">
      <c r="B1885" s="298" t="s">
        <v>355</v>
      </c>
      <c r="C1885" s="58" t="s">
        <v>356</v>
      </c>
      <c r="D1885" s="58" t="s">
        <v>357</v>
      </c>
      <c r="E1885" s="58" t="s">
        <v>358</v>
      </c>
      <c r="F1885" s="58" t="s">
        <v>359</v>
      </c>
      <c r="G1885" s="64" t="s">
        <v>360</v>
      </c>
    </row>
    <row r="1886" spans="2:7" x14ac:dyDescent="0.15">
      <c r="B1886" s="299"/>
      <c r="C1886" s="65" t="s">
        <v>428</v>
      </c>
      <c r="D1886" s="66">
        <f>VLOOKUP(C1886,基本字段定义!$B$3:$C$3013,2,FALSE)</f>
        <v>605</v>
      </c>
      <c r="E1886" s="67" t="s">
        <v>429</v>
      </c>
      <c r="F1886" s="67" t="s">
        <v>169</v>
      </c>
      <c r="G1886" s="68" t="s">
        <v>430</v>
      </c>
    </row>
    <row r="1887" spans="2:7" x14ac:dyDescent="0.15">
      <c r="B1887" s="299"/>
      <c r="C1887" s="65" t="s">
        <v>1083</v>
      </c>
      <c r="D1887" s="66">
        <f>VLOOKUP(C1887,基本字段定义!$B$3:$C$3013,2,FALSE)</f>
        <v>9198</v>
      </c>
      <c r="E1887" s="67" t="s">
        <v>388</v>
      </c>
      <c r="F1887" s="67" t="s">
        <v>169</v>
      </c>
      <c r="G1887" s="68" t="s">
        <v>1084</v>
      </c>
    </row>
    <row r="1888" spans="2:7" x14ac:dyDescent="0.15">
      <c r="B1888" s="299"/>
      <c r="C1888" s="65" t="s">
        <v>1107</v>
      </c>
      <c r="D1888" s="66">
        <f>VLOOKUP(C1888,基本字段定义!$B$3:$C$3013,2,FALSE)</f>
        <v>9228</v>
      </c>
      <c r="E1888" s="67" t="s">
        <v>429</v>
      </c>
      <c r="F1888" s="67" t="s">
        <v>169</v>
      </c>
      <c r="G1888" s="68" t="s">
        <v>1108</v>
      </c>
    </row>
    <row r="1889" spans="2:7" x14ac:dyDescent="0.15">
      <c r="B1889" s="299"/>
      <c r="C1889" s="65" t="s">
        <v>773</v>
      </c>
      <c r="D1889" s="66">
        <f>VLOOKUP(C1889,基本字段定义!$B$3:$C$3013,2,FALSE)</f>
        <v>9129</v>
      </c>
      <c r="E1889" s="67" t="s">
        <v>506</v>
      </c>
      <c r="F1889" s="67" t="s">
        <v>169</v>
      </c>
      <c r="G1889" s="68" t="s">
        <v>774</v>
      </c>
    </row>
    <row r="1890" spans="2:7" x14ac:dyDescent="0.15">
      <c r="B1890" s="299"/>
      <c r="C1890" s="65" t="s">
        <v>1097</v>
      </c>
      <c r="D1890" s="66">
        <f>VLOOKUP(C1890,基本字段定义!$B$3:$C$3013,2,FALSE)</f>
        <v>874</v>
      </c>
      <c r="E1890" s="67" t="s">
        <v>363</v>
      </c>
      <c r="F1890" s="67" t="s">
        <v>169</v>
      </c>
      <c r="G1890" s="68" t="s">
        <v>1119</v>
      </c>
    </row>
    <row r="1891" spans="2:7" x14ac:dyDescent="0.15">
      <c r="B1891" s="299"/>
      <c r="C1891" s="65" t="s">
        <v>1140</v>
      </c>
      <c r="D1891" s="66">
        <f>VLOOKUP(C1891,基本字段定义!$B$3:$C$3013,2,FALSE)</f>
        <v>9245</v>
      </c>
      <c r="E1891" s="67" t="s">
        <v>1154</v>
      </c>
      <c r="F1891" s="67" t="s">
        <v>169</v>
      </c>
      <c r="G1891" s="68" t="s">
        <v>1141</v>
      </c>
    </row>
    <row r="1892" spans="2:7" x14ac:dyDescent="0.15">
      <c r="B1892" s="299"/>
      <c r="C1892" s="65" t="s">
        <v>1152</v>
      </c>
      <c r="D1892" s="66">
        <f>VLOOKUP(C1892,基本字段定义!$B$3:$C$3013,2,FALSE)</f>
        <v>9254</v>
      </c>
      <c r="E1892" s="67" t="s">
        <v>563</v>
      </c>
      <c r="F1892" s="67" t="s">
        <v>169</v>
      </c>
      <c r="G1892" s="68" t="s">
        <v>1153</v>
      </c>
    </row>
    <row r="1893" spans="2:7" x14ac:dyDescent="0.15">
      <c r="B1893" s="299"/>
      <c r="C1893" s="65" t="s">
        <v>510</v>
      </c>
      <c r="D1893" s="66">
        <f>VLOOKUP(C1893,基本字段定义!$B$3:$C$3013,2,FALSE)</f>
        <v>618</v>
      </c>
      <c r="E1893" s="67" t="s">
        <v>363</v>
      </c>
      <c r="F1893" s="67" t="s">
        <v>169</v>
      </c>
      <c r="G1893" s="68" t="s">
        <v>1050</v>
      </c>
    </row>
    <row r="1894" spans="2:7" x14ac:dyDescent="0.15">
      <c r="B1894" s="299"/>
      <c r="C1894" s="65" t="s">
        <v>512</v>
      </c>
      <c r="D1894" s="66">
        <f>VLOOKUP(C1894,基本字段定义!$B$3:$C$3013,2,FALSE)</f>
        <v>590</v>
      </c>
      <c r="E1894" s="67" t="s">
        <v>363</v>
      </c>
      <c r="F1894" s="67" t="s">
        <v>169</v>
      </c>
      <c r="G1894" s="68" t="s">
        <v>1155</v>
      </c>
    </row>
    <row r="1895" spans="2:7" x14ac:dyDescent="0.15">
      <c r="B1895" s="299" t="s">
        <v>361</v>
      </c>
      <c r="C1895" s="69" t="s">
        <v>362</v>
      </c>
      <c r="D1895" s="70">
        <f>VLOOKUP(C1895,基本字段定义!$B$3:$C$3013,2,FALSE)</f>
        <v>507</v>
      </c>
      <c r="E1895" s="71" t="s">
        <v>363</v>
      </c>
      <c r="F1895" s="71"/>
      <c r="G1895" s="72"/>
    </row>
    <row r="1896" spans="2:7" x14ac:dyDescent="0.15">
      <c r="B1896" s="299"/>
      <c r="C1896" s="69" t="s">
        <v>364</v>
      </c>
      <c r="D1896" s="70">
        <f>VLOOKUP(C1896,基本字段定义!$B$3:$C$3013,2,FALSE)</f>
        <v>508</v>
      </c>
      <c r="E1896" s="71" t="s">
        <v>365</v>
      </c>
      <c r="F1896" s="71"/>
      <c r="G1896" s="73"/>
    </row>
    <row r="1897" spans="2:7" ht="14.25" thickBot="1" x14ac:dyDescent="0.2">
      <c r="B1897" s="304"/>
      <c r="C1897" s="75"/>
      <c r="D1897" s="83"/>
      <c r="E1897" s="77"/>
      <c r="F1897" s="77"/>
      <c r="G1897" s="78"/>
    </row>
    <row r="1899" spans="2:7" x14ac:dyDescent="0.15">
      <c r="B1899" s="57" t="s">
        <v>163</v>
      </c>
      <c r="C1899" s="84">
        <v>165009</v>
      </c>
      <c r="D1899" s="85"/>
      <c r="E1899" s="86"/>
      <c r="F1899" s="58" t="s">
        <v>352</v>
      </c>
      <c r="G1899" s="59"/>
    </row>
    <row r="1900" spans="2:7" x14ac:dyDescent="0.15">
      <c r="B1900" s="60" t="s">
        <v>353</v>
      </c>
      <c r="C1900" s="87" t="str">
        <f>VLOOKUP(C1899,功能索引!$C$3:$D$278,2,FALSE)</f>
        <v>定期定额申购协议中止</v>
      </c>
      <c r="D1900" s="88"/>
      <c r="E1900" s="89"/>
      <c r="F1900" s="61" t="s">
        <v>165</v>
      </c>
      <c r="G1900" s="62">
        <f>VLOOKUP(C1899,功能索引!$C$3:$E2229,3,FALSE)</f>
        <v>0</v>
      </c>
    </row>
    <row r="1901" spans="2:7" x14ac:dyDescent="0.15">
      <c r="B1901" s="299" t="s">
        <v>354</v>
      </c>
      <c r="C1901" s="99"/>
      <c r="D1901" s="100"/>
      <c r="E1901" s="100"/>
      <c r="F1901" s="100"/>
      <c r="G1901" s="101"/>
    </row>
    <row r="1902" spans="2:7" ht="14.25" thickBot="1" x14ac:dyDescent="0.2">
      <c r="B1902" s="304"/>
      <c r="C1902" s="102"/>
      <c r="D1902" s="103"/>
      <c r="E1902" s="103"/>
      <c r="F1902" s="103"/>
      <c r="G1902" s="104"/>
    </row>
    <row r="1903" spans="2:7" x14ac:dyDescent="0.15">
      <c r="B1903" s="298" t="s">
        <v>355</v>
      </c>
      <c r="C1903" s="58" t="s">
        <v>356</v>
      </c>
      <c r="D1903" s="58" t="s">
        <v>357</v>
      </c>
      <c r="E1903" s="58" t="s">
        <v>358</v>
      </c>
      <c r="F1903" s="58" t="s">
        <v>359</v>
      </c>
      <c r="G1903" s="64" t="s">
        <v>360</v>
      </c>
    </row>
    <row r="1904" spans="2:7" x14ac:dyDescent="0.15">
      <c r="B1904" s="299"/>
      <c r="C1904" s="65" t="s">
        <v>428</v>
      </c>
      <c r="D1904" s="66">
        <f>VLOOKUP(C1904,基本字段定义!$B$3:$C$3013,2,FALSE)</f>
        <v>605</v>
      </c>
      <c r="E1904" s="67" t="s">
        <v>429</v>
      </c>
      <c r="F1904" s="67" t="s">
        <v>169</v>
      </c>
      <c r="G1904" s="68" t="s">
        <v>430</v>
      </c>
    </row>
    <row r="1905" spans="2:7" x14ac:dyDescent="0.15">
      <c r="B1905" s="299"/>
      <c r="C1905" s="65" t="s">
        <v>1083</v>
      </c>
      <c r="D1905" s="66">
        <f>VLOOKUP(C1905,基本字段定义!$B$3:$C$3013,2,FALSE)</f>
        <v>9198</v>
      </c>
      <c r="E1905" s="67" t="s">
        <v>388</v>
      </c>
      <c r="F1905" s="67" t="s">
        <v>169</v>
      </c>
      <c r="G1905" s="68" t="s">
        <v>1084</v>
      </c>
    </row>
    <row r="1906" spans="2:7" x14ac:dyDescent="0.15">
      <c r="B1906" s="299"/>
      <c r="C1906" s="65" t="s">
        <v>1146</v>
      </c>
      <c r="D1906" s="66">
        <f>VLOOKUP(C1906,基本字段定义!$B$3:$C$3013,2,FALSE)</f>
        <v>1077</v>
      </c>
      <c r="E1906" s="67" t="s">
        <v>363</v>
      </c>
      <c r="F1906" s="67" t="s">
        <v>169</v>
      </c>
      <c r="G1906" s="68" t="s">
        <v>1147</v>
      </c>
    </row>
    <row r="1907" spans="2:7" x14ac:dyDescent="0.15">
      <c r="B1907" s="299" t="s">
        <v>361</v>
      </c>
      <c r="C1907" s="69" t="s">
        <v>362</v>
      </c>
      <c r="D1907" s="70">
        <f>VLOOKUP(C1907,基本字段定义!$B$3:$C$3013,2,FALSE)</f>
        <v>507</v>
      </c>
      <c r="E1907" s="71" t="s">
        <v>363</v>
      </c>
      <c r="F1907" s="71"/>
      <c r="G1907" s="72"/>
    </row>
    <row r="1908" spans="2:7" x14ac:dyDescent="0.15">
      <c r="B1908" s="299"/>
      <c r="C1908" s="69" t="s">
        <v>364</v>
      </c>
      <c r="D1908" s="70">
        <f>VLOOKUP(C1908,基本字段定义!$B$3:$C$3013,2,FALSE)</f>
        <v>508</v>
      </c>
      <c r="E1908" s="71" t="s">
        <v>365</v>
      </c>
      <c r="F1908" s="71"/>
      <c r="G1908" s="73"/>
    </row>
    <row r="1909" spans="2:7" ht="14.25" thickBot="1" x14ac:dyDescent="0.2">
      <c r="B1909" s="304"/>
      <c r="C1909" s="75"/>
      <c r="D1909" s="83"/>
      <c r="E1909" s="77"/>
      <c r="F1909" s="77"/>
      <c r="G1909" s="78"/>
    </row>
    <row r="1911" spans="2:7" x14ac:dyDescent="0.15">
      <c r="B1911" s="57" t="s">
        <v>163</v>
      </c>
      <c r="C1911" s="84">
        <v>305209</v>
      </c>
      <c r="D1911" s="85"/>
      <c r="E1911" s="86"/>
      <c r="F1911" s="58" t="s">
        <v>352</v>
      </c>
      <c r="G1911" s="59"/>
    </row>
    <row r="1912" spans="2:7" x14ac:dyDescent="0.15">
      <c r="B1912" s="60" t="s">
        <v>353</v>
      </c>
      <c r="C1912" s="87" t="str">
        <f>VLOOKUP(C1911,功能索引!$C$3:$D$278,2,FALSE)</f>
        <v>电子理财协议查询(现金宝保留额度等)</v>
      </c>
      <c r="D1912" s="88"/>
      <c r="E1912" s="89"/>
      <c r="F1912" s="61" t="s">
        <v>165</v>
      </c>
      <c r="G1912" s="62" t="str">
        <f>VLOOKUP(C1911,功能索引!$C$3:$E2343,3,FALSE)</f>
        <v>Y</v>
      </c>
    </row>
    <row r="1913" spans="2:7" x14ac:dyDescent="0.15">
      <c r="B1913" s="299" t="s">
        <v>354</v>
      </c>
      <c r="C1913" s="99"/>
      <c r="D1913" s="100"/>
      <c r="E1913" s="100"/>
      <c r="F1913" s="100"/>
      <c r="G1913" s="101"/>
    </row>
    <row r="1914" spans="2:7" ht="14.25" thickBot="1" x14ac:dyDescent="0.2">
      <c r="B1914" s="304"/>
      <c r="C1914" s="102"/>
      <c r="D1914" s="103"/>
      <c r="E1914" s="103"/>
      <c r="F1914" s="103"/>
      <c r="G1914" s="104"/>
    </row>
    <row r="1915" spans="2:7" s="55" customFormat="1" x14ac:dyDescent="0.15">
      <c r="B1915" s="298" t="s">
        <v>355</v>
      </c>
      <c r="C1915" s="58" t="s">
        <v>356</v>
      </c>
      <c r="D1915" s="58" t="s">
        <v>357</v>
      </c>
      <c r="E1915" s="58" t="s">
        <v>358</v>
      </c>
      <c r="F1915" s="58" t="s">
        <v>359</v>
      </c>
      <c r="G1915" s="64" t="s">
        <v>360</v>
      </c>
    </row>
    <row r="1916" spans="2:7" ht="16.5" customHeight="1" x14ac:dyDescent="0.15">
      <c r="B1916" s="299"/>
      <c r="C1916" s="65" t="s">
        <v>428</v>
      </c>
      <c r="D1916" s="66">
        <f>VLOOKUP(C1916,基本字段定义!$B$3:$C$3013,2,FALSE)</f>
        <v>605</v>
      </c>
      <c r="E1916" s="67" t="s">
        <v>429</v>
      </c>
      <c r="F1916" s="67" t="s">
        <v>169</v>
      </c>
      <c r="G1916" s="68" t="s">
        <v>430</v>
      </c>
    </row>
    <row r="1917" spans="2:7" x14ac:dyDescent="0.15">
      <c r="B1917" s="299"/>
      <c r="C1917" s="65" t="s">
        <v>1083</v>
      </c>
      <c r="D1917" s="66">
        <f>VLOOKUP(C1917,基本字段定义!$B$3:$C$3013,2,FALSE)</f>
        <v>9198</v>
      </c>
      <c r="E1917" s="67" t="s">
        <v>388</v>
      </c>
      <c r="F1917" s="67"/>
      <c r="G1917" s="68" t="s">
        <v>1084</v>
      </c>
    </row>
    <row r="1918" spans="2:7" x14ac:dyDescent="0.15">
      <c r="B1918" s="299"/>
      <c r="C1918" s="65" t="s">
        <v>773</v>
      </c>
      <c r="D1918" s="66">
        <f>VLOOKUP(C1918,基本字段定义!$B$3:$C$3013,2,FALSE)</f>
        <v>9129</v>
      </c>
      <c r="E1918" s="67" t="s">
        <v>506</v>
      </c>
      <c r="F1918" s="67"/>
      <c r="G1918" s="68" t="s">
        <v>774</v>
      </c>
    </row>
    <row r="1919" spans="2:7" x14ac:dyDescent="0.15">
      <c r="B1919" s="299" t="s">
        <v>361</v>
      </c>
      <c r="C1919" s="116" t="s">
        <v>916</v>
      </c>
      <c r="D1919" s="117">
        <f>VLOOKUP(C1919,基本字段定义!$B$3:$C$3013,2,FALSE)</f>
        <v>681</v>
      </c>
      <c r="E1919" s="117" t="s">
        <v>363</v>
      </c>
      <c r="F1919" s="117"/>
      <c r="G1919" s="115" t="s">
        <v>1147</v>
      </c>
    </row>
    <row r="1920" spans="2:7" x14ac:dyDescent="0.15">
      <c r="B1920" s="299"/>
      <c r="C1920" s="69" t="s">
        <v>1083</v>
      </c>
      <c r="D1920" s="70">
        <f>VLOOKUP(C1920,基本字段定义!$B$3:$C$3013,2,FALSE)</f>
        <v>9198</v>
      </c>
      <c r="E1920" s="71" t="s">
        <v>365</v>
      </c>
      <c r="F1920" s="71"/>
      <c r="G1920" s="73" t="s">
        <v>1084</v>
      </c>
    </row>
    <row r="1921" spans="2:7" x14ac:dyDescent="0.15">
      <c r="B1921" s="299"/>
      <c r="C1921" s="69" t="s">
        <v>773</v>
      </c>
      <c r="D1921" s="70">
        <f>VLOOKUP(C1921,基本字段定义!$B$3:$C$3013,2,FALSE)</f>
        <v>9129</v>
      </c>
      <c r="E1921" s="71" t="s">
        <v>365</v>
      </c>
      <c r="F1921" s="71"/>
      <c r="G1921" s="73" t="s">
        <v>774</v>
      </c>
    </row>
    <row r="1922" spans="2:7" x14ac:dyDescent="0.15">
      <c r="B1922" s="299"/>
      <c r="C1922" s="69" t="s">
        <v>1097</v>
      </c>
      <c r="D1922" s="70">
        <f>VLOOKUP(C1922,基本字段定义!$B$3:$C$3013,2,FALSE)</f>
        <v>874</v>
      </c>
      <c r="E1922" s="71" t="s">
        <v>363</v>
      </c>
      <c r="F1922" s="71"/>
      <c r="G1922" s="73" t="s">
        <v>1119</v>
      </c>
    </row>
    <row r="1923" spans="2:7" x14ac:dyDescent="0.15">
      <c r="B1923" s="299"/>
      <c r="C1923" s="69" t="s">
        <v>990</v>
      </c>
      <c r="D1923" s="70">
        <f>VLOOKUP(C1923,基本字段定义!$B$3:$C$3013,2,FALSE)</f>
        <v>1898</v>
      </c>
      <c r="E1923" s="71" t="s">
        <v>363</v>
      </c>
      <c r="F1923" s="71"/>
      <c r="G1923" s="73" t="s">
        <v>1156</v>
      </c>
    </row>
    <row r="1924" spans="2:7" x14ac:dyDescent="0.15">
      <c r="B1924" s="299"/>
      <c r="C1924" s="69" t="s">
        <v>941</v>
      </c>
      <c r="D1924" s="70">
        <f>VLOOKUP(C1924,基本字段定义!$B$3:$C$3013,2,FALSE)</f>
        <v>750</v>
      </c>
      <c r="E1924" s="71" t="s">
        <v>365</v>
      </c>
      <c r="F1924" s="71"/>
      <c r="G1924" s="73" t="s">
        <v>1157</v>
      </c>
    </row>
    <row r="1925" spans="2:7" x14ac:dyDescent="0.15">
      <c r="B1925" s="299"/>
      <c r="C1925" s="69" t="s">
        <v>510</v>
      </c>
      <c r="D1925" s="70">
        <f>VLOOKUP(C1925,基本字段定义!$B$3:$C$3013,2,FALSE)</f>
        <v>618</v>
      </c>
      <c r="E1925" s="71" t="s">
        <v>363</v>
      </c>
      <c r="F1925" s="71"/>
      <c r="G1925" s="73" t="s">
        <v>1149</v>
      </c>
    </row>
    <row r="1926" spans="2:7" x14ac:dyDescent="0.15">
      <c r="B1926" s="299"/>
      <c r="C1926" s="69" t="s">
        <v>512</v>
      </c>
      <c r="D1926" s="70">
        <f>VLOOKUP(C1926,基本字段定义!$B$3:$C$3013,2,FALSE)</f>
        <v>590</v>
      </c>
      <c r="E1926" s="71" t="s">
        <v>363</v>
      </c>
      <c r="F1926" s="71"/>
      <c r="G1926" s="73" t="s">
        <v>1150</v>
      </c>
    </row>
    <row r="1927" spans="2:7" s="55" customFormat="1" x14ac:dyDescent="0.15">
      <c r="B1927" s="299"/>
      <c r="C1927" s="69" t="s">
        <v>765</v>
      </c>
      <c r="D1927" s="70">
        <f>VLOOKUP(C1927,基本字段定义!$B$3:$C$3013,2,FALSE)</f>
        <v>9108</v>
      </c>
      <c r="E1927" s="71" t="s">
        <v>363</v>
      </c>
      <c r="F1927" s="71"/>
      <c r="G1927" s="73" t="s">
        <v>1158</v>
      </c>
    </row>
    <row r="1928" spans="2:7" s="55" customFormat="1" x14ac:dyDescent="0.15">
      <c r="B1928" s="299"/>
      <c r="C1928" s="69" t="s">
        <v>1159</v>
      </c>
      <c r="D1928" s="70">
        <v>825</v>
      </c>
      <c r="E1928" s="71" t="s">
        <v>365</v>
      </c>
      <c r="F1928" s="71"/>
      <c r="G1928" s="73" t="s">
        <v>1160</v>
      </c>
    </row>
    <row r="1929" spans="2:7" s="55" customFormat="1" x14ac:dyDescent="0.15">
      <c r="B1929" s="299"/>
      <c r="C1929" s="124" t="s">
        <v>1161</v>
      </c>
      <c r="D1929" s="123">
        <f>VLOOKUP(C1929,基本字段定义!$B$3:$C$3013,2,FALSE)</f>
        <v>2310</v>
      </c>
      <c r="E1929" s="123" t="s">
        <v>365</v>
      </c>
      <c r="F1929" s="123"/>
      <c r="G1929" s="119" t="s">
        <v>1162</v>
      </c>
    </row>
    <row r="1930" spans="2:7" s="55" customFormat="1" x14ac:dyDescent="0.15">
      <c r="B1930" s="299"/>
      <c r="C1930" s="69" t="s">
        <v>1163</v>
      </c>
      <c r="D1930" s="70">
        <v>1240</v>
      </c>
      <c r="E1930" s="71" t="s">
        <v>365</v>
      </c>
      <c r="F1930" s="71"/>
      <c r="G1930" s="73" t="s">
        <v>1164</v>
      </c>
    </row>
    <row r="1931" spans="2:7" s="55" customFormat="1" x14ac:dyDescent="0.15">
      <c r="B1931" s="299"/>
      <c r="C1931" s="125" t="s">
        <v>1165</v>
      </c>
      <c r="D1931" s="126">
        <v>1609</v>
      </c>
      <c r="E1931" s="127" t="s">
        <v>365</v>
      </c>
      <c r="F1931" s="127"/>
      <c r="G1931" s="128" t="s">
        <v>1166</v>
      </c>
    </row>
    <row r="1932" spans="2:7" x14ac:dyDescent="0.15">
      <c r="B1932" s="299"/>
      <c r="C1932" s="69" t="s">
        <v>1167</v>
      </c>
      <c r="D1932" s="70">
        <f>VLOOKUP(C1932,基本字段定义!$B$3:$C$3013,2,FALSE)</f>
        <v>1549</v>
      </c>
      <c r="E1932" s="71" t="s">
        <v>365</v>
      </c>
      <c r="F1932" s="71"/>
      <c r="G1932" s="73" t="s">
        <v>1168</v>
      </c>
    </row>
    <row r="1933" spans="2:7" ht="16.5" customHeight="1" thickBot="1" x14ac:dyDescent="0.2">
      <c r="B1933" s="304"/>
      <c r="C1933" s="75"/>
      <c r="D1933" s="83"/>
      <c r="E1933" s="77"/>
      <c r="F1933" s="77"/>
      <c r="G1933" s="78"/>
    </row>
    <row r="1935" spans="2:7" x14ac:dyDescent="0.15">
      <c r="B1935" s="57" t="s">
        <v>163</v>
      </c>
      <c r="C1935" s="84">
        <v>125012</v>
      </c>
      <c r="D1935" s="85"/>
      <c r="E1935" s="86"/>
      <c r="F1935" s="58" t="s">
        <v>352</v>
      </c>
      <c r="G1935" s="59"/>
    </row>
    <row r="1936" spans="2:7" x14ac:dyDescent="0.15">
      <c r="B1936" s="60" t="s">
        <v>353</v>
      </c>
      <c r="C1936" s="87" t="str">
        <f>VLOOKUP(C1935,功能索引!$C$3:$D$278,2,FALSE)</f>
        <v>电子理财申购协议开通</v>
      </c>
      <c r="D1936" s="88"/>
      <c r="E1936" s="89"/>
      <c r="F1936" s="61" t="s">
        <v>165</v>
      </c>
      <c r="G1936" s="62">
        <f>VLOOKUP(C1935,功能索引!$C$3:$E2243,3,FALSE)</f>
        <v>0</v>
      </c>
    </row>
    <row r="1937" spans="2:7" ht="13.5" customHeight="1" x14ac:dyDescent="0.15">
      <c r="B1937" s="299" t="s">
        <v>354</v>
      </c>
      <c r="C1937" s="284" t="s">
        <v>1169</v>
      </c>
      <c r="D1937" s="285"/>
      <c r="E1937" s="285"/>
      <c r="F1937" s="285"/>
      <c r="G1937" s="286"/>
    </row>
    <row r="1938" spans="2:7" ht="14.25" thickBot="1" x14ac:dyDescent="0.2">
      <c r="B1938" s="304"/>
      <c r="C1938" s="287"/>
      <c r="D1938" s="288"/>
      <c r="E1938" s="288"/>
      <c r="F1938" s="288"/>
      <c r="G1938" s="289"/>
    </row>
    <row r="1939" spans="2:7" x14ac:dyDescent="0.15">
      <c r="B1939" s="298" t="s">
        <v>355</v>
      </c>
      <c r="C1939" s="58" t="s">
        <v>356</v>
      </c>
      <c r="D1939" s="58" t="s">
        <v>357</v>
      </c>
      <c r="E1939" s="58" t="s">
        <v>358</v>
      </c>
      <c r="F1939" s="58" t="s">
        <v>359</v>
      </c>
      <c r="G1939" s="64" t="s">
        <v>360</v>
      </c>
    </row>
    <row r="1940" spans="2:7" x14ac:dyDescent="0.15">
      <c r="B1940" s="299"/>
      <c r="C1940" s="65" t="s">
        <v>428</v>
      </c>
      <c r="D1940" s="66">
        <f>VLOOKUP(C1940,基本字段定义!$B$3:$C$3013,2,FALSE)</f>
        <v>605</v>
      </c>
      <c r="E1940" s="67" t="s">
        <v>429</v>
      </c>
      <c r="F1940" s="67" t="s">
        <v>169</v>
      </c>
      <c r="G1940" s="68" t="s">
        <v>430</v>
      </c>
    </row>
    <row r="1941" spans="2:7" x14ac:dyDescent="0.15">
      <c r="B1941" s="299"/>
      <c r="C1941" s="65" t="s">
        <v>1083</v>
      </c>
      <c r="D1941" s="66">
        <f>VLOOKUP(C1941,基本字段定义!$B$3:$C$3013,2,FALSE)</f>
        <v>9198</v>
      </c>
      <c r="E1941" s="67" t="s">
        <v>388</v>
      </c>
      <c r="F1941" s="67" t="s">
        <v>169</v>
      </c>
      <c r="G1941" s="68" t="s">
        <v>1084</v>
      </c>
    </row>
    <row r="1942" spans="2:7" x14ac:dyDescent="0.15">
      <c r="B1942" s="299"/>
      <c r="C1942" s="65" t="s">
        <v>773</v>
      </c>
      <c r="D1942" s="66">
        <f>VLOOKUP(C1942,基本字段定义!$B$3:$C$3013,2,FALSE)</f>
        <v>9129</v>
      </c>
      <c r="E1942" s="67" t="s">
        <v>506</v>
      </c>
      <c r="F1942" s="67" t="s">
        <v>169</v>
      </c>
      <c r="G1942" s="68" t="s">
        <v>774</v>
      </c>
    </row>
    <row r="1943" spans="2:7" x14ac:dyDescent="0.15">
      <c r="B1943" s="299"/>
      <c r="C1943" s="65" t="s">
        <v>1097</v>
      </c>
      <c r="D1943" s="66">
        <f>VLOOKUP(C1943,基本字段定义!$B$3:$C$3013,2,FALSE)</f>
        <v>874</v>
      </c>
      <c r="E1943" s="67" t="s">
        <v>363</v>
      </c>
      <c r="F1943" s="67" t="s">
        <v>169</v>
      </c>
      <c r="G1943" s="68" t="s">
        <v>1119</v>
      </c>
    </row>
    <row r="1944" spans="2:7" x14ac:dyDescent="0.15">
      <c r="B1944" s="299"/>
      <c r="C1944" s="124" t="s">
        <v>399</v>
      </c>
      <c r="D1944" s="123">
        <f>VLOOKUP(C1944,基本字段定义!$B$3:$C$3013,2,FALSE)</f>
        <v>697</v>
      </c>
      <c r="E1944" s="123" t="s">
        <v>371</v>
      </c>
      <c r="F1944" s="123" t="s">
        <v>169</v>
      </c>
      <c r="G1944" s="119" t="s">
        <v>1170</v>
      </c>
    </row>
    <row r="1945" spans="2:7" x14ac:dyDescent="0.15">
      <c r="B1945" s="299"/>
      <c r="C1945" s="124" t="s">
        <v>443</v>
      </c>
      <c r="D1945" s="123">
        <f>VLOOKUP(C1945,基本字段定义!$B$3:$C$3013,2,FALSE)</f>
        <v>610</v>
      </c>
      <c r="E1945" s="123" t="s">
        <v>388</v>
      </c>
      <c r="F1945" s="123" t="s">
        <v>169</v>
      </c>
      <c r="G1945" s="119" t="s">
        <v>1171</v>
      </c>
    </row>
    <row r="1946" spans="2:7" x14ac:dyDescent="0.15">
      <c r="B1946" s="299"/>
      <c r="C1946" s="124" t="s">
        <v>1172</v>
      </c>
      <c r="D1946" s="123">
        <f>VLOOKUP(C1946,基本字段定义!$B$3:$C$3013,2,FALSE)</f>
        <v>1109</v>
      </c>
      <c r="E1946" s="123" t="s">
        <v>604</v>
      </c>
      <c r="F1946" s="123" t="s">
        <v>169</v>
      </c>
      <c r="G1946" s="119" t="s">
        <v>1173</v>
      </c>
    </row>
    <row r="1947" spans="2:7" x14ac:dyDescent="0.15">
      <c r="B1947" s="299"/>
      <c r="C1947" s="124" t="s">
        <v>1174</v>
      </c>
      <c r="D1947" s="123">
        <f>VLOOKUP(C1947,基本字段定义!$B$3:$C$3013,2,FALSE)</f>
        <v>924</v>
      </c>
      <c r="E1947" s="123" t="s">
        <v>1175</v>
      </c>
      <c r="F1947" s="123" t="s">
        <v>169</v>
      </c>
      <c r="G1947" s="119" t="s">
        <v>1176</v>
      </c>
    </row>
    <row r="1948" spans="2:7" x14ac:dyDescent="0.15">
      <c r="B1948" s="299"/>
      <c r="C1948" s="124" t="s">
        <v>1177</v>
      </c>
      <c r="D1948" s="123">
        <f>VLOOKUP(C1948,基本字段定义!$B$3:$C$3013,2,FALSE)</f>
        <v>934</v>
      </c>
      <c r="E1948" s="123" t="s">
        <v>371</v>
      </c>
      <c r="F1948" s="123" t="s">
        <v>169</v>
      </c>
      <c r="G1948" s="119" t="s">
        <v>1178</v>
      </c>
    </row>
    <row r="1949" spans="2:7" x14ac:dyDescent="0.15">
      <c r="B1949" s="299"/>
      <c r="C1949" s="124" t="s">
        <v>1088</v>
      </c>
      <c r="D1949" s="123">
        <f>VLOOKUP(C1949,基本字段定义!$B$3:$C$3013,2,FALSE)</f>
        <v>9357</v>
      </c>
      <c r="E1949" s="123" t="s">
        <v>604</v>
      </c>
      <c r="F1949" s="123" t="s">
        <v>169</v>
      </c>
      <c r="G1949" s="119" t="s">
        <v>1179</v>
      </c>
    </row>
    <row r="1950" spans="2:7" x14ac:dyDescent="0.15">
      <c r="B1950" s="299"/>
      <c r="C1950" s="124" t="s">
        <v>1180</v>
      </c>
      <c r="D1950" s="123">
        <f>VLOOKUP(C1950,基本字段定义!$B$3:$C$3013,2,FALSE)</f>
        <v>9358</v>
      </c>
      <c r="E1950" s="123" t="s">
        <v>506</v>
      </c>
      <c r="F1950" s="123" t="s">
        <v>169</v>
      </c>
      <c r="G1950" s="119" t="s">
        <v>1181</v>
      </c>
    </row>
    <row r="1951" spans="2:7" x14ac:dyDescent="0.15">
      <c r="B1951" s="299"/>
      <c r="C1951" s="124" t="s">
        <v>1182</v>
      </c>
      <c r="D1951" s="123">
        <f>VLOOKUP(C1951,基本字段定义!$B$3:$C$3013,2,FALSE)</f>
        <v>1463</v>
      </c>
      <c r="E1951" s="123" t="s">
        <v>604</v>
      </c>
      <c r="F1951" s="123" t="s">
        <v>169</v>
      </c>
      <c r="G1951" s="119" t="s">
        <v>1183</v>
      </c>
    </row>
    <row r="1952" spans="2:7" x14ac:dyDescent="0.15">
      <c r="B1952" s="299"/>
      <c r="C1952" s="124" t="s">
        <v>512</v>
      </c>
      <c r="D1952" s="123">
        <f>VLOOKUP(C1952,基本字段定义!$B$3:$C$3013,2,FALSE)</f>
        <v>590</v>
      </c>
      <c r="E1952" s="123" t="s">
        <v>506</v>
      </c>
      <c r="F1952" s="123" t="s">
        <v>169</v>
      </c>
      <c r="G1952" s="119" t="s">
        <v>1184</v>
      </c>
    </row>
    <row r="1953" spans="2:7" x14ac:dyDescent="0.15">
      <c r="B1953" s="299"/>
      <c r="C1953" s="124" t="s">
        <v>1161</v>
      </c>
      <c r="D1953" s="123">
        <f>VLOOKUP(C1953,基本字段定义!$B$3:$C$3013,2,FALSE)</f>
        <v>2310</v>
      </c>
      <c r="E1953" s="123" t="s">
        <v>604</v>
      </c>
      <c r="F1953" s="123" t="s">
        <v>169</v>
      </c>
      <c r="G1953" s="119" t="s">
        <v>1162</v>
      </c>
    </row>
    <row r="1954" spans="2:7" x14ac:dyDescent="0.15">
      <c r="B1954" s="299"/>
      <c r="C1954" s="124" t="s">
        <v>463</v>
      </c>
      <c r="D1954" s="123">
        <f>VLOOKUP(C1954,基本字段定义!$B$3:$C$3013,2,FALSE)</f>
        <v>680</v>
      </c>
      <c r="E1954" s="123" t="s">
        <v>604</v>
      </c>
      <c r="F1954" s="123" t="s">
        <v>169</v>
      </c>
      <c r="G1954" s="119" t="s">
        <v>1185</v>
      </c>
    </row>
    <row r="1955" spans="2:7" x14ac:dyDescent="0.15">
      <c r="B1955" s="299" t="s">
        <v>361</v>
      </c>
      <c r="C1955" s="69" t="s">
        <v>362</v>
      </c>
      <c r="D1955" s="70">
        <f>VLOOKUP(C1955,基本字段定义!$B$3:$C$3013,2,FALSE)</f>
        <v>507</v>
      </c>
      <c r="E1955" s="71" t="s">
        <v>363</v>
      </c>
      <c r="F1955" s="71"/>
      <c r="G1955" s="72"/>
    </row>
    <row r="1956" spans="2:7" x14ac:dyDescent="0.15">
      <c r="B1956" s="299"/>
      <c r="C1956" s="69" t="s">
        <v>364</v>
      </c>
      <c r="D1956" s="70">
        <f>VLOOKUP(C1956,基本字段定义!$B$3:$C$3013,2,FALSE)</f>
        <v>508</v>
      </c>
      <c r="E1956" s="71" t="s">
        <v>365</v>
      </c>
      <c r="F1956" s="71"/>
      <c r="G1956" s="73"/>
    </row>
    <row r="1957" spans="2:7" ht="14.25" thickBot="1" x14ac:dyDescent="0.2">
      <c r="B1957" s="304"/>
      <c r="C1957" s="75"/>
      <c r="D1957" s="83"/>
      <c r="E1957" s="77"/>
      <c r="F1957" s="77"/>
      <c r="G1957" s="78"/>
    </row>
    <row r="1959" spans="2:7" x14ac:dyDescent="0.15">
      <c r="B1959" s="57" t="s">
        <v>163</v>
      </c>
      <c r="C1959" s="84">
        <v>165012</v>
      </c>
      <c r="D1959" s="85"/>
      <c r="E1959" s="86"/>
      <c r="F1959" s="58" t="s">
        <v>352</v>
      </c>
      <c r="G1959" s="59"/>
    </row>
    <row r="1960" spans="2:7" x14ac:dyDescent="0.15">
      <c r="B1960" s="60" t="s">
        <v>353</v>
      </c>
      <c r="C1960" s="87" t="str">
        <f>VLOOKUP(C1959,功能索引!$C$3:$D$278,2,FALSE)</f>
        <v>电子理财申购协议中止</v>
      </c>
      <c r="D1960" s="88"/>
      <c r="E1960" s="89"/>
      <c r="F1960" s="61" t="s">
        <v>165</v>
      </c>
      <c r="G1960" s="62">
        <f>VLOOKUP(C1959,功能索引!$C$3:$E2270,3,FALSE)</f>
        <v>0</v>
      </c>
    </row>
    <row r="1961" spans="2:7" x14ac:dyDescent="0.15">
      <c r="B1961" s="299" t="s">
        <v>354</v>
      </c>
      <c r="C1961" s="99"/>
      <c r="D1961" s="100"/>
      <c r="E1961" s="100"/>
      <c r="F1961" s="100"/>
      <c r="G1961" s="101"/>
    </row>
    <row r="1962" spans="2:7" ht="14.25" thickBot="1" x14ac:dyDescent="0.2">
      <c r="B1962" s="304"/>
      <c r="C1962" s="102"/>
      <c r="D1962" s="103"/>
      <c r="E1962" s="103"/>
      <c r="F1962" s="103"/>
      <c r="G1962" s="104"/>
    </row>
    <row r="1963" spans="2:7" x14ac:dyDescent="0.15">
      <c r="B1963" s="298" t="s">
        <v>355</v>
      </c>
      <c r="C1963" s="58" t="s">
        <v>356</v>
      </c>
      <c r="D1963" s="58" t="s">
        <v>357</v>
      </c>
      <c r="E1963" s="58" t="s">
        <v>358</v>
      </c>
      <c r="F1963" s="58" t="s">
        <v>359</v>
      </c>
      <c r="G1963" s="64" t="s">
        <v>360</v>
      </c>
    </row>
    <row r="1964" spans="2:7" x14ac:dyDescent="0.15">
      <c r="B1964" s="299"/>
      <c r="C1964" s="65" t="s">
        <v>428</v>
      </c>
      <c r="D1964" s="66">
        <f>VLOOKUP(C1964,基本字段定义!$B$3:$C$3013,2,FALSE)</f>
        <v>605</v>
      </c>
      <c r="E1964" s="67" t="s">
        <v>429</v>
      </c>
      <c r="F1964" s="67" t="s">
        <v>169</v>
      </c>
      <c r="G1964" s="68" t="s">
        <v>430</v>
      </c>
    </row>
    <row r="1965" spans="2:7" x14ac:dyDescent="0.15">
      <c r="B1965" s="299"/>
      <c r="C1965" s="65" t="s">
        <v>1146</v>
      </c>
      <c r="D1965" s="66">
        <f>VLOOKUP(C1965,基本字段定义!$B$3:$C$3013,2,FALSE)</f>
        <v>1077</v>
      </c>
      <c r="E1965" s="67" t="s">
        <v>363</v>
      </c>
      <c r="F1965" s="67" t="s">
        <v>169</v>
      </c>
      <c r="G1965" s="119" t="s">
        <v>1186</v>
      </c>
    </row>
    <row r="1966" spans="2:7" x14ac:dyDescent="0.15">
      <c r="B1966" s="299" t="s">
        <v>361</v>
      </c>
      <c r="C1966" s="69" t="s">
        <v>362</v>
      </c>
      <c r="D1966" s="70">
        <f>VLOOKUP(C1966,基本字段定义!$B$3:$C$3013,2,FALSE)</f>
        <v>507</v>
      </c>
      <c r="E1966" s="71" t="s">
        <v>363</v>
      </c>
      <c r="F1966" s="71"/>
      <c r="G1966" s="72"/>
    </row>
    <row r="1967" spans="2:7" x14ac:dyDescent="0.15">
      <c r="B1967" s="299"/>
      <c r="C1967" s="69" t="s">
        <v>364</v>
      </c>
      <c r="D1967" s="70">
        <f>VLOOKUP(C1967,基本字段定义!$B$3:$C$3013,2,FALSE)</f>
        <v>508</v>
      </c>
      <c r="E1967" s="71" t="s">
        <v>365</v>
      </c>
      <c r="F1967" s="71"/>
      <c r="G1967" s="73"/>
    </row>
    <row r="1968" spans="2:7" ht="14.25" thickBot="1" x14ac:dyDescent="0.2">
      <c r="B1968" s="304"/>
      <c r="C1968" s="75"/>
      <c r="D1968" s="83"/>
      <c r="E1968" s="77"/>
      <c r="F1968" s="77"/>
      <c r="G1968" s="78"/>
    </row>
    <row r="1970" spans="2:7" x14ac:dyDescent="0.15">
      <c r="B1970" s="57" t="s">
        <v>163</v>
      </c>
      <c r="C1970" s="84">
        <v>104032</v>
      </c>
      <c r="D1970" s="85"/>
      <c r="E1970" s="86"/>
      <c r="F1970" s="58" t="s">
        <v>352</v>
      </c>
      <c r="G1970" s="59"/>
    </row>
    <row r="1971" spans="2:7" x14ac:dyDescent="0.15">
      <c r="B1971" s="60" t="s">
        <v>353</v>
      </c>
      <c r="C1971" s="87" t="str">
        <f>VLOOKUP(C1970,功能索引!$C$3:$D$278,2,FALSE)</f>
        <v>信用等级查询</v>
      </c>
      <c r="D1971" s="88"/>
      <c r="E1971" s="89"/>
      <c r="F1971" s="61" t="s">
        <v>165</v>
      </c>
      <c r="G1971" s="62" t="str">
        <f>VLOOKUP(C1970,功能索引!$C$3:$E2395,3,FALSE)</f>
        <v>Y</v>
      </c>
    </row>
    <row r="1972" spans="2:7" x14ac:dyDescent="0.15">
      <c r="B1972" s="299" t="s">
        <v>354</v>
      </c>
      <c r="C1972" s="99"/>
      <c r="D1972" s="100"/>
      <c r="E1972" s="100"/>
      <c r="F1972" s="100"/>
      <c r="G1972" s="101"/>
    </row>
    <row r="1973" spans="2:7" ht="14.25" thickBot="1" x14ac:dyDescent="0.2">
      <c r="B1973" s="304"/>
      <c r="C1973" s="102"/>
      <c r="D1973" s="103"/>
      <c r="E1973" s="103"/>
      <c r="F1973" s="103"/>
      <c r="G1973" s="104"/>
    </row>
    <row r="1974" spans="2:7" x14ac:dyDescent="0.15">
      <c r="B1974" s="298" t="s">
        <v>355</v>
      </c>
      <c r="C1974" s="58" t="s">
        <v>356</v>
      </c>
      <c r="D1974" s="58" t="s">
        <v>357</v>
      </c>
      <c r="E1974" s="58" t="s">
        <v>358</v>
      </c>
      <c r="F1974" s="58" t="s">
        <v>359</v>
      </c>
      <c r="G1974" s="64" t="s">
        <v>360</v>
      </c>
    </row>
    <row r="1975" spans="2:7" x14ac:dyDescent="0.15">
      <c r="B1975" s="299"/>
      <c r="C1975" s="65"/>
      <c r="D1975" s="66"/>
      <c r="E1975" s="67"/>
      <c r="F1975" s="67"/>
      <c r="G1975" s="68"/>
    </row>
    <row r="1976" spans="2:7" x14ac:dyDescent="0.15">
      <c r="B1976" s="299" t="s">
        <v>361</v>
      </c>
      <c r="C1976" s="69" t="s">
        <v>1187</v>
      </c>
      <c r="D1976" s="71">
        <f>VLOOKUP(C1976,基本字段定义!$B$3:$C$3013,2,FALSE)</f>
        <v>1601</v>
      </c>
      <c r="E1976" s="71" t="s">
        <v>363</v>
      </c>
      <c r="F1976" s="71"/>
      <c r="G1976" s="73" t="s">
        <v>1188</v>
      </c>
    </row>
    <row r="1977" spans="2:7" x14ac:dyDescent="0.15">
      <c r="B1977" s="299"/>
      <c r="C1977" s="69" t="s">
        <v>1189</v>
      </c>
      <c r="D1977" s="70">
        <f>VLOOKUP(C1977,基本字段定义!$B$3:$C$3013,2,FALSE)</f>
        <v>1262</v>
      </c>
      <c r="E1977" s="71" t="s">
        <v>365</v>
      </c>
      <c r="F1977" s="71"/>
      <c r="G1977" s="73" t="s">
        <v>1190</v>
      </c>
    </row>
    <row r="1978" spans="2:7" ht="14.25" thickBot="1" x14ac:dyDescent="0.2">
      <c r="B1978" s="304"/>
      <c r="C1978" s="75"/>
      <c r="D1978" s="83"/>
      <c r="E1978" s="77"/>
      <c r="F1978" s="77"/>
      <c r="G1978" s="78"/>
    </row>
    <row r="1980" spans="2:7" x14ac:dyDescent="0.15">
      <c r="B1980" s="57" t="s">
        <v>163</v>
      </c>
      <c r="C1980" s="84">
        <v>304802</v>
      </c>
      <c r="D1980" s="85"/>
      <c r="E1980" s="86"/>
      <c r="F1980" s="58" t="s">
        <v>352</v>
      </c>
      <c r="G1980" s="59"/>
    </row>
    <row r="1981" spans="2:7" x14ac:dyDescent="0.15">
      <c r="B1981" s="60" t="s">
        <v>353</v>
      </c>
      <c r="C1981" s="87" t="str">
        <f>VLOOKUP(C1980,功能索引!$C$3:$D$278,2,FALSE)</f>
        <v>信用客户信息查询</v>
      </c>
      <c r="D1981" s="88"/>
      <c r="E1981" s="89"/>
      <c r="F1981" s="61" t="s">
        <v>165</v>
      </c>
      <c r="G1981" s="62" t="str">
        <f>VLOOKUP(C1980,功能索引!$C$3:$E2353,3,FALSE)</f>
        <v>Y</v>
      </c>
    </row>
    <row r="1982" spans="2:7" x14ac:dyDescent="0.15">
      <c r="B1982" s="299" t="s">
        <v>354</v>
      </c>
      <c r="C1982" s="99"/>
      <c r="D1982" s="100"/>
      <c r="E1982" s="100"/>
      <c r="F1982" s="100"/>
      <c r="G1982" s="101"/>
    </row>
    <row r="1983" spans="2:7" ht="14.25" thickBot="1" x14ac:dyDescent="0.2">
      <c r="B1983" s="304"/>
      <c r="C1983" s="102"/>
      <c r="D1983" s="103"/>
      <c r="E1983" s="103"/>
      <c r="F1983" s="103"/>
      <c r="G1983" s="104"/>
    </row>
    <row r="1984" spans="2:7" x14ac:dyDescent="0.15">
      <c r="B1984" s="298" t="s">
        <v>355</v>
      </c>
      <c r="C1984" s="58" t="s">
        <v>356</v>
      </c>
      <c r="D1984" s="58" t="s">
        <v>357</v>
      </c>
      <c r="E1984" s="58" t="s">
        <v>358</v>
      </c>
      <c r="F1984" s="58" t="s">
        <v>359</v>
      </c>
      <c r="G1984" s="64" t="s">
        <v>360</v>
      </c>
    </row>
    <row r="1985" spans="2:7" x14ac:dyDescent="0.15">
      <c r="B1985" s="299"/>
      <c r="C1985" s="65" t="s">
        <v>428</v>
      </c>
      <c r="D1985" s="66">
        <f>VLOOKUP(C1985,基本字段定义!$B$3:$C$3013,2,FALSE)</f>
        <v>605</v>
      </c>
      <c r="E1985" s="67" t="s">
        <v>429</v>
      </c>
      <c r="F1985" s="67" t="s">
        <v>169</v>
      </c>
      <c r="G1985" s="68" t="s">
        <v>430</v>
      </c>
    </row>
    <row r="1986" spans="2:7" x14ac:dyDescent="0.15">
      <c r="B1986" s="299" t="s">
        <v>361</v>
      </c>
      <c r="C1986" s="69" t="s">
        <v>1187</v>
      </c>
      <c r="D1986" s="70">
        <f>VLOOKUP(C1986,基本字段定义!$B$3:$C$3013,2,FALSE)</f>
        <v>1601</v>
      </c>
      <c r="E1986" s="71" t="s">
        <v>363</v>
      </c>
      <c r="F1986" s="71"/>
      <c r="G1986" s="72" t="s">
        <v>1188</v>
      </c>
    </row>
    <row r="1987" spans="2:7" x14ac:dyDescent="0.15">
      <c r="B1987" s="299"/>
      <c r="C1987" s="116" t="s">
        <v>1142</v>
      </c>
      <c r="D1987" s="117">
        <f>VLOOKUP(C1987,基本字段定义!$B$3:$C$3013,2,FALSE)</f>
        <v>642</v>
      </c>
      <c r="E1987" s="117" t="s">
        <v>365</v>
      </c>
      <c r="F1987" s="117"/>
      <c r="G1987" s="115" t="s">
        <v>1191</v>
      </c>
    </row>
    <row r="1988" spans="2:7" x14ac:dyDescent="0.15">
      <c r="B1988" s="299"/>
      <c r="C1988" s="69" t="s">
        <v>1192</v>
      </c>
      <c r="D1988" s="70">
        <f>VLOOKUP(C1988,基本字段定义!$B$3:$C$3013,2,FALSE)</f>
        <v>1386</v>
      </c>
      <c r="E1988" s="71" t="s">
        <v>363</v>
      </c>
      <c r="F1988" s="71"/>
      <c r="G1988" s="73" t="s">
        <v>1193</v>
      </c>
    </row>
    <row r="1989" spans="2:7" x14ac:dyDescent="0.15">
      <c r="B1989" s="299"/>
      <c r="C1989" s="69" t="s">
        <v>533</v>
      </c>
      <c r="D1989" s="70">
        <f>VLOOKUP(C1989,基本字段定义!$B$3:$C$3013,2,FALSE)</f>
        <v>812</v>
      </c>
      <c r="E1989" s="71" t="s">
        <v>363</v>
      </c>
      <c r="F1989" s="71"/>
      <c r="G1989" s="73" t="s">
        <v>1194</v>
      </c>
    </row>
    <row r="1990" spans="2:7" x14ac:dyDescent="0.15">
      <c r="B1990" s="299"/>
      <c r="C1990" s="69" t="s">
        <v>423</v>
      </c>
      <c r="D1990" s="70">
        <f>VLOOKUP(C1990,基本字段定义!$B$3:$C$3013,2,FALSE)</f>
        <v>815</v>
      </c>
      <c r="E1990" s="71" t="s">
        <v>363</v>
      </c>
      <c r="F1990" s="71"/>
      <c r="G1990" s="73" t="s">
        <v>425</v>
      </c>
    </row>
    <row r="1991" spans="2:7" x14ac:dyDescent="0.15">
      <c r="B1991" s="299"/>
      <c r="C1991" s="69" t="s">
        <v>448</v>
      </c>
      <c r="D1991" s="70">
        <f>VLOOKUP(C1991,基本字段定义!$B$3:$C$3013,2,FALSE)</f>
        <v>9107</v>
      </c>
      <c r="E1991" s="71" t="s">
        <v>363</v>
      </c>
      <c r="F1991" s="71"/>
      <c r="G1991" s="73" t="s">
        <v>1195</v>
      </c>
    </row>
    <row r="1992" spans="2:7" ht="14.25" thickBot="1" x14ac:dyDescent="0.2">
      <c r="B1992" s="304"/>
      <c r="C1992" s="75"/>
      <c r="D1992" s="83"/>
      <c r="E1992" s="77"/>
      <c r="F1992" s="77"/>
      <c r="G1992" s="78"/>
    </row>
    <row r="1994" spans="2:7" x14ac:dyDescent="0.15">
      <c r="B1994" s="57" t="s">
        <v>163</v>
      </c>
      <c r="C1994" s="84">
        <v>304807</v>
      </c>
      <c r="D1994" s="85"/>
      <c r="E1994" s="86"/>
      <c r="F1994" s="58" t="s">
        <v>352</v>
      </c>
      <c r="G1994" s="59"/>
    </row>
    <row r="1995" spans="2:7" x14ac:dyDescent="0.15">
      <c r="B1995" s="60" t="s">
        <v>353</v>
      </c>
      <c r="C1995" s="87" t="str">
        <f>VLOOKUP(C1994,功能索引!$C$3:$D$278,2,FALSE)</f>
        <v>信用合同信息查询</v>
      </c>
      <c r="D1995" s="88"/>
      <c r="E1995" s="89"/>
      <c r="F1995" s="61" t="s">
        <v>165</v>
      </c>
      <c r="G1995" s="62" t="str">
        <f>VLOOKUP(C1994,功能索引!$C$3:$E2367,3,FALSE)</f>
        <v>Y</v>
      </c>
    </row>
    <row r="1996" spans="2:7" x14ac:dyDescent="0.15">
      <c r="B1996" s="299" t="s">
        <v>354</v>
      </c>
      <c r="C1996" s="99"/>
      <c r="D1996" s="100"/>
      <c r="E1996" s="100"/>
      <c r="F1996" s="100"/>
      <c r="G1996" s="101"/>
    </row>
    <row r="1997" spans="2:7" ht="14.25" thickBot="1" x14ac:dyDescent="0.2">
      <c r="B1997" s="304"/>
      <c r="C1997" s="102"/>
      <c r="D1997" s="103"/>
      <c r="E1997" s="103"/>
      <c r="F1997" s="103"/>
      <c r="G1997" s="104"/>
    </row>
    <row r="1998" spans="2:7" x14ac:dyDescent="0.15">
      <c r="B1998" s="298" t="s">
        <v>355</v>
      </c>
      <c r="C1998" s="58" t="s">
        <v>356</v>
      </c>
      <c r="D1998" s="58" t="s">
        <v>357</v>
      </c>
      <c r="E1998" s="58" t="s">
        <v>358</v>
      </c>
      <c r="F1998" s="58" t="s">
        <v>359</v>
      </c>
      <c r="G1998" s="64" t="s">
        <v>360</v>
      </c>
    </row>
    <row r="1999" spans="2:7" x14ac:dyDescent="0.15">
      <c r="B1999" s="299"/>
      <c r="C1999" s="65" t="s">
        <v>428</v>
      </c>
      <c r="D1999" s="66">
        <f>VLOOKUP(C1999,基本字段定义!$B$3:$C$3013,2,FALSE)</f>
        <v>605</v>
      </c>
      <c r="E1999" s="67" t="s">
        <v>429</v>
      </c>
      <c r="F1999" s="67" t="s">
        <v>169</v>
      </c>
      <c r="G1999" s="68" t="s">
        <v>430</v>
      </c>
    </row>
    <row r="2000" spans="2:7" x14ac:dyDescent="0.15">
      <c r="B2000" s="299" t="s">
        <v>361</v>
      </c>
      <c r="C2000" s="69" t="s">
        <v>1187</v>
      </c>
      <c r="D2000" s="70">
        <f>VLOOKUP(C2000,基本字段定义!$B$3:$C$3013,2,FALSE)</f>
        <v>1601</v>
      </c>
      <c r="E2000" s="71" t="s">
        <v>363</v>
      </c>
      <c r="F2000" s="71"/>
      <c r="G2000" s="72" t="s">
        <v>1188</v>
      </c>
    </row>
    <row r="2001" spans="2:7" x14ac:dyDescent="0.15">
      <c r="B2001" s="299"/>
      <c r="C2001" s="69" t="s">
        <v>1196</v>
      </c>
      <c r="D2001" s="70">
        <f>VLOOKUP(C2001,基本字段定义!$B$3:$C$3013,2,FALSE)</f>
        <v>1803</v>
      </c>
      <c r="E2001" s="71" t="s">
        <v>563</v>
      </c>
      <c r="F2001" s="71"/>
      <c r="G2001" s="73" t="s">
        <v>1197</v>
      </c>
    </row>
    <row r="2002" spans="2:7" x14ac:dyDescent="0.15">
      <c r="B2002" s="299"/>
      <c r="C2002" s="69" t="s">
        <v>1198</v>
      </c>
      <c r="D2002" s="70">
        <f>VLOOKUP(C2002,基本字段定义!$B$3:$C$3013,2,FALSE)</f>
        <v>1804</v>
      </c>
      <c r="E2002" s="71" t="s">
        <v>563</v>
      </c>
      <c r="F2002" s="71"/>
      <c r="G2002" s="73" t="s">
        <v>1199</v>
      </c>
    </row>
    <row r="2003" spans="2:7" x14ac:dyDescent="0.15">
      <c r="B2003" s="299"/>
      <c r="C2003" s="69" t="s">
        <v>1200</v>
      </c>
      <c r="D2003" s="70">
        <f>VLOOKUP(C2003,基本字段定义!$B$3:$C$3013,2,FALSE)</f>
        <v>1821</v>
      </c>
      <c r="E2003" s="71" t="s">
        <v>563</v>
      </c>
      <c r="F2003" s="71"/>
      <c r="G2003" s="73" t="s">
        <v>1201</v>
      </c>
    </row>
    <row r="2004" spans="2:7" x14ac:dyDescent="0.15">
      <c r="B2004" s="299"/>
      <c r="C2004" s="69" t="s">
        <v>1202</v>
      </c>
      <c r="D2004" s="70">
        <f>VLOOKUP(C2004,基本字段定义!$B$3:$C$3013,2,FALSE)</f>
        <v>1822</v>
      </c>
      <c r="E2004" s="71" t="s">
        <v>563</v>
      </c>
      <c r="F2004" s="71"/>
      <c r="G2004" s="73" t="s">
        <v>1203</v>
      </c>
    </row>
    <row r="2005" spans="2:7" x14ac:dyDescent="0.15">
      <c r="B2005" s="299"/>
      <c r="C2005" s="69" t="s">
        <v>1204</v>
      </c>
      <c r="D2005" s="70">
        <f>VLOOKUP(C2005,基本字段定义!$B$3:$C$3013,2,FALSE)</f>
        <v>652</v>
      </c>
      <c r="E2005" s="71" t="s">
        <v>563</v>
      </c>
      <c r="F2005" s="71"/>
      <c r="G2005" s="73" t="s">
        <v>1205</v>
      </c>
    </row>
    <row r="2006" spans="2:7" x14ac:dyDescent="0.15">
      <c r="B2006" s="299"/>
      <c r="C2006" s="69" t="s">
        <v>1206</v>
      </c>
      <c r="D2006" s="70">
        <f>VLOOKUP(C2006,基本字段定义!$B$3:$C$3013,2,FALSE)</f>
        <v>1823</v>
      </c>
      <c r="E2006" s="71" t="s">
        <v>563</v>
      </c>
      <c r="F2006" s="71"/>
      <c r="G2006" s="73" t="s">
        <v>1207</v>
      </c>
    </row>
    <row r="2007" spans="2:7" x14ac:dyDescent="0.15">
      <c r="B2007" s="299"/>
      <c r="C2007" s="69" t="s">
        <v>1208</v>
      </c>
      <c r="D2007" s="70">
        <f>VLOOKUP(C2007,基本字段定义!$B$3:$C$3013,2,FALSE)</f>
        <v>1845</v>
      </c>
      <c r="E2007" s="71" t="s">
        <v>563</v>
      </c>
      <c r="F2007" s="71"/>
      <c r="G2007" s="73" t="s">
        <v>1209</v>
      </c>
    </row>
    <row r="2008" spans="2:7" x14ac:dyDescent="0.15">
      <c r="B2008" s="299"/>
      <c r="C2008" s="69" t="s">
        <v>1210</v>
      </c>
      <c r="D2008" s="70">
        <f>VLOOKUP(C2008,基本字段定义!$B$3:$C$3013,2,FALSE)</f>
        <v>1846</v>
      </c>
      <c r="E2008" s="71" t="s">
        <v>563</v>
      </c>
      <c r="F2008" s="71"/>
      <c r="G2008" s="73" t="s">
        <v>1211</v>
      </c>
    </row>
    <row r="2009" spans="2:7" x14ac:dyDescent="0.15">
      <c r="B2009" s="300"/>
      <c r="C2009" s="91" t="s">
        <v>529</v>
      </c>
      <c r="D2009" s="93">
        <v>1332</v>
      </c>
      <c r="E2009" s="71" t="s">
        <v>363</v>
      </c>
      <c r="F2009" s="92"/>
      <c r="G2009" s="94" t="s">
        <v>1212</v>
      </c>
    </row>
    <row r="2010" spans="2:7" x14ac:dyDescent="0.15">
      <c r="B2010" s="300"/>
      <c r="C2010" s="91" t="s">
        <v>1213</v>
      </c>
      <c r="D2010" s="93">
        <v>1673</v>
      </c>
      <c r="E2010" s="71" t="s">
        <v>563</v>
      </c>
      <c r="F2010" s="92"/>
      <c r="G2010" s="94" t="s">
        <v>1214</v>
      </c>
    </row>
    <row r="2011" spans="2:7" x14ac:dyDescent="0.15">
      <c r="B2011" s="300"/>
      <c r="C2011" s="91" t="s">
        <v>1215</v>
      </c>
      <c r="D2011" s="93">
        <v>1719</v>
      </c>
      <c r="E2011" s="71" t="s">
        <v>563</v>
      </c>
      <c r="F2011" s="92"/>
      <c r="G2011" s="94" t="s">
        <v>1216</v>
      </c>
    </row>
    <row r="2012" spans="2:7" ht="14.25" thickBot="1" x14ac:dyDescent="0.2">
      <c r="B2012" s="304"/>
      <c r="C2012" s="75"/>
      <c r="D2012" s="83"/>
      <c r="E2012" s="77"/>
      <c r="F2012" s="77"/>
      <c r="G2012" s="78"/>
    </row>
    <row r="2014" spans="2:7" x14ac:dyDescent="0.15">
      <c r="B2014" s="57" t="s">
        <v>163</v>
      </c>
      <c r="C2014" s="84">
        <v>204809</v>
      </c>
      <c r="D2014" s="85"/>
      <c r="E2014" s="86"/>
      <c r="F2014" s="58" t="s">
        <v>352</v>
      </c>
      <c r="G2014" s="59"/>
    </row>
    <row r="2015" spans="2:7" x14ac:dyDescent="0.15">
      <c r="B2015" s="60" t="s">
        <v>353</v>
      </c>
      <c r="C2015" s="87" t="str">
        <f>VLOOKUP(C2014,功能索引!$C$3:$D$278,2,FALSE)</f>
        <v>授信额度申请</v>
      </c>
      <c r="D2015" s="88"/>
      <c r="E2015" s="89"/>
      <c r="F2015" s="61" t="s">
        <v>165</v>
      </c>
      <c r="G2015" s="62">
        <f>VLOOKUP(C2014,功能索引!$C$3:$E2353,3,FALSE)</f>
        <v>0</v>
      </c>
    </row>
    <row r="2016" spans="2:7" x14ac:dyDescent="0.15">
      <c r="B2016" s="299" t="s">
        <v>354</v>
      </c>
      <c r="C2016" s="99"/>
      <c r="D2016" s="100"/>
      <c r="E2016" s="100"/>
      <c r="F2016" s="100"/>
      <c r="G2016" s="101"/>
    </row>
    <row r="2017" spans="2:7" ht="14.25" thickBot="1" x14ac:dyDescent="0.2">
      <c r="B2017" s="304"/>
      <c r="C2017" s="102"/>
      <c r="D2017" s="103"/>
      <c r="E2017" s="103"/>
      <c r="F2017" s="103"/>
      <c r="G2017" s="104"/>
    </row>
    <row r="2018" spans="2:7" x14ac:dyDescent="0.15">
      <c r="B2018" s="298" t="s">
        <v>355</v>
      </c>
      <c r="C2018" s="58" t="s">
        <v>356</v>
      </c>
      <c r="D2018" s="58" t="s">
        <v>357</v>
      </c>
      <c r="E2018" s="58" t="s">
        <v>358</v>
      </c>
      <c r="F2018" s="58" t="s">
        <v>359</v>
      </c>
      <c r="G2018" s="64" t="s">
        <v>360</v>
      </c>
    </row>
    <row r="2019" spans="2:7" x14ac:dyDescent="0.15">
      <c r="B2019" s="299"/>
      <c r="C2019" s="65" t="s">
        <v>428</v>
      </c>
      <c r="D2019" s="66">
        <f>VLOOKUP(C2019,基本字段定义!$B$3:$C$3013,2,FALSE)</f>
        <v>605</v>
      </c>
      <c r="E2019" s="67" t="s">
        <v>429</v>
      </c>
      <c r="F2019" s="67" t="s">
        <v>169</v>
      </c>
      <c r="G2019" s="68" t="s">
        <v>430</v>
      </c>
    </row>
    <row r="2020" spans="2:7" x14ac:dyDescent="0.15">
      <c r="B2020" s="299"/>
      <c r="C2020" s="65" t="s">
        <v>550</v>
      </c>
      <c r="D2020" s="66">
        <f>VLOOKUP(C2020,基本字段定义!$B$3:$C$3013,2,FALSE)</f>
        <v>511</v>
      </c>
      <c r="E2020" s="67" t="s">
        <v>553</v>
      </c>
      <c r="F2020" s="67" t="s">
        <v>169</v>
      </c>
      <c r="G2020" s="68" t="s">
        <v>551</v>
      </c>
    </row>
    <row r="2021" spans="2:7" x14ac:dyDescent="0.15">
      <c r="B2021" s="299"/>
      <c r="C2021" s="65" t="s">
        <v>1217</v>
      </c>
      <c r="D2021" s="66">
        <f>VLOOKUP(C2021,基本字段定义!$B$3:$C$3013,2,FALSE)</f>
        <v>1800</v>
      </c>
      <c r="E2021" s="67" t="s">
        <v>363</v>
      </c>
      <c r="F2021" s="67" t="s">
        <v>169</v>
      </c>
      <c r="G2021" s="68" t="s">
        <v>1218</v>
      </c>
    </row>
    <row r="2022" spans="2:7" x14ac:dyDescent="0.15">
      <c r="B2022" s="299"/>
      <c r="C2022" s="65" t="s">
        <v>654</v>
      </c>
      <c r="D2022" s="66">
        <f>VLOOKUP(C2022,基本字段定义!$B$3:$C$3013,2,FALSE)</f>
        <v>695</v>
      </c>
      <c r="E2022" s="67" t="s">
        <v>363</v>
      </c>
      <c r="F2022" s="67" t="s">
        <v>169</v>
      </c>
      <c r="G2022" s="68" t="s">
        <v>1219</v>
      </c>
    </row>
    <row r="2023" spans="2:7" x14ac:dyDescent="0.15">
      <c r="B2023" s="299"/>
      <c r="C2023" s="65" t="s">
        <v>1200</v>
      </c>
      <c r="D2023" s="66">
        <f>VLOOKUP(C2023,基本字段定义!$B$3:$C$3013,2,FALSE)</f>
        <v>1821</v>
      </c>
      <c r="E2023" s="67" t="s">
        <v>563</v>
      </c>
      <c r="F2023" s="105" t="s">
        <v>169</v>
      </c>
      <c r="G2023" s="68" t="s">
        <v>1220</v>
      </c>
    </row>
    <row r="2024" spans="2:7" x14ac:dyDescent="0.15">
      <c r="B2024" s="299"/>
      <c r="C2024" s="65" t="s">
        <v>1202</v>
      </c>
      <c r="D2024" s="66">
        <f>VLOOKUP(C2024,基本字段定义!$B$3:$C$3013,2,FALSE)</f>
        <v>1822</v>
      </c>
      <c r="E2024" s="67" t="s">
        <v>563</v>
      </c>
      <c r="F2024" s="106"/>
      <c r="G2024" s="68" t="s">
        <v>1221</v>
      </c>
    </row>
    <row r="2025" spans="2:7" x14ac:dyDescent="0.15">
      <c r="B2025" s="299" t="s">
        <v>361</v>
      </c>
      <c r="C2025" s="69" t="s">
        <v>362</v>
      </c>
      <c r="D2025" s="70">
        <f>VLOOKUP(C2025,基本字段定义!$B$3:$C$3013,2,FALSE)</f>
        <v>507</v>
      </c>
      <c r="E2025" s="71" t="s">
        <v>363</v>
      </c>
      <c r="F2025" s="71"/>
      <c r="G2025" s="72"/>
    </row>
    <row r="2026" spans="2:7" x14ac:dyDescent="0.15">
      <c r="B2026" s="299"/>
      <c r="C2026" s="69" t="s">
        <v>364</v>
      </c>
      <c r="D2026" s="70">
        <f>VLOOKUP(C2026,基本字段定义!$B$3:$C$3013,2,FALSE)</f>
        <v>508</v>
      </c>
      <c r="E2026" s="71" t="s">
        <v>365</v>
      </c>
      <c r="F2026" s="71"/>
      <c r="G2026" s="73"/>
    </row>
    <row r="2027" spans="2:7" ht="14.25" thickBot="1" x14ac:dyDescent="0.2">
      <c r="B2027" s="304"/>
      <c r="C2027" s="75"/>
      <c r="D2027" s="83"/>
      <c r="E2027" s="77"/>
      <c r="F2027" s="77"/>
      <c r="G2027" s="78"/>
    </row>
    <row r="2029" spans="2:7" x14ac:dyDescent="0.15">
      <c r="B2029" s="57" t="s">
        <v>163</v>
      </c>
      <c r="C2029" s="84">
        <v>204869</v>
      </c>
      <c r="D2029" s="85"/>
      <c r="E2029" s="86"/>
      <c r="F2029" s="58" t="s">
        <v>352</v>
      </c>
      <c r="G2029" s="59"/>
    </row>
    <row r="2030" spans="2:7" x14ac:dyDescent="0.15">
      <c r="B2030" s="60" t="s">
        <v>353</v>
      </c>
      <c r="C2030" s="87" t="str">
        <f>VLOOKUP(C2029,功能索引!$C$3:$D$278,2,FALSE)</f>
        <v>授信中止申请</v>
      </c>
      <c r="D2030" s="88"/>
      <c r="E2030" s="89"/>
      <c r="F2030" s="61" t="s">
        <v>165</v>
      </c>
      <c r="G2030" s="62">
        <f>VLOOKUP(C2029,功能索引!$C$3:$E2368,3,FALSE)</f>
        <v>0</v>
      </c>
    </row>
    <row r="2031" spans="2:7" x14ac:dyDescent="0.15">
      <c r="B2031" s="299" t="s">
        <v>354</v>
      </c>
      <c r="C2031" s="99"/>
      <c r="D2031" s="100"/>
      <c r="E2031" s="100"/>
      <c r="F2031" s="100"/>
      <c r="G2031" s="101"/>
    </row>
    <row r="2032" spans="2:7" ht="14.25" thickBot="1" x14ac:dyDescent="0.2">
      <c r="B2032" s="304"/>
      <c r="C2032" s="102"/>
      <c r="D2032" s="103"/>
      <c r="E2032" s="103"/>
      <c r="F2032" s="103"/>
      <c r="G2032" s="104"/>
    </row>
    <row r="2033" spans="2:7" x14ac:dyDescent="0.15">
      <c r="B2033" s="298" t="s">
        <v>355</v>
      </c>
      <c r="C2033" s="58" t="s">
        <v>356</v>
      </c>
      <c r="D2033" s="58" t="s">
        <v>357</v>
      </c>
      <c r="E2033" s="58" t="s">
        <v>358</v>
      </c>
      <c r="F2033" s="58" t="s">
        <v>359</v>
      </c>
      <c r="G2033" s="64" t="s">
        <v>360</v>
      </c>
    </row>
    <row r="2034" spans="2:7" x14ac:dyDescent="0.15">
      <c r="B2034" s="299"/>
      <c r="C2034" s="65" t="s">
        <v>428</v>
      </c>
      <c r="D2034" s="66">
        <f>VLOOKUP(C2034,基本字段定义!$B$3:$C$3013,2,FALSE)</f>
        <v>605</v>
      </c>
      <c r="E2034" s="67" t="s">
        <v>429</v>
      </c>
      <c r="F2034" s="67" t="s">
        <v>169</v>
      </c>
      <c r="G2034" s="68" t="s">
        <v>430</v>
      </c>
    </row>
    <row r="2035" spans="2:7" x14ac:dyDescent="0.15">
      <c r="B2035" s="299"/>
      <c r="C2035" s="65" t="s">
        <v>550</v>
      </c>
      <c r="D2035" s="66">
        <f>VLOOKUP(C2035,基本字段定义!$B$3:$C$3013,2,FALSE)</f>
        <v>511</v>
      </c>
      <c r="E2035" s="67" t="s">
        <v>553</v>
      </c>
      <c r="F2035" s="67" t="s">
        <v>169</v>
      </c>
      <c r="G2035" s="68" t="s">
        <v>551</v>
      </c>
    </row>
    <row r="2036" spans="2:7" x14ac:dyDescent="0.15">
      <c r="B2036" s="299"/>
      <c r="C2036" s="65" t="s">
        <v>654</v>
      </c>
      <c r="D2036" s="66">
        <f>VLOOKUP(C2036,基本字段定义!$B$3:$C$3013,2,FALSE)</f>
        <v>695</v>
      </c>
      <c r="E2036" s="67" t="s">
        <v>363</v>
      </c>
      <c r="F2036" s="67" t="s">
        <v>169</v>
      </c>
      <c r="G2036" s="68" t="s">
        <v>1222</v>
      </c>
    </row>
    <row r="2037" spans="2:7" x14ac:dyDescent="0.15">
      <c r="B2037" s="299" t="s">
        <v>361</v>
      </c>
      <c r="C2037" s="69" t="s">
        <v>362</v>
      </c>
      <c r="D2037" s="70">
        <f>VLOOKUP(C2037,基本字段定义!$B$3:$C$3013,2,FALSE)</f>
        <v>507</v>
      </c>
      <c r="E2037" s="71" t="s">
        <v>363</v>
      </c>
      <c r="F2037" s="71"/>
      <c r="G2037" s="72"/>
    </row>
    <row r="2038" spans="2:7" x14ac:dyDescent="0.15">
      <c r="B2038" s="299"/>
      <c r="C2038" s="69" t="s">
        <v>364</v>
      </c>
      <c r="D2038" s="70">
        <f>VLOOKUP(C2038,基本字段定义!$B$3:$C$3013,2,FALSE)</f>
        <v>508</v>
      </c>
      <c r="E2038" s="71" t="s">
        <v>365</v>
      </c>
      <c r="F2038" s="71"/>
      <c r="G2038" s="73"/>
    </row>
    <row r="2039" spans="2:7" ht="14.25" thickBot="1" x14ac:dyDescent="0.2">
      <c r="B2039" s="304"/>
      <c r="C2039" s="75"/>
      <c r="D2039" s="83"/>
      <c r="E2039" s="77"/>
      <c r="F2039" s="77"/>
      <c r="G2039" s="78"/>
    </row>
    <row r="2041" spans="2:7" x14ac:dyDescent="0.15">
      <c r="B2041" s="57" t="s">
        <v>163</v>
      </c>
      <c r="C2041" s="84">
        <v>304803</v>
      </c>
      <c r="D2041" s="85"/>
      <c r="E2041" s="86"/>
      <c r="F2041" s="58" t="s">
        <v>352</v>
      </c>
      <c r="G2041" s="59"/>
    </row>
    <row r="2042" spans="2:7" x14ac:dyDescent="0.15">
      <c r="B2042" s="60" t="s">
        <v>353</v>
      </c>
      <c r="C2042" s="87" t="str">
        <f>VLOOKUP(C2041,功能索引!$C$3:$D$278,2,FALSE)</f>
        <v>授信申请查询</v>
      </c>
      <c r="D2042" s="88"/>
      <c r="E2042" s="89"/>
      <c r="F2042" s="61" t="s">
        <v>165</v>
      </c>
      <c r="G2042" s="62" t="str">
        <f>VLOOKUP(C2041,功能索引!$C$3:$E2353,3,FALSE)</f>
        <v>Y</v>
      </c>
    </row>
    <row r="2043" spans="2:7" x14ac:dyDescent="0.15">
      <c r="B2043" s="299" t="s">
        <v>354</v>
      </c>
      <c r="C2043" s="99"/>
      <c r="D2043" s="100"/>
      <c r="E2043" s="100"/>
      <c r="F2043" s="100"/>
      <c r="G2043" s="101"/>
    </row>
    <row r="2044" spans="2:7" ht="14.25" thickBot="1" x14ac:dyDescent="0.2">
      <c r="B2044" s="304"/>
      <c r="C2044" s="102"/>
      <c r="D2044" s="103"/>
      <c r="E2044" s="103"/>
      <c r="F2044" s="103"/>
      <c r="G2044" s="104"/>
    </row>
    <row r="2045" spans="2:7" x14ac:dyDescent="0.15">
      <c r="B2045" s="298" t="s">
        <v>355</v>
      </c>
      <c r="C2045" s="58" t="s">
        <v>356</v>
      </c>
      <c r="D2045" s="58" t="s">
        <v>357</v>
      </c>
      <c r="E2045" s="58" t="s">
        <v>358</v>
      </c>
      <c r="F2045" s="58" t="s">
        <v>359</v>
      </c>
      <c r="G2045" s="64" t="s">
        <v>360</v>
      </c>
    </row>
    <row r="2046" spans="2:7" x14ac:dyDescent="0.15">
      <c r="B2046" s="299"/>
      <c r="C2046" s="65" t="s">
        <v>428</v>
      </c>
      <c r="D2046" s="66">
        <f>VLOOKUP(C2046,基本字段定义!$B$3:$C$3013,2,FALSE)</f>
        <v>605</v>
      </c>
      <c r="E2046" s="67" t="s">
        <v>429</v>
      </c>
      <c r="F2046" s="67" t="s">
        <v>169</v>
      </c>
      <c r="G2046" s="68" t="s">
        <v>430</v>
      </c>
    </row>
    <row r="2047" spans="2:7" x14ac:dyDescent="0.15">
      <c r="B2047" s="299" t="s">
        <v>361</v>
      </c>
      <c r="C2047" s="69" t="s">
        <v>640</v>
      </c>
      <c r="D2047" s="70">
        <f>VLOOKUP(C2047,基本字段定义!$B$3:$C$3013,2,FALSE)</f>
        <v>912</v>
      </c>
      <c r="E2047" s="71" t="s">
        <v>363</v>
      </c>
      <c r="F2047" s="71"/>
      <c r="G2047" s="72" t="s">
        <v>641</v>
      </c>
    </row>
    <row r="2048" spans="2:7" x14ac:dyDescent="0.15">
      <c r="B2048" s="299"/>
      <c r="C2048" s="69" t="s">
        <v>550</v>
      </c>
      <c r="D2048" s="70">
        <f>VLOOKUP(C2048,基本字段定义!$B$3:$C$3013,2,FALSE)</f>
        <v>511</v>
      </c>
      <c r="E2048" s="71" t="s">
        <v>365</v>
      </c>
      <c r="F2048" s="71"/>
      <c r="G2048" s="73" t="s">
        <v>551</v>
      </c>
    </row>
    <row r="2049" spans="2:7" x14ac:dyDescent="0.15">
      <c r="B2049" s="299"/>
      <c r="C2049" s="69" t="s">
        <v>678</v>
      </c>
      <c r="D2049" s="70">
        <f>VLOOKUP(C2049,基本字段定义!$B$3:$C$3013,2,FALSE)</f>
        <v>1980</v>
      </c>
      <c r="E2049" s="71" t="s">
        <v>363</v>
      </c>
      <c r="F2049" s="71"/>
      <c r="G2049" s="73" t="s">
        <v>679</v>
      </c>
    </row>
    <row r="2050" spans="2:7" x14ac:dyDescent="0.15">
      <c r="B2050" s="299"/>
      <c r="C2050" s="69" t="s">
        <v>1217</v>
      </c>
      <c r="D2050" s="70">
        <f>VLOOKUP(C2050,基本字段定义!$B$3:$C$3013,2,FALSE)</f>
        <v>1800</v>
      </c>
      <c r="E2050" s="71" t="s">
        <v>363</v>
      </c>
      <c r="F2050" s="71"/>
      <c r="G2050" s="73" t="s">
        <v>1218</v>
      </c>
    </row>
    <row r="2051" spans="2:7" x14ac:dyDescent="0.15">
      <c r="B2051" s="299"/>
      <c r="C2051" s="69" t="s">
        <v>1200</v>
      </c>
      <c r="D2051" s="70">
        <f>VLOOKUP(C2051,基本字段定义!$B$3:$C$3013,2,FALSE)</f>
        <v>1821</v>
      </c>
      <c r="E2051" s="71" t="s">
        <v>563</v>
      </c>
      <c r="F2051" s="71"/>
      <c r="G2051" s="73" t="s">
        <v>1223</v>
      </c>
    </row>
    <row r="2052" spans="2:7" x14ac:dyDescent="0.15">
      <c r="B2052" s="299"/>
      <c r="C2052" s="69" t="s">
        <v>1202</v>
      </c>
      <c r="D2052" s="70">
        <f>VLOOKUP(C2052,基本字段定义!$B$3:$C$3013,2,FALSE)</f>
        <v>1822</v>
      </c>
      <c r="E2052" s="71" t="s">
        <v>563</v>
      </c>
      <c r="F2052" s="71"/>
      <c r="G2052" s="73" t="s">
        <v>1224</v>
      </c>
    </row>
    <row r="2053" spans="2:7" ht="14.25" thickBot="1" x14ac:dyDescent="0.2">
      <c r="B2053" s="304"/>
      <c r="C2053" s="75"/>
      <c r="D2053" s="83"/>
      <c r="E2053" s="77"/>
      <c r="F2053" s="77"/>
      <c r="G2053" s="78"/>
    </row>
    <row r="2055" spans="2:7" x14ac:dyDescent="0.15">
      <c r="B2055" s="57" t="s">
        <v>163</v>
      </c>
      <c r="C2055" s="84">
        <v>204835</v>
      </c>
      <c r="D2055" s="85"/>
      <c r="E2055" s="86"/>
      <c r="F2055" s="58" t="s">
        <v>352</v>
      </c>
      <c r="G2055" s="59"/>
    </row>
    <row r="2056" spans="2:7" x14ac:dyDescent="0.15">
      <c r="B2056" s="60" t="s">
        <v>353</v>
      </c>
      <c r="C2056" s="87" t="str">
        <f>VLOOKUP(C2055,功能索引!$C$3:$D$278,2,FALSE)</f>
        <v>信用资格证券查询</v>
      </c>
      <c r="D2056" s="88"/>
      <c r="E2056" s="89"/>
      <c r="F2056" s="61" t="s">
        <v>165</v>
      </c>
      <c r="G2056" s="62" t="str">
        <f>VLOOKUP(C2055,功能索引!$C$3:$E2353,3,FALSE)</f>
        <v>Y</v>
      </c>
    </row>
    <row r="2057" spans="2:7" x14ac:dyDescent="0.15">
      <c r="B2057" s="299" t="s">
        <v>354</v>
      </c>
      <c r="C2057" s="99"/>
      <c r="D2057" s="100"/>
      <c r="E2057" s="100"/>
      <c r="F2057" s="100"/>
      <c r="G2057" s="101"/>
    </row>
    <row r="2058" spans="2:7" ht="14.25" thickBot="1" x14ac:dyDescent="0.2">
      <c r="B2058" s="304"/>
      <c r="C2058" s="102"/>
      <c r="D2058" s="103"/>
      <c r="E2058" s="103"/>
      <c r="F2058" s="103"/>
      <c r="G2058" s="104"/>
    </row>
    <row r="2059" spans="2:7" x14ac:dyDescent="0.15">
      <c r="B2059" s="298" t="s">
        <v>355</v>
      </c>
      <c r="C2059" s="58" t="s">
        <v>356</v>
      </c>
      <c r="D2059" s="58" t="s">
        <v>357</v>
      </c>
      <c r="E2059" s="58" t="s">
        <v>358</v>
      </c>
      <c r="F2059" s="58" t="s">
        <v>359</v>
      </c>
      <c r="G2059" s="64" t="s">
        <v>360</v>
      </c>
    </row>
    <row r="2060" spans="2:7" x14ac:dyDescent="0.15">
      <c r="B2060" s="306"/>
      <c r="C2060" s="129" t="s">
        <v>387</v>
      </c>
      <c r="D2060" s="129">
        <f>VLOOKUP(C2060,基本字段定义!$B$3:$C$3013,2,FALSE)</f>
        <v>599</v>
      </c>
      <c r="E2060" s="129" t="s">
        <v>1225</v>
      </c>
      <c r="F2060" s="129"/>
      <c r="G2060" s="130" t="s">
        <v>389</v>
      </c>
    </row>
    <row r="2061" spans="2:7" x14ac:dyDescent="0.15">
      <c r="B2061" s="306"/>
      <c r="C2061" s="129" t="s">
        <v>666</v>
      </c>
      <c r="D2061" s="129">
        <f>VLOOKUP(C2061,基本字段定义!$B$3:$C$3013,2,FALSE)</f>
        <v>719</v>
      </c>
      <c r="E2061" s="129" t="s">
        <v>506</v>
      </c>
      <c r="F2061" s="129"/>
      <c r="G2061" s="130" t="s">
        <v>683</v>
      </c>
    </row>
    <row r="2062" spans="2:7" x14ac:dyDescent="0.15">
      <c r="B2062" s="306"/>
      <c r="C2062" s="129" t="s">
        <v>1226</v>
      </c>
      <c r="D2062" s="129">
        <f>VLOOKUP(C2062,基本字段定义!$B$3:$C$3013,2,FALSE)</f>
        <v>665</v>
      </c>
      <c r="E2062" s="129" t="s">
        <v>363</v>
      </c>
      <c r="F2062" s="129"/>
      <c r="G2062" s="130" t="s">
        <v>1227</v>
      </c>
    </row>
    <row r="2063" spans="2:7" x14ac:dyDescent="0.15">
      <c r="B2063" s="306"/>
      <c r="C2063" s="129" t="s">
        <v>1228</v>
      </c>
      <c r="D2063" s="129">
        <f>VLOOKUP(C2063,基本字段定义!$B$3:$C$3013,2,FALSE)</f>
        <v>1695</v>
      </c>
      <c r="E2063" s="129" t="s">
        <v>363</v>
      </c>
      <c r="F2063" s="129"/>
      <c r="G2063" s="130" t="s">
        <v>1229</v>
      </c>
    </row>
    <row r="2064" spans="2:7" x14ac:dyDescent="0.15">
      <c r="B2064" s="306"/>
      <c r="C2064" s="129" t="s">
        <v>458</v>
      </c>
      <c r="D2064" s="129">
        <f>VLOOKUP(C2064,基本字段定义!$B$3:$C$3013,2,FALSE)</f>
        <v>988</v>
      </c>
      <c r="E2064" s="129" t="s">
        <v>363</v>
      </c>
      <c r="F2064" s="129"/>
      <c r="G2064" s="130" t="s">
        <v>1230</v>
      </c>
    </row>
    <row r="2065" spans="2:7" x14ac:dyDescent="0.15">
      <c r="B2065" s="299"/>
      <c r="C2065" s="65"/>
      <c r="D2065" s="66"/>
      <c r="E2065" s="67"/>
      <c r="F2065" s="67"/>
      <c r="G2065" s="68"/>
    </row>
    <row r="2066" spans="2:7" x14ac:dyDescent="0.15">
      <c r="B2066" s="299" t="s">
        <v>361</v>
      </c>
      <c r="C2066" s="69" t="s">
        <v>387</v>
      </c>
      <c r="D2066" s="70">
        <f>VLOOKUP(C2066,基本字段定义!$B$3:$C$3013,2,FALSE)</f>
        <v>599</v>
      </c>
      <c r="E2066" s="71" t="s">
        <v>365</v>
      </c>
      <c r="F2066" s="71"/>
      <c r="G2066" s="72" t="s">
        <v>389</v>
      </c>
    </row>
    <row r="2067" spans="2:7" x14ac:dyDescent="0.15">
      <c r="B2067" s="299"/>
      <c r="C2067" s="69" t="s">
        <v>666</v>
      </c>
      <c r="D2067" s="70">
        <f>VLOOKUP(C2067,基本字段定义!$B$3:$C$3013,2,FALSE)</f>
        <v>719</v>
      </c>
      <c r="E2067" s="71" t="s">
        <v>363</v>
      </c>
      <c r="F2067" s="71"/>
      <c r="G2067" s="73" t="s">
        <v>683</v>
      </c>
    </row>
    <row r="2068" spans="2:7" x14ac:dyDescent="0.15">
      <c r="B2068" s="299"/>
      <c r="C2068" s="69" t="s">
        <v>685</v>
      </c>
      <c r="D2068" s="70">
        <f>VLOOKUP(C2068,基本字段定义!$B$3:$C$3013,2,FALSE)</f>
        <v>722</v>
      </c>
      <c r="E2068" s="71" t="s">
        <v>365</v>
      </c>
      <c r="F2068" s="71"/>
      <c r="G2068" s="73" t="s">
        <v>686</v>
      </c>
    </row>
    <row r="2069" spans="2:7" x14ac:dyDescent="0.15">
      <c r="B2069" s="299"/>
      <c r="C2069" s="69" t="s">
        <v>1226</v>
      </c>
      <c r="D2069" s="70">
        <f>VLOOKUP(C2069,基本字段定义!$B$3:$C$3013,2,FALSE)</f>
        <v>665</v>
      </c>
      <c r="E2069" s="71" t="s">
        <v>363</v>
      </c>
      <c r="F2069" s="71"/>
      <c r="G2069" s="73" t="s">
        <v>1231</v>
      </c>
    </row>
    <row r="2070" spans="2:7" x14ac:dyDescent="0.15">
      <c r="B2070" s="299"/>
      <c r="C2070" s="69" t="s">
        <v>1232</v>
      </c>
      <c r="D2070" s="70">
        <f>VLOOKUP(C2070,基本字段定义!$B$3:$C$3013,2,FALSE)</f>
        <v>4173</v>
      </c>
      <c r="E2070" s="71" t="s">
        <v>363</v>
      </c>
      <c r="F2070" s="71"/>
      <c r="G2070" s="73" t="s">
        <v>1233</v>
      </c>
    </row>
    <row r="2071" spans="2:7" x14ac:dyDescent="0.15">
      <c r="B2071" s="299"/>
      <c r="C2071" s="69" t="s">
        <v>1234</v>
      </c>
      <c r="D2071" s="70">
        <f>VLOOKUP(C2071,基本字段定义!$B$3:$C$3013,2,FALSE)</f>
        <v>3022</v>
      </c>
      <c r="E2071" s="71" t="s">
        <v>563</v>
      </c>
      <c r="F2071" s="71"/>
      <c r="G2071" s="73" t="s">
        <v>1235</v>
      </c>
    </row>
    <row r="2072" spans="2:7" x14ac:dyDescent="0.15">
      <c r="B2072" s="299"/>
      <c r="C2072" s="69" t="s">
        <v>670</v>
      </c>
      <c r="D2072" s="70">
        <f>VLOOKUP(C2072,基本字段定义!$B$3:$C$3013,2,FALSE)</f>
        <v>1504</v>
      </c>
      <c r="E2072" s="71" t="s">
        <v>563</v>
      </c>
      <c r="F2072" s="71"/>
      <c r="G2072" s="73" t="s">
        <v>1236</v>
      </c>
    </row>
    <row r="2073" spans="2:7" x14ac:dyDescent="0.15">
      <c r="B2073" s="300"/>
      <c r="C2073" s="131" t="s">
        <v>1228</v>
      </c>
      <c r="D2073" s="132">
        <v>1695</v>
      </c>
      <c r="E2073" s="133" t="s">
        <v>365</v>
      </c>
      <c r="F2073" s="133"/>
      <c r="G2073" s="134" t="s">
        <v>1237</v>
      </c>
    </row>
    <row r="2074" spans="2:7" x14ac:dyDescent="0.15">
      <c r="B2074" s="300"/>
      <c r="C2074" s="131" t="s">
        <v>1238</v>
      </c>
      <c r="D2074" s="132">
        <v>9165</v>
      </c>
      <c r="E2074" s="133" t="s">
        <v>365</v>
      </c>
      <c r="F2074" s="133"/>
      <c r="G2074" s="134" t="s">
        <v>1239</v>
      </c>
    </row>
    <row r="2075" spans="2:7" x14ac:dyDescent="0.15">
      <c r="B2075" s="300"/>
      <c r="C2075" s="131" t="s">
        <v>1240</v>
      </c>
      <c r="D2075" s="132">
        <v>858</v>
      </c>
      <c r="E2075" s="135" t="s">
        <v>563</v>
      </c>
      <c r="F2075" s="133"/>
      <c r="G2075" s="134" t="s">
        <v>1241</v>
      </c>
    </row>
    <row r="2076" spans="2:7" x14ac:dyDescent="0.15">
      <c r="B2076" s="300"/>
      <c r="C2076" s="131" t="s">
        <v>1213</v>
      </c>
      <c r="D2076" s="132">
        <v>1673</v>
      </c>
      <c r="E2076" s="135" t="s">
        <v>563</v>
      </c>
      <c r="F2076" s="133"/>
      <c r="G2076" s="134" t="s">
        <v>1242</v>
      </c>
    </row>
    <row r="2077" spans="2:7" x14ac:dyDescent="0.15">
      <c r="B2077" s="300"/>
      <c r="C2077" s="131" t="s">
        <v>1215</v>
      </c>
      <c r="D2077" s="132">
        <v>1719</v>
      </c>
      <c r="E2077" s="135" t="s">
        <v>563</v>
      </c>
      <c r="F2077" s="133"/>
      <c r="G2077" s="134" t="s">
        <v>1243</v>
      </c>
    </row>
    <row r="2078" spans="2:7" x14ac:dyDescent="0.15">
      <c r="B2078" s="300"/>
      <c r="C2078" s="131" t="s">
        <v>1244</v>
      </c>
      <c r="D2078" s="132">
        <v>9234</v>
      </c>
      <c r="E2078" s="135" t="s">
        <v>563</v>
      </c>
      <c r="F2078" s="133"/>
      <c r="G2078" s="134" t="s">
        <v>1245</v>
      </c>
    </row>
    <row r="2079" spans="2:7" x14ac:dyDescent="0.15">
      <c r="B2079" s="300"/>
      <c r="C2079" s="131" t="s">
        <v>1246</v>
      </c>
      <c r="D2079" s="132">
        <v>9235</v>
      </c>
      <c r="E2079" s="135" t="s">
        <v>563</v>
      </c>
      <c r="F2079" s="133"/>
      <c r="G2079" s="134" t="s">
        <v>1247</v>
      </c>
    </row>
    <row r="2080" spans="2:7" x14ac:dyDescent="0.15">
      <c r="B2080" s="300"/>
      <c r="C2080" s="131" t="s">
        <v>1248</v>
      </c>
      <c r="D2080" s="132">
        <v>873</v>
      </c>
      <c r="E2080" s="135" t="s">
        <v>563</v>
      </c>
      <c r="F2080" s="133"/>
      <c r="G2080" s="134" t="s">
        <v>1249</v>
      </c>
    </row>
    <row r="2081" spans="2:7" x14ac:dyDescent="0.15">
      <c r="B2081" s="300"/>
      <c r="C2081" s="131" t="s">
        <v>1250</v>
      </c>
      <c r="D2081" s="132">
        <v>1619</v>
      </c>
      <c r="E2081" s="133" t="s">
        <v>563</v>
      </c>
      <c r="F2081" s="133"/>
      <c r="G2081" s="134" t="s">
        <v>1251</v>
      </c>
    </row>
    <row r="2082" spans="2:7" x14ac:dyDescent="0.15">
      <c r="B2082" s="300"/>
      <c r="C2082" s="131" t="s">
        <v>1234</v>
      </c>
      <c r="D2082" s="132">
        <v>3022</v>
      </c>
      <c r="E2082" s="135" t="s">
        <v>563</v>
      </c>
      <c r="F2082" s="133"/>
      <c r="G2082" s="134" t="s">
        <v>1252</v>
      </c>
    </row>
    <row r="2083" spans="2:7" x14ac:dyDescent="0.15">
      <c r="B2083" s="300"/>
      <c r="C2083" s="131" t="s">
        <v>670</v>
      </c>
      <c r="D2083" s="132">
        <v>1504</v>
      </c>
      <c r="E2083" s="135" t="s">
        <v>563</v>
      </c>
      <c r="F2083" s="133"/>
      <c r="G2083" s="134" t="s">
        <v>1253</v>
      </c>
    </row>
    <row r="2084" spans="2:7" ht="14.25" thickBot="1" x14ac:dyDescent="0.2">
      <c r="B2084" s="304"/>
      <c r="C2084" s="75"/>
      <c r="D2084" s="83"/>
      <c r="E2084" s="77"/>
      <c r="F2084" s="77"/>
      <c r="G2084" s="78"/>
    </row>
    <row r="2086" spans="2:7" x14ac:dyDescent="0.15">
      <c r="B2086" s="57" t="s">
        <v>163</v>
      </c>
      <c r="C2086" s="84">
        <v>304823</v>
      </c>
      <c r="D2086" s="85"/>
      <c r="E2086" s="86"/>
      <c r="F2086" s="58" t="s">
        <v>352</v>
      </c>
      <c r="G2086" s="59"/>
    </row>
    <row r="2087" spans="2:7" x14ac:dyDescent="0.15">
      <c r="B2087" s="60" t="s">
        <v>353</v>
      </c>
      <c r="C2087" s="87" t="str">
        <f>VLOOKUP(C2086,功能索引!$C$3:$D$278,2,FALSE)</f>
        <v>融券证券池查询</v>
      </c>
      <c r="D2087" s="88"/>
      <c r="E2087" s="89"/>
      <c r="F2087" s="61" t="s">
        <v>165</v>
      </c>
      <c r="G2087" s="62" t="str">
        <f>VLOOKUP(C2086,功能索引!$C$3:$E2353,3,FALSE)</f>
        <v>Y</v>
      </c>
    </row>
    <row r="2088" spans="2:7" x14ac:dyDescent="0.15">
      <c r="B2088" s="299" t="s">
        <v>354</v>
      </c>
      <c r="C2088" s="99"/>
      <c r="D2088" s="100"/>
      <c r="E2088" s="100"/>
      <c r="F2088" s="100"/>
      <c r="G2088" s="101"/>
    </row>
    <row r="2089" spans="2:7" ht="14.25" thickBot="1" x14ac:dyDescent="0.2">
      <c r="B2089" s="304"/>
      <c r="C2089" s="102"/>
      <c r="D2089" s="103"/>
      <c r="E2089" s="103"/>
      <c r="F2089" s="103"/>
      <c r="G2089" s="104"/>
    </row>
    <row r="2090" spans="2:7" x14ac:dyDescent="0.15">
      <c r="B2090" s="298" t="s">
        <v>355</v>
      </c>
      <c r="C2090" s="58" t="s">
        <v>356</v>
      </c>
      <c r="D2090" s="58" t="s">
        <v>357</v>
      </c>
      <c r="E2090" s="58" t="s">
        <v>358</v>
      </c>
      <c r="F2090" s="58" t="s">
        <v>359</v>
      </c>
      <c r="G2090" s="64" t="s">
        <v>360</v>
      </c>
    </row>
    <row r="2091" spans="2:7" x14ac:dyDescent="0.15">
      <c r="B2091" s="299"/>
      <c r="C2091" s="65" t="s">
        <v>387</v>
      </c>
      <c r="D2091" s="66">
        <f>VLOOKUP(C2091,基本字段定义!$B$3:$C$3013,2,FALSE)</f>
        <v>599</v>
      </c>
      <c r="E2091" s="67" t="s">
        <v>388</v>
      </c>
      <c r="F2091" s="67"/>
      <c r="G2091" s="68" t="s">
        <v>389</v>
      </c>
    </row>
    <row r="2092" spans="2:7" x14ac:dyDescent="0.15">
      <c r="B2092" s="299"/>
      <c r="C2092" s="65" t="s">
        <v>666</v>
      </c>
      <c r="D2092" s="66">
        <f>VLOOKUP(C2092,基本字段定义!$B$3:$C$3013,2,FALSE)</f>
        <v>719</v>
      </c>
      <c r="E2092" s="67" t="s">
        <v>506</v>
      </c>
      <c r="F2092" s="67"/>
      <c r="G2092" s="68" t="s">
        <v>683</v>
      </c>
    </row>
    <row r="2093" spans="2:7" x14ac:dyDescent="0.15">
      <c r="B2093" s="299"/>
      <c r="C2093" s="65" t="s">
        <v>759</v>
      </c>
      <c r="D2093" s="66">
        <f>VLOOKUP(C2093,基本字段定义!$B$3:$C$3013,2,FALSE)</f>
        <v>720</v>
      </c>
      <c r="E2093" s="67" t="s">
        <v>388</v>
      </c>
      <c r="F2093" s="67"/>
      <c r="G2093" s="68" t="s">
        <v>760</v>
      </c>
    </row>
    <row r="2094" spans="2:7" x14ac:dyDescent="0.15">
      <c r="B2094" s="299"/>
      <c r="C2094" s="65" t="s">
        <v>428</v>
      </c>
      <c r="D2094" s="66">
        <f>VLOOKUP(C2094,基本字段定义!$B$3:$C$3013,2,FALSE)</f>
        <v>605</v>
      </c>
      <c r="E2094" s="67" t="s">
        <v>429</v>
      </c>
      <c r="F2094" s="67"/>
      <c r="G2094" s="68" t="s">
        <v>1254</v>
      </c>
    </row>
    <row r="2095" spans="2:7" ht="25.5" x14ac:dyDescent="0.15">
      <c r="B2095" s="299"/>
      <c r="C2095" s="65" t="s">
        <v>529</v>
      </c>
      <c r="D2095" s="66">
        <f>VLOOKUP(C2095,基本字段定义!$B$3:$C$3013,2,FALSE)</f>
        <v>1332</v>
      </c>
      <c r="E2095" s="67" t="s">
        <v>363</v>
      </c>
      <c r="F2095" s="67"/>
      <c r="G2095" s="90" t="s">
        <v>1255</v>
      </c>
    </row>
    <row r="2096" spans="2:7" x14ac:dyDescent="0.15">
      <c r="B2096" s="299"/>
      <c r="C2096" s="65" t="s">
        <v>616</v>
      </c>
      <c r="D2096" s="66">
        <f>VLOOKUP(C2096,基本字段定义!$B$3:$C$3013,2,FALSE)</f>
        <v>9110</v>
      </c>
      <c r="E2096" s="67" t="s">
        <v>363</v>
      </c>
      <c r="F2096" s="67"/>
      <c r="G2096" s="68" t="s">
        <v>617</v>
      </c>
    </row>
    <row r="2097" spans="2:7" x14ac:dyDescent="0.15">
      <c r="B2097" s="299"/>
      <c r="C2097" s="65" t="s">
        <v>614</v>
      </c>
      <c r="D2097" s="66">
        <f>VLOOKUP(C2097,基本字段定义!$B$3:$C$3013,2,FALSE)</f>
        <v>763</v>
      </c>
      <c r="E2097" s="67" t="s">
        <v>497</v>
      </c>
      <c r="F2097" s="67"/>
      <c r="G2097" s="68" t="s">
        <v>1256</v>
      </c>
    </row>
    <row r="2098" spans="2:7" x14ac:dyDescent="0.15">
      <c r="B2098" s="299" t="s">
        <v>361</v>
      </c>
      <c r="C2098" s="69" t="s">
        <v>614</v>
      </c>
      <c r="D2098" s="70">
        <f>VLOOKUP(C2098,基本字段定义!$B$3:$C$3013,2,FALSE)</f>
        <v>763</v>
      </c>
      <c r="E2098" s="71" t="s">
        <v>365</v>
      </c>
      <c r="F2098" s="71"/>
      <c r="G2098" s="72" t="s">
        <v>618</v>
      </c>
    </row>
    <row r="2099" spans="2:7" x14ac:dyDescent="0.15">
      <c r="B2099" s="299"/>
      <c r="C2099" s="69" t="s">
        <v>387</v>
      </c>
      <c r="D2099" s="70">
        <f>VLOOKUP(C2099,基本字段定义!$B$3:$C$3013,2,FALSE)</f>
        <v>599</v>
      </c>
      <c r="E2099" s="71" t="s">
        <v>365</v>
      </c>
      <c r="F2099" s="71"/>
      <c r="G2099" s="73" t="s">
        <v>389</v>
      </c>
    </row>
    <row r="2100" spans="2:7" x14ac:dyDescent="0.15">
      <c r="B2100" s="299"/>
      <c r="C2100" s="69" t="s">
        <v>666</v>
      </c>
      <c r="D2100" s="70">
        <f>VLOOKUP(C2100,基本字段定义!$B$3:$C$3013,2,FALSE)</f>
        <v>719</v>
      </c>
      <c r="E2100" s="71" t="s">
        <v>365</v>
      </c>
      <c r="F2100" s="71"/>
      <c r="G2100" s="73" t="s">
        <v>683</v>
      </c>
    </row>
    <row r="2101" spans="2:7" x14ac:dyDescent="0.15">
      <c r="B2101" s="299"/>
      <c r="C2101" s="69" t="s">
        <v>685</v>
      </c>
      <c r="D2101" s="70">
        <f>VLOOKUP(C2101,基本字段定义!$B$3:$C$3013,2,FALSE)</f>
        <v>722</v>
      </c>
      <c r="E2101" s="71" t="s">
        <v>365</v>
      </c>
      <c r="F2101" s="71"/>
      <c r="G2101" s="73" t="s">
        <v>686</v>
      </c>
    </row>
    <row r="2102" spans="2:7" x14ac:dyDescent="0.15">
      <c r="B2102" s="299"/>
      <c r="C2102" s="69" t="s">
        <v>829</v>
      </c>
      <c r="D2102" s="70">
        <f>VLOOKUP(C2102,基本字段定义!$B$3:$C$3013,2,FALSE)</f>
        <v>543</v>
      </c>
      <c r="E2102" s="71" t="s">
        <v>363</v>
      </c>
      <c r="F2102" s="71"/>
      <c r="G2102" s="73" t="s">
        <v>1257</v>
      </c>
    </row>
    <row r="2103" spans="2:7" x14ac:dyDescent="0.15">
      <c r="B2103" s="299"/>
      <c r="C2103" s="69" t="s">
        <v>839</v>
      </c>
      <c r="D2103" s="70">
        <f>VLOOKUP(C2103,基本字段定义!$B$3:$C$3013,2,FALSE)</f>
        <v>615</v>
      </c>
      <c r="E2103" s="71" t="s">
        <v>363</v>
      </c>
      <c r="F2103" s="71"/>
      <c r="G2103" s="73" t="s">
        <v>1258</v>
      </c>
    </row>
    <row r="2104" spans="2:7" x14ac:dyDescent="0.15">
      <c r="B2104" s="299"/>
      <c r="C2104" s="69" t="s">
        <v>1163</v>
      </c>
      <c r="D2104" s="70">
        <f>VLOOKUP(C2104,基本字段定义!$B$3:$C$3013,2,FALSE)</f>
        <v>1240</v>
      </c>
      <c r="E2104" s="71" t="s">
        <v>363</v>
      </c>
      <c r="F2104" s="71"/>
      <c r="G2104" s="73" t="s">
        <v>975</v>
      </c>
    </row>
    <row r="2105" spans="2:7" ht="14.25" thickBot="1" x14ac:dyDescent="0.2">
      <c r="B2105" s="304"/>
      <c r="C2105" s="75" t="s">
        <v>1259</v>
      </c>
      <c r="D2105" s="70">
        <f>VLOOKUP(C2105,基本字段定义!$B$3:$C$3013,2,FALSE)</f>
        <v>9214</v>
      </c>
      <c r="E2105" s="77" t="s">
        <v>363</v>
      </c>
      <c r="F2105" s="77"/>
      <c r="G2105" s="78" t="s">
        <v>1260</v>
      </c>
    </row>
    <row r="2107" spans="2:7" x14ac:dyDescent="0.15">
      <c r="B2107" s="57" t="s">
        <v>163</v>
      </c>
      <c r="C2107" s="84">
        <v>204830</v>
      </c>
      <c r="D2107" s="85"/>
      <c r="E2107" s="86"/>
      <c r="F2107" s="58" t="s">
        <v>352</v>
      </c>
      <c r="G2107" s="59"/>
    </row>
    <row r="2108" spans="2:7" x14ac:dyDescent="0.15">
      <c r="B2108" s="60" t="s">
        <v>353</v>
      </c>
      <c r="C2108" s="87" t="str">
        <f>VLOOKUP(C2107,功能索引!$C$3:$D$278,2,FALSE)</f>
        <v>信用资金情况查询</v>
      </c>
      <c r="D2108" s="88"/>
      <c r="E2108" s="89"/>
      <c r="F2108" s="61" t="s">
        <v>165</v>
      </c>
      <c r="G2108" s="62">
        <f>VLOOKUP(C2107,功能索引!$C$3:$E2353,3,FALSE)</f>
        <v>0</v>
      </c>
    </row>
    <row r="2109" spans="2:7" x14ac:dyDescent="0.15">
      <c r="B2109" s="299" t="s">
        <v>354</v>
      </c>
      <c r="C2109" s="99"/>
      <c r="D2109" s="100"/>
      <c r="E2109" s="100"/>
      <c r="F2109" s="100"/>
      <c r="G2109" s="101"/>
    </row>
    <row r="2110" spans="2:7" ht="14.25" thickBot="1" x14ac:dyDescent="0.2">
      <c r="B2110" s="304"/>
      <c r="C2110" s="102"/>
      <c r="D2110" s="103"/>
      <c r="E2110" s="103"/>
      <c r="F2110" s="103"/>
      <c r="G2110" s="104"/>
    </row>
    <row r="2111" spans="2:7" x14ac:dyDescent="0.15">
      <c r="B2111" s="298" t="s">
        <v>355</v>
      </c>
      <c r="C2111" s="58" t="s">
        <v>356</v>
      </c>
      <c r="D2111" s="58" t="s">
        <v>357</v>
      </c>
      <c r="E2111" s="58" t="s">
        <v>358</v>
      </c>
      <c r="F2111" s="58" t="s">
        <v>359</v>
      </c>
      <c r="G2111" s="64" t="s">
        <v>360</v>
      </c>
    </row>
    <row r="2112" spans="2:7" x14ac:dyDescent="0.15">
      <c r="B2112" s="299"/>
      <c r="C2112" s="65" t="s">
        <v>428</v>
      </c>
      <c r="D2112" s="66">
        <f>VLOOKUP(C2112,基本字段定义!$B$3:$C$3013,2,FALSE)</f>
        <v>605</v>
      </c>
      <c r="E2112" s="67" t="s">
        <v>429</v>
      </c>
      <c r="F2112" s="67" t="s">
        <v>169</v>
      </c>
      <c r="G2112" s="68" t="s">
        <v>430</v>
      </c>
    </row>
    <row r="2113" spans="2:7" x14ac:dyDescent="0.15">
      <c r="B2113" s="299"/>
      <c r="C2113" s="65" t="s">
        <v>585</v>
      </c>
      <c r="D2113" s="66">
        <f>VLOOKUP(C2113,基本字段定义!$B$3:$C$3013,2,FALSE)</f>
        <v>9020</v>
      </c>
      <c r="E2113" s="67" t="s">
        <v>363</v>
      </c>
      <c r="F2113" s="67" t="s">
        <v>169</v>
      </c>
      <c r="G2113" s="68" t="s">
        <v>1261</v>
      </c>
    </row>
    <row r="2114" spans="2:7" x14ac:dyDescent="0.15">
      <c r="B2114" s="299" t="s">
        <v>361</v>
      </c>
      <c r="C2114" s="69" t="s">
        <v>362</v>
      </c>
      <c r="D2114" s="70">
        <f>VLOOKUP(C2114,基本字段定义!$B$3:$C$3013,2,FALSE)</f>
        <v>507</v>
      </c>
      <c r="E2114" s="71" t="s">
        <v>363</v>
      </c>
      <c r="F2114" s="71"/>
      <c r="G2114" s="72" t="s">
        <v>1262</v>
      </c>
    </row>
    <row r="2115" spans="2:7" x14ac:dyDescent="0.15">
      <c r="B2115" s="299"/>
      <c r="C2115" s="69" t="s">
        <v>364</v>
      </c>
      <c r="D2115" s="70">
        <f>VLOOKUP(C2115,基本字段定义!$B$3:$C$3013,2,FALSE)</f>
        <v>508</v>
      </c>
      <c r="E2115" s="71" t="s">
        <v>365</v>
      </c>
      <c r="F2115" s="71"/>
      <c r="G2115" s="73" t="s">
        <v>1263</v>
      </c>
    </row>
    <row r="2116" spans="2:7" x14ac:dyDescent="0.15">
      <c r="B2116" s="299"/>
      <c r="C2116" s="69" t="s">
        <v>1264</v>
      </c>
      <c r="D2116" s="70">
        <f>VLOOKUP(C2116,基本字段定义!$B$3:$C$3013,2,FALSE)</f>
        <v>1720</v>
      </c>
      <c r="E2116" s="71" t="s">
        <v>563</v>
      </c>
      <c r="F2116" s="71"/>
      <c r="G2116" s="73" t="s">
        <v>1265</v>
      </c>
    </row>
    <row r="2117" spans="2:7" x14ac:dyDescent="0.15">
      <c r="B2117" s="299"/>
      <c r="C2117" s="69" t="s">
        <v>1266</v>
      </c>
      <c r="D2117" s="70">
        <f>VLOOKUP(C2117,基本字段定义!$B$3:$C$3013,2,FALSE)</f>
        <v>1741</v>
      </c>
      <c r="E2117" s="71" t="s">
        <v>563</v>
      </c>
      <c r="F2117" s="71"/>
      <c r="G2117" s="73" t="s">
        <v>1267</v>
      </c>
    </row>
    <row r="2118" spans="2:7" x14ac:dyDescent="0.15">
      <c r="B2118" s="299"/>
      <c r="C2118" s="69" t="s">
        <v>421</v>
      </c>
      <c r="D2118" s="70">
        <f>VLOOKUP(C2118,基本字段定义!$B$3:$C$3013,2,FALSE)</f>
        <v>1190</v>
      </c>
      <c r="E2118" s="71" t="s">
        <v>563</v>
      </c>
      <c r="F2118" s="71"/>
      <c r="G2118" s="73" t="s">
        <v>1268</v>
      </c>
    </row>
    <row r="2119" spans="2:7" x14ac:dyDescent="0.15">
      <c r="B2119" s="299"/>
      <c r="C2119" s="69" t="s">
        <v>562</v>
      </c>
      <c r="D2119" s="70">
        <f>VLOOKUP(C2119,基本字段定义!$B$3:$C$3013,2,FALSE)</f>
        <v>709</v>
      </c>
      <c r="E2119" s="71" t="s">
        <v>563</v>
      </c>
      <c r="F2119" s="71"/>
      <c r="G2119" s="73" t="s">
        <v>564</v>
      </c>
    </row>
    <row r="2120" spans="2:7" x14ac:dyDescent="0.15">
      <c r="B2120" s="299"/>
      <c r="C2120" s="69" t="s">
        <v>567</v>
      </c>
      <c r="D2120" s="70">
        <f>VLOOKUP(C2120,基本字段定义!$B$3:$C$3013,2,FALSE)</f>
        <v>619</v>
      </c>
      <c r="E2120" s="71" t="s">
        <v>563</v>
      </c>
      <c r="F2120" s="71"/>
      <c r="G2120" s="73" t="s">
        <v>1269</v>
      </c>
    </row>
    <row r="2121" spans="2:7" x14ac:dyDescent="0.15">
      <c r="B2121" s="299"/>
      <c r="C2121" s="69" t="s">
        <v>954</v>
      </c>
      <c r="D2121" s="70">
        <f>VLOOKUP(C2121,基本字段定义!$B$3:$C$3013,2,FALSE)</f>
        <v>647</v>
      </c>
      <c r="E2121" s="71" t="s">
        <v>563</v>
      </c>
      <c r="F2121" s="71"/>
      <c r="G2121" s="73" t="s">
        <v>955</v>
      </c>
    </row>
    <row r="2122" spans="2:7" x14ac:dyDescent="0.15">
      <c r="B2122" s="299"/>
      <c r="C2122" s="69" t="s">
        <v>1270</v>
      </c>
      <c r="D2122" s="70">
        <f>VLOOKUP(C2122,基本字段定义!$B$3:$C$3013,2,FALSE)</f>
        <v>869</v>
      </c>
      <c r="E2122" s="71" t="s">
        <v>563</v>
      </c>
      <c r="F2122" s="71"/>
      <c r="G2122" s="73" t="s">
        <v>1271</v>
      </c>
    </row>
    <row r="2123" spans="2:7" x14ac:dyDescent="0.15">
      <c r="B2123" s="299"/>
      <c r="C2123" s="69" t="s">
        <v>1272</v>
      </c>
      <c r="D2123" s="70">
        <f>VLOOKUP(C2123,基本字段定义!$B$3:$C$3013,2,FALSE)</f>
        <v>805</v>
      </c>
      <c r="E2123" s="71" t="s">
        <v>563</v>
      </c>
      <c r="F2123" s="71"/>
      <c r="G2123" s="73" t="s">
        <v>1273</v>
      </c>
    </row>
    <row r="2124" spans="2:7" x14ac:dyDescent="0.15">
      <c r="B2124" s="299"/>
      <c r="C2124" s="69" t="s">
        <v>1274</v>
      </c>
      <c r="D2124" s="70">
        <f>VLOOKUP(C2124,基本字段定义!$B$3:$C$3013,2,FALSE)</f>
        <v>1037</v>
      </c>
      <c r="E2124" s="71" t="s">
        <v>563</v>
      </c>
      <c r="F2124" s="71"/>
      <c r="G2124" s="73" t="s">
        <v>1275</v>
      </c>
    </row>
    <row r="2125" spans="2:7" x14ac:dyDescent="0.15">
      <c r="B2125" s="299"/>
      <c r="C2125" s="69" t="s">
        <v>1204</v>
      </c>
      <c r="D2125" s="70">
        <f>VLOOKUP(C2125,基本字段定义!$B$3:$C$3013,2,FALSE)</f>
        <v>652</v>
      </c>
      <c r="E2125" s="71" t="s">
        <v>563</v>
      </c>
      <c r="F2125" s="71"/>
      <c r="G2125" s="73" t="s">
        <v>1276</v>
      </c>
    </row>
    <row r="2126" spans="2:7" x14ac:dyDescent="0.15">
      <c r="B2126" s="299"/>
      <c r="C2126" s="69" t="s">
        <v>1206</v>
      </c>
      <c r="D2126" s="70">
        <f>VLOOKUP(C2126,基本字段定义!$B$3:$C$3013,2,FALSE)</f>
        <v>1823</v>
      </c>
      <c r="E2126" s="71" t="s">
        <v>563</v>
      </c>
      <c r="F2126" s="71"/>
      <c r="G2126" s="73" t="s">
        <v>1277</v>
      </c>
    </row>
    <row r="2127" spans="2:7" x14ac:dyDescent="0.15">
      <c r="B2127" s="299"/>
      <c r="C2127" s="69" t="s">
        <v>1278</v>
      </c>
      <c r="D2127" s="70">
        <f>VLOOKUP(C2127,基本字段定义!$B$3:$C$3013,2,FALSE)</f>
        <v>1829</v>
      </c>
      <c r="E2127" s="71" t="s">
        <v>563</v>
      </c>
      <c r="F2127" s="71"/>
      <c r="G2127" s="73" t="s">
        <v>1279</v>
      </c>
    </row>
    <row r="2128" spans="2:7" x14ac:dyDescent="0.15">
      <c r="B2128" s="299"/>
      <c r="C2128" s="69" t="s">
        <v>1280</v>
      </c>
      <c r="D2128" s="70">
        <f>VLOOKUP(C2128,基本字段定义!$B$3:$C$3013,2,FALSE)</f>
        <v>1830</v>
      </c>
      <c r="E2128" s="71" t="s">
        <v>563</v>
      </c>
      <c r="F2128" s="71"/>
      <c r="G2128" s="73" t="s">
        <v>1281</v>
      </c>
    </row>
    <row r="2129" spans="2:7" x14ac:dyDescent="0.15">
      <c r="B2129" s="299"/>
      <c r="C2129" s="69" t="s">
        <v>1282</v>
      </c>
      <c r="D2129" s="70">
        <f>VLOOKUP(C2129,基本字段定义!$B$3:$C$3013,2,FALSE)</f>
        <v>1038</v>
      </c>
      <c r="E2129" s="71" t="s">
        <v>563</v>
      </c>
      <c r="F2129" s="71"/>
      <c r="G2129" s="73" t="s">
        <v>1283</v>
      </c>
    </row>
    <row r="2130" spans="2:7" x14ac:dyDescent="0.15">
      <c r="B2130" s="299"/>
      <c r="C2130" s="69" t="s">
        <v>789</v>
      </c>
      <c r="D2130" s="70">
        <f>VLOOKUP(C2130,基本字段定义!$B$3:$C$3013,2,FALSE)</f>
        <v>9136</v>
      </c>
      <c r="E2130" s="71" t="s">
        <v>563</v>
      </c>
      <c r="F2130" s="71"/>
      <c r="G2130" s="73" t="s">
        <v>1284</v>
      </c>
    </row>
    <row r="2131" spans="2:7" x14ac:dyDescent="0.15">
      <c r="B2131" s="299"/>
      <c r="C2131" s="69" t="s">
        <v>1285</v>
      </c>
      <c r="D2131" s="70">
        <f>VLOOKUP(C2131,基本字段定义!$B$3:$C$3013,2,FALSE)</f>
        <v>1710</v>
      </c>
      <c r="E2131" s="71" t="s">
        <v>563</v>
      </c>
      <c r="F2131" s="71"/>
      <c r="G2131" s="73" t="s">
        <v>1286</v>
      </c>
    </row>
    <row r="2132" spans="2:7" x14ac:dyDescent="0.15">
      <c r="B2132" s="299"/>
      <c r="C2132" s="69" t="s">
        <v>593</v>
      </c>
      <c r="D2132" s="70">
        <f>VLOOKUP(C2132,基本字段定义!$B$3:$C$3013,2,FALSE)</f>
        <v>746</v>
      </c>
      <c r="E2132" s="71" t="s">
        <v>563</v>
      </c>
      <c r="F2132" s="71"/>
      <c r="G2132" s="73" t="s">
        <v>1287</v>
      </c>
    </row>
    <row r="2133" spans="2:7" x14ac:dyDescent="0.15">
      <c r="B2133" s="299"/>
      <c r="C2133" s="69" t="s">
        <v>535</v>
      </c>
      <c r="D2133" s="70">
        <f>VLOOKUP(C2133,基本字段定义!$B$3:$C$3013,2,FALSE)</f>
        <v>1850</v>
      </c>
      <c r="E2133" s="71" t="s">
        <v>563</v>
      </c>
      <c r="F2133" s="71"/>
      <c r="G2133" s="73" t="s">
        <v>1288</v>
      </c>
    </row>
    <row r="2134" spans="2:7" x14ac:dyDescent="0.15">
      <c r="B2134" s="299"/>
      <c r="C2134" s="69" t="s">
        <v>569</v>
      </c>
      <c r="D2134" s="70">
        <f>VLOOKUP(C2134,基本字段定义!$B$3:$C$3013,2,FALSE)</f>
        <v>617</v>
      </c>
      <c r="E2134" s="71" t="s">
        <v>563</v>
      </c>
      <c r="F2134" s="71"/>
      <c r="G2134" s="73" t="s">
        <v>1289</v>
      </c>
    </row>
    <row r="2135" spans="2:7" x14ac:dyDescent="0.15">
      <c r="B2135" s="299"/>
      <c r="C2135" s="69" t="s">
        <v>577</v>
      </c>
      <c r="D2135" s="70">
        <f>VLOOKUP(C2135,基本字段定义!$B$3:$C$3013,2,FALSE)</f>
        <v>1255</v>
      </c>
      <c r="E2135" s="71" t="s">
        <v>563</v>
      </c>
      <c r="F2135" s="71"/>
      <c r="G2135" s="73" t="s">
        <v>1290</v>
      </c>
    </row>
    <row r="2136" spans="2:7" x14ac:dyDescent="0.15">
      <c r="B2136" s="299"/>
      <c r="C2136" s="69" t="s">
        <v>1291</v>
      </c>
      <c r="D2136" s="70">
        <f>VLOOKUP(C2136,基本字段定义!$B$3:$C$3013,2,FALSE)</f>
        <v>517</v>
      </c>
      <c r="E2136" s="71" t="s">
        <v>563</v>
      </c>
      <c r="F2136" s="71"/>
      <c r="G2136" s="73" t="s">
        <v>1292</v>
      </c>
    </row>
    <row r="2137" spans="2:7" x14ac:dyDescent="0.15">
      <c r="B2137" s="299"/>
      <c r="C2137" s="69" t="s">
        <v>1293</v>
      </c>
      <c r="D2137" s="70">
        <f>VLOOKUP(C2137,基本字段定义!$B$3:$C$3013,2,FALSE)</f>
        <v>1361</v>
      </c>
      <c r="E2137" s="71" t="s">
        <v>563</v>
      </c>
      <c r="F2137" s="71"/>
      <c r="G2137" s="73" t="s">
        <v>1294</v>
      </c>
    </row>
    <row r="2138" spans="2:7" x14ac:dyDescent="0.15">
      <c r="B2138" s="300"/>
      <c r="C2138" s="69" t="s">
        <v>1295</v>
      </c>
      <c r="D2138" s="70">
        <f>VLOOKUP(C2138,基本字段定义!$B$3:$C$3013,2,FALSE)</f>
        <v>1202</v>
      </c>
      <c r="E2138" s="71" t="s">
        <v>563</v>
      </c>
      <c r="F2138" s="71"/>
      <c r="G2138" s="73" t="s">
        <v>1296</v>
      </c>
    </row>
    <row r="2139" spans="2:7" x14ac:dyDescent="0.15">
      <c r="B2139" s="300"/>
      <c r="C2139" s="69" t="s">
        <v>1297</v>
      </c>
      <c r="D2139" s="70">
        <f>VLOOKUP(C2139,基本字段定义!$B$3:$C$3013,2,FALSE)</f>
        <v>802</v>
      </c>
      <c r="E2139" s="71" t="s">
        <v>563</v>
      </c>
      <c r="F2139" s="71"/>
      <c r="G2139" s="73" t="s">
        <v>1298</v>
      </c>
    </row>
    <row r="2140" spans="2:7" x14ac:dyDescent="0.15">
      <c r="B2140" s="300"/>
      <c r="C2140" s="69" t="s">
        <v>1299</v>
      </c>
      <c r="D2140" s="70">
        <f>VLOOKUP(C2140,基本字段定义!$B$3:$C$3013,2,FALSE)</f>
        <v>9308</v>
      </c>
      <c r="E2140" s="71" t="s">
        <v>563</v>
      </c>
      <c r="F2140" s="71"/>
      <c r="G2140" s="73" t="s">
        <v>1300</v>
      </c>
    </row>
    <row r="2141" spans="2:7" x14ac:dyDescent="0.15">
      <c r="B2141" s="300"/>
      <c r="C2141" s="69" t="s">
        <v>1301</v>
      </c>
      <c r="D2141" s="70">
        <f>VLOOKUP(C2141,基本字段定义!$B$3:$C$3013,2,FALSE)</f>
        <v>621</v>
      </c>
      <c r="E2141" s="71" t="s">
        <v>563</v>
      </c>
      <c r="F2141" s="71"/>
      <c r="G2141" s="73" t="s">
        <v>1302</v>
      </c>
    </row>
    <row r="2142" spans="2:7" x14ac:dyDescent="0.15">
      <c r="B2142" s="300"/>
      <c r="C2142" s="69" t="s">
        <v>1303</v>
      </c>
      <c r="D2142" s="70">
        <f>VLOOKUP(C2142,基本字段定义!$B$3:$C$3013,2,FALSE)</f>
        <v>9329</v>
      </c>
      <c r="E2142" s="71" t="s">
        <v>563</v>
      </c>
      <c r="F2142" s="71"/>
      <c r="G2142" s="73" t="s">
        <v>1304</v>
      </c>
    </row>
    <row r="2143" spans="2:7" x14ac:dyDescent="0.15">
      <c r="B2143" s="300"/>
      <c r="C2143" s="69" t="s">
        <v>1305</v>
      </c>
      <c r="D2143" s="70">
        <f>VLOOKUP(C2143,基本字段定义!$B$3:$C$3013,2,FALSE)</f>
        <v>1075</v>
      </c>
      <c r="E2143" s="71" t="s">
        <v>563</v>
      </c>
      <c r="F2143" s="71"/>
      <c r="G2143" s="73" t="s">
        <v>1306</v>
      </c>
    </row>
    <row r="2144" spans="2:7" x14ac:dyDescent="0.15">
      <c r="B2144" s="300"/>
      <c r="C2144" s="69" t="s">
        <v>1307</v>
      </c>
      <c r="D2144" s="70">
        <f>VLOOKUP(C2144,基本字段定义!$B$3:$C$3013,2,FALSE)</f>
        <v>1076</v>
      </c>
      <c r="E2144" s="71" t="s">
        <v>563</v>
      </c>
      <c r="F2144" s="71"/>
      <c r="G2144" s="73" t="s">
        <v>1308</v>
      </c>
    </row>
    <row r="2145" spans="2:7" x14ac:dyDescent="0.15">
      <c r="B2145" s="300"/>
      <c r="C2145" s="69" t="s">
        <v>1309</v>
      </c>
      <c r="D2145" s="70">
        <f>VLOOKUP(C2145,基本字段定义!$B$3:$C$3013,2,FALSE)</f>
        <v>2508</v>
      </c>
      <c r="E2145" s="71" t="s">
        <v>563</v>
      </c>
      <c r="F2145" s="71"/>
      <c r="G2145" s="73" t="s">
        <v>1207</v>
      </c>
    </row>
    <row r="2146" spans="2:7" x14ac:dyDescent="0.15">
      <c r="B2146" s="300"/>
      <c r="C2146" s="69" t="s">
        <v>1310</v>
      </c>
      <c r="D2146" s="70">
        <f>VLOOKUP(C2146,基本字段定义!$B$3:$C$3013,2,FALSE)</f>
        <v>1859</v>
      </c>
      <c r="E2146" s="71" t="s">
        <v>563</v>
      </c>
      <c r="F2146" s="71"/>
      <c r="G2146" s="73" t="s">
        <v>1311</v>
      </c>
    </row>
    <row r="2147" spans="2:7" x14ac:dyDescent="0.15">
      <c r="B2147" s="300"/>
      <c r="C2147" s="69" t="s">
        <v>1312</v>
      </c>
      <c r="D2147" s="70">
        <f>VLOOKUP(C2147,基本字段定义!$B$3:$C$3013,2,FALSE)</f>
        <v>1860</v>
      </c>
      <c r="E2147" s="71" t="s">
        <v>563</v>
      </c>
      <c r="F2147" s="71"/>
      <c r="G2147" s="73" t="s">
        <v>1313</v>
      </c>
    </row>
    <row r="2148" spans="2:7" x14ac:dyDescent="0.15">
      <c r="B2148" s="300"/>
      <c r="C2148" s="69" t="s">
        <v>1314</v>
      </c>
      <c r="D2148" s="70">
        <f>VLOOKUP(C2148,基本字段定义!$B$3:$C$3013,2,FALSE)</f>
        <v>9281</v>
      </c>
      <c r="E2148" s="71" t="s">
        <v>563</v>
      </c>
      <c r="F2148" s="71"/>
      <c r="G2148" s="73" t="s">
        <v>1315</v>
      </c>
    </row>
    <row r="2149" spans="2:7" x14ac:dyDescent="0.15">
      <c r="B2149" s="300"/>
      <c r="C2149" s="69" t="s">
        <v>1316</v>
      </c>
      <c r="D2149" s="70">
        <f>VLOOKUP(C2149,基本字段定义!$B$3:$C$3013,2,FALSE)</f>
        <v>1319</v>
      </c>
      <c r="E2149" s="71" t="s">
        <v>563</v>
      </c>
      <c r="F2149" s="71"/>
      <c r="G2149" s="73" t="s">
        <v>1317</v>
      </c>
    </row>
    <row r="2150" spans="2:7" x14ac:dyDescent="0.15">
      <c r="B2150" s="300"/>
      <c r="C2150" s="69" t="s">
        <v>1318</v>
      </c>
      <c r="D2150" s="70">
        <f>VLOOKUP(C2150,基本字段定义!$B$3:$C$3013,2,FALSE)</f>
        <v>1320</v>
      </c>
      <c r="E2150" s="71" t="s">
        <v>563</v>
      </c>
      <c r="F2150" s="71"/>
      <c r="G2150" s="73" t="s">
        <v>1319</v>
      </c>
    </row>
    <row r="2151" spans="2:7" x14ac:dyDescent="0.15">
      <c r="B2151" s="300"/>
      <c r="C2151" s="69" t="s">
        <v>1208</v>
      </c>
      <c r="D2151" s="70">
        <f>VLOOKUP(C2151,基本字段定义!$B$3:$C$3013,2,FALSE)</f>
        <v>1845</v>
      </c>
      <c r="E2151" s="71" t="s">
        <v>563</v>
      </c>
      <c r="F2151" s="71"/>
      <c r="G2151" s="73" t="s">
        <v>1209</v>
      </c>
    </row>
    <row r="2152" spans="2:7" x14ac:dyDescent="0.15">
      <c r="B2152" s="300"/>
      <c r="C2152" s="69" t="s">
        <v>1210</v>
      </c>
      <c r="D2152" s="70">
        <f>VLOOKUP(C2152,基本字段定义!$B$3:$C$3013,2,FALSE)</f>
        <v>1846</v>
      </c>
      <c r="E2152" s="71" t="s">
        <v>563</v>
      </c>
      <c r="F2152" s="71"/>
      <c r="G2152" s="73" t="s">
        <v>1211</v>
      </c>
    </row>
    <row r="2153" spans="2:7" x14ac:dyDescent="0.15">
      <c r="B2153" s="300"/>
      <c r="C2153" s="69" t="s">
        <v>1320</v>
      </c>
      <c r="D2153" s="70">
        <f>VLOOKUP(C2153,基本字段定义!$B$3:$C$3013,2,FALSE)</f>
        <v>770</v>
      </c>
      <c r="E2153" s="71" t="s">
        <v>563</v>
      </c>
      <c r="F2153" s="71"/>
      <c r="G2153" s="73" t="s">
        <v>1321</v>
      </c>
    </row>
    <row r="2154" spans="2:7" x14ac:dyDescent="0.15">
      <c r="B2154" s="300"/>
      <c r="C2154" s="69" t="s">
        <v>1322</v>
      </c>
      <c r="D2154" s="70">
        <f>VLOOKUP(C2154,基本字段定义!$B$3:$C$3013,2,FALSE)</f>
        <v>771</v>
      </c>
      <c r="E2154" s="71" t="s">
        <v>563</v>
      </c>
      <c r="F2154" s="71"/>
      <c r="G2154" s="73" t="s">
        <v>1323</v>
      </c>
    </row>
    <row r="2155" spans="2:7" x14ac:dyDescent="0.15">
      <c r="B2155" s="300"/>
      <c r="C2155" s="69" t="s">
        <v>1324</v>
      </c>
      <c r="D2155" s="70">
        <f>VLOOKUP(C2155,基本字段定义!$B$3:$C$3013,2,FALSE)</f>
        <v>989</v>
      </c>
      <c r="E2155" s="71" t="s">
        <v>563</v>
      </c>
      <c r="F2155" s="71"/>
      <c r="G2155" s="73" t="s">
        <v>1325</v>
      </c>
    </row>
    <row r="2156" spans="2:7" x14ac:dyDescent="0.15">
      <c r="B2156" s="300"/>
      <c r="C2156" s="69" t="s">
        <v>1326</v>
      </c>
      <c r="D2156" s="70">
        <f>VLOOKUP(C2156,基本字段定义!$B$3:$C$3013,2,FALSE)</f>
        <v>990</v>
      </c>
      <c r="E2156" s="71" t="s">
        <v>563</v>
      </c>
      <c r="F2156" s="71"/>
      <c r="G2156" s="73" t="s">
        <v>1327</v>
      </c>
    </row>
    <row r="2157" spans="2:7" x14ac:dyDescent="0.15">
      <c r="B2157" s="300"/>
      <c r="C2157" s="69" t="s">
        <v>1328</v>
      </c>
      <c r="D2157" s="70">
        <f>VLOOKUP(C2157,基本字段定义!$B$3:$C$3013,2,FALSE)</f>
        <v>991</v>
      </c>
      <c r="E2157" s="71" t="s">
        <v>563</v>
      </c>
      <c r="F2157" s="71"/>
      <c r="G2157" s="73" t="s">
        <v>1329</v>
      </c>
    </row>
    <row r="2158" spans="2:7" x14ac:dyDescent="0.15">
      <c r="B2158" s="300"/>
      <c r="C2158" s="69" t="s">
        <v>1330</v>
      </c>
      <c r="D2158" s="70">
        <f>VLOOKUP(C2158,基本字段定义!$B$3:$C$3013,2,FALSE)</f>
        <v>992</v>
      </c>
      <c r="E2158" s="71" t="s">
        <v>563</v>
      </c>
      <c r="F2158" s="71"/>
      <c r="G2158" s="73" t="s">
        <v>1331</v>
      </c>
    </row>
    <row r="2159" spans="2:7" x14ac:dyDescent="0.15">
      <c r="B2159" s="300"/>
      <c r="C2159" s="69" t="s">
        <v>1332</v>
      </c>
      <c r="D2159" s="70">
        <f>VLOOKUP(C2159,基本字段定义!$B$3:$C$3013,2,FALSE)</f>
        <v>653</v>
      </c>
      <c r="E2159" s="71" t="s">
        <v>563</v>
      </c>
      <c r="F2159" s="71"/>
      <c r="G2159" s="73" t="s">
        <v>1333</v>
      </c>
    </row>
    <row r="2160" spans="2:7" x14ac:dyDescent="0.15">
      <c r="B2160" s="300"/>
      <c r="C2160" s="69" t="s">
        <v>1334</v>
      </c>
      <c r="D2160" s="70">
        <f>VLOOKUP(C2160,基本字段定义!$B$3:$C$3013,2,FALSE)</f>
        <v>1809</v>
      </c>
      <c r="E2160" s="71" t="s">
        <v>563</v>
      </c>
      <c r="F2160" s="71"/>
      <c r="G2160" s="73" t="s">
        <v>1335</v>
      </c>
    </row>
    <row r="2161" spans="2:7" x14ac:dyDescent="0.15">
      <c r="B2161" s="300"/>
      <c r="C2161" s="69" t="s">
        <v>512</v>
      </c>
      <c r="D2161" s="70">
        <f>VLOOKUP(C2161,基本字段定义!$B$3:$C$3013,2,FALSE)</f>
        <v>590</v>
      </c>
      <c r="E2161" s="71" t="s">
        <v>563</v>
      </c>
      <c r="F2161" s="71"/>
      <c r="G2161" s="73" t="s">
        <v>1336</v>
      </c>
    </row>
    <row r="2162" spans="2:7" x14ac:dyDescent="0.15">
      <c r="B2162" s="300"/>
      <c r="C2162" s="69" t="s">
        <v>1337</v>
      </c>
      <c r="D2162" s="70">
        <f>VLOOKUP(C2162,基本字段定义!$B$3:$C$3013,2,FALSE)</f>
        <v>766</v>
      </c>
      <c r="E2162" s="71" t="s">
        <v>563</v>
      </c>
      <c r="F2162" s="71"/>
      <c r="G2162" s="73" t="s">
        <v>1338</v>
      </c>
    </row>
    <row r="2163" spans="2:7" x14ac:dyDescent="0.15">
      <c r="B2163" s="300"/>
      <c r="C2163" s="69" t="s">
        <v>1339</v>
      </c>
      <c r="D2163" s="70">
        <f>VLOOKUP(C2163,基本字段定义!$B$3:$C$3013,2,FALSE)</f>
        <v>767</v>
      </c>
      <c r="E2163" s="71" t="s">
        <v>563</v>
      </c>
      <c r="F2163" s="71"/>
      <c r="G2163" s="73" t="s">
        <v>1340</v>
      </c>
    </row>
    <row r="2164" spans="2:7" x14ac:dyDescent="0.15">
      <c r="B2164" s="300"/>
      <c r="C2164" s="69" t="s">
        <v>1200</v>
      </c>
      <c r="D2164" s="70">
        <f>VLOOKUP(C2164,基本字段定义!$B$3:$C$3013,2,FALSE)</f>
        <v>1821</v>
      </c>
      <c r="E2164" s="71" t="s">
        <v>563</v>
      </c>
      <c r="F2164" s="71"/>
      <c r="G2164" s="73" t="s">
        <v>1341</v>
      </c>
    </row>
    <row r="2165" spans="2:7" x14ac:dyDescent="0.15">
      <c r="B2165" s="300"/>
      <c r="C2165" s="69" t="s">
        <v>1202</v>
      </c>
      <c r="D2165" s="70">
        <f>VLOOKUP(C2165,基本字段定义!$B$3:$C$3013,2,FALSE)</f>
        <v>1822</v>
      </c>
      <c r="E2165" s="71" t="s">
        <v>563</v>
      </c>
      <c r="F2165" s="71"/>
      <c r="G2165" s="73" t="s">
        <v>1342</v>
      </c>
    </row>
    <row r="2166" spans="2:7" x14ac:dyDescent="0.15">
      <c r="B2166" s="300"/>
      <c r="C2166" s="69" t="s">
        <v>1343</v>
      </c>
      <c r="D2166" s="70">
        <f>VLOOKUP(C2166,基本字段定义!$B$3:$C$3013,2,FALSE)</f>
        <v>768</v>
      </c>
      <c r="E2166" s="71" t="s">
        <v>563</v>
      </c>
      <c r="F2166" s="71"/>
      <c r="G2166" s="73" t="s">
        <v>1344</v>
      </c>
    </row>
    <row r="2167" spans="2:7" x14ac:dyDescent="0.15">
      <c r="B2167" s="300"/>
      <c r="C2167" s="69" t="s">
        <v>1345</v>
      </c>
      <c r="D2167" s="70">
        <f>VLOOKUP(C2167,基本字段定义!$B$3:$C$3013,2,FALSE)</f>
        <v>769</v>
      </c>
      <c r="E2167" s="71" t="s">
        <v>563</v>
      </c>
      <c r="F2167" s="71"/>
      <c r="G2167" s="73" t="s">
        <v>1346</v>
      </c>
    </row>
    <row r="2168" spans="2:7" x14ac:dyDescent="0.15">
      <c r="B2168" s="300"/>
      <c r="C2168" s="69" t="s">
        <v>1347</v>
      </c>
      <c r="D2168" s="70">
        <f>VLOOKUP(C2168,基本字段定义!$B$3:$C$3013,2,FALSE)</f>
        <v>775</v>
      </c>
      <c r="E2168" s="71" t="s">
        <v>563</v>
      </c>
      <c r="F2168" s="71"/>
      <c r="G2168" s="73" t="s">
        <v>1348</v>
      </c>
    </row>
    <row r="2169" spans="2:7" ht="14.25" thickBot="1" x14ac:dyDescent="0.2">
      <c r="B2169" s="304"/>
      <c r="C2169" s="75"/>
      <c r="D2169" s="83"/>
      <c r="E2169" s="77"/>
      <c r="F2169" s="77"/>
      <c r="G2169" s="78"/>
    </row>
    <row r="2171" spans="2:7" x14ac:dyDescent="0.15">
      <c r="B2171" s="57" t="s">
        <v>163</v>
      </c>
      <c r="C2171" s="84">
        <v>204831</v>
      </c>
      <c r="D2171" s="85"/>
      <c r="E2171" s="86"/>
      <c r="F2171" s="58" t="s">
        <v>352</v>
      </c>
      <c r="G2171" s="59"/>
    </row>
    <row r="2172" spans="2:7" x14ac:dyDescent="0.15">
      <c r="B2172" s="60" t="s">
        <v>353</v>
      </c>
      <c r="C2172" s="87" t="str">
        <f>VLOOKUP(C2171,功能索引!$C$3:$D$278,2,FALSE)</f>
        <v>信用可委托数量查询</v>
      </c>
      <c r="D2172" s="88"/>
      <c r="E2172" s="89"/>
      <c r="F2172" s="61" t="s">
        <v>165</v>
      </c>
      <c r="G2172" s="62">
        <f>VLOOKUP(C2171,功能索引!$C$3:$E2353,3,FALSE)</f>
        <v>0</v>
      </c>
    </row>
    <row r="2173" spans="2:7" x14ac:dyDescent="0.15">
      <c r="B2173" s="299" t="s">
        <v>354</v>
      </c>
      <c r="C2173" s="99"/>
      <c r="D2173" s="100"/>
      <c r="E2173" s="100"/>
      <c r="F2173" s="100"/>
      <c r="G2173" s="101"/>
    </row>
    <row r="2174" spans="2:7" ht="14.25" thickBot="1" x14ac:dyDescent="0.2">
      <c r="B2174" s="304"/>
      <c r="C2174" s="102"/>
      <c r="D2174" s="103"/>
      <c r="E2174" s="103"/>
      <c r="F2174" s="103"/>
      <c r="G2174" s="104"/>
    </row>
    <row r="2175" spans="2:7" x14ac:dyDescent="0.15">
      <c r="B2175" s="298" t="s">
        <v>355</v>
      </c>
      <c r="C2175" s="58" t="s">
        <v>356</v>
      </c>
      <c r="D2175" s="58" t="s">
        <v>357</v>
      </c>
      <c r="E2175" s="58" t="s">
        <v>358</v>
      </c>
      <c r="F2175" s="58" t="s">
        <v>359</v>
      </c>
      <c r="G2175" s="64" t="s">
        <v>360</v>
      </c>
    </row>
    <row r="2176" spans="2:7" x14ac:dyDescent="0.15">
      <c r="B2176" s="299"/>
      <c r="C2176" s="65" t="s">
        <v>428</v>
      </c>
      <c r="D2176" s="66">
        <f>VLOOKUP(C2176,基本字段定义!$B$3:$C$3013,2,FALSE)</f>
        <v>605</v>
      </c>
      <c r="E2176" s="67" t="s">
        <v>429</v>
      </c>
      <c r="F2176" s="67" t="s">
        <v>169</v>
      </c>
      <c r="G2176" s="68" t="s">
        <v>430</v>
      </c>
    </row>
    <row r="2177" spans="2:7" x14ac:dyDescent="0.15">
      <c r="B2177" s="299"/>
      <c r="C2177" s="65" t="s">
        <v>431</v>
      </c>
      <c r="D2177" s="66">
        <f>VLOOKUP(C2177,基本字段定义!$B$3:$C$3013,2,FALSE)</f>
        <v>571</v>
      </c>
      <c r="E2177" s="67" t="s">
        <v>432</v>
      </c>
      <c r="F2177" s="67" t="s">
        <v>169</v>
      </c>
      <c r="G2177" s="68" t="s">
        <v>433</v>
      </c>
    </row>
    <row r="2178" spans="2:7" x14ac:dyDescent="0.15">
      <c r="B2178" s="299"/>
      <c r="C2178" s="65" t="s">
        <v>387</v>
      </c>
      <c r="D2178" s="66">
        <f>VLOOKUP(C2178,基本字段定义!$B$3:$C$3013,2,FALSE)</f>
        <v>599</v>
      </c>
      <c r="E2178" s="67" t="s">
        <v>388</v>
      </c>
      <c r="F2178" s="67" t="s">
        <v>169</v>
      </c>
      <c r="G2178" s="68" t="s">
        <v>389</v>
      </c>
    </row>
    <row r="2179" spans="2:7" x14ac:dyDescent="0.15">
      <c r="B2179" s="299"/>
      <c r="C2179" s="65" t="s">
        <v>666</v>
      </c>
      <c r="D2179" s="66">
        <f>VLOOKUP(C2179,基本字段定义!$B$3:$C$3013,2,FALSE)</f>
        <v>719</v>
      </c>
      <c r="E2179" s="67" t="s">
        <v>506</v>
      </c>
      <c r="F2179" s="67" t="s">
        <v>169</v>
      </c>
      <c r="G2179" s="68" t="s">
        <v>683</v>
      </c>
    </row>
    <row r="2180" spans="2:7" x14ac:dyDescent="0.15">
      <c r="B2180" s="299"/>
      <c r="C2180" s="65" t="s">
        <v>875</v>
      </c>
      <c r="D2180" s="66">
        <f>VLOOKUP(C2180,基本字段定义!$B$3:$C$3013,2,FALSE)</f>
        <v>595</v>
      </c>
      <c r="E2180" s="67" t="s">
        <v>363</v>
      </c>
      <c r="F2180" s="67" t="s">
        <v>169</v>
      </c>
      <c r="G2180" s="68" t="s">
        <v>1349</v>
      </c>
    </row>
    <row r="2181" spans="2:7" x14ac:dyDescent="0.15">
      <c r="B2181" s="299"/>
      <c r="C2181" s="65" t="s">
        <v>893</v>
      </c>
      <c r="D2181" s="66">
        <f>VLOOKUP(C2181,基本字段定义!$B$3:$C$3013,2,FALSE)</f>
        <v>1013</v>
      </c>
      <c r="E2181" s="67" t="s">
        <v>363</v>
      </c>
      <c r="F2181" s="105" t="s">
        <v>169</v>
      </c>
      <c r="G2181" s="68" t="s">
        <v>894</v>
      </c>
    </row>
    <row r="2182" spans="2:7" x14ac:dyDescent="0.15">
      <c r="B2182" s="299"/>
      <c r="C2182" s="65" t="s">
        <v>812</v>
      </c>
      <c r="D2182" s="66">
        <f>VLOOKUP(C2182,基本字段定义!$B$3:$C$3013,2,FALSE)</f>
        <v>682</v>
      </c>
      <c r="E2182" s="67" t="s">
        <v>563</v>
      </c>
      <c r="F2182" s="106"/>
      <c r="G2182" s="68" t="s">
        <v>1350</v>
      </c>
    </row>
    <row r="2183" spans="2:7" x14ac:dyDescent="0.15">
      <c r="B2183" s="299"/>
      <c r="C2183" s="65" t="s">
        <v>1351</v>
      </c>
      <c r="D2183" s="66">
        <f>VLOOKUP(C2183,基本字段定义!$B$3:$C$3013,2,FALSE)</f>
        <v>863</v>
      </c>
      <c r="E2183" s="67" t="s">
        <v>432</v>
      </c>
      <c r="F2183" s="106"/>
      <c r="G2183" s="68" t="s">
        <v>1352</v>
      </c>
    </row>
    <row r="2184" spans="2:7" x14ac:dyDescent="0.15">
      <c r="B2184" s="299"/>
      <c r="C2184" s="65" t="s">
        <v>601</v>
      </c>
      <c r="D2184" s="66">
        <f>VLOOKUP(C2184,基本字段定义!$B$3:$C$3013,2,FALSE)</f>
        <v>797</v>
      </c>
      <c r="E2184" s="67" t="s">
        <v>365</v>
      </c>
      <c r="F2184" s="67"/>
      <c r="G2184" s="68" t="s">
        <v>1353</v>
      </c>
    </row>
    <row r="2185" spans="2:7" x14ac:dyDescent="0.15">
      <c r="B2185" s="299" t="s">
        <v>361</v>
      </c>
      <c r="C2185" s="69" t="s">
        <v>362</v>
      </c>
      <c r="D2185" s="70">
        <f>VLOOKUP(C2185,基本字段定义!$B$3:$C$3013,2,FALSE)</f>
        <v>507</v>
      </c>
      <c r="E2185" s="71" t="s">
        <v>363</v>
      </c>
      <c r="F2185" s="71"/>
      <c r="G2185" s="72" t="s">
        <v>1262</v>
      </c>
    </row>
    <row r="2186" spans="2:7" x14ac:dyDescent="0.15">
      <c r="B2186" s="299"/>
      <c r="C2186" s="69" t="s">
        <v>364</v>
      </c>
      <c r="D2186" s="70">
        <f>VLOOKUP(C2186,基本字段定义!$B$3:$C$3013,2,FALSE)</f>
        <v>508</v>
      </c>
      <c r="E2186" s="71" t="s">
        <v>365</v>
      </c>
      <c r="F2186" s="71"/>
      <c r="G2186" s="73" t="s">
        <v>1263</v>
      </c>
    </row>
    <row r="2187" spans="2:7" x14ac:dyDescent="0.15">
      <c r="B2187" s="299"/>
      <c r="C2187" s="69" t="s">
        <v>810</v>
      </c>
      <c r="D2187" s="70">
        <f>VLOOKUP(C2187,基本字段定义!$B$3:$C$3013,2,FALSE)</f>
        <v>684</v>
      </c>
      <c r="E2187" s="71" t="s">
        <v>563</v>
      </c>
      <c r="F2187" s="71"/>
      <c r="G2187" s="73" t="s">
        <v>895</v>
      </c>
    </row>
    <row r="2188" spans="2:7" ht="14.25" thickBot="1" x14ac:dyDescent="0.2">
      <c r="B2188" s="304"/>
      <c r="C2188" s="75"/>
      <c r="D2188" s="83"/>
      <c r="E2188" s="77"/>
      <c r="F2188" s="77"/>
      <c r="G2188" s="78"/>
    </row>
    <row r="2190" spans="2:7" x14ac:dyDescent="0.15">
      <c r="B2190" s="57" t="s">
        <v>163</v>
      </c>
      <c r="C2190" s="84">
        <v>204850</v>
      </c>
      <c r="D2190" s="85"/>
      <c r="E2190" s="86"/>
      <c r="F2190" s="58" t="s">
        <v>352</v>
      </c>
      <c r="G2190" s="59"/>
    </row>
    <row r="2191" spans="2:7" x14ac:dyDescent="0.15">
      <c r="B2191" s="60" t="s">
        <v>353</v>
      </c>
      <c r="C2191" s="87" t="str">
        <f>VLOOKUP(C2190,功能索引!$C$3:$D$278,2,FALSE)</f>
        <v>担保物划转</v>
      </c>
      <c r="D2191" s="88"/>
      <c r="E2191" s="89"/>
      <c r="F2191" s="61" t="s">
        <v>165</v>
      </c>
      <c r="G2191" s="62">
        <f>VLOOKUP(C2190,功能索引!$C$3:$E2371,3,FALSE)</f>
        <v>0</v>
      </c>
    </row>
    <row r="2192" spans="2:7" x14ac:dyDescent="0.15">
      <c r="B2192" s="299" t="s">
        <v>354</v>
      </c>
      <c r="C2192" s="99"/>
      <c r="D2192" s="100"/>
      <c r="E2192" s="100"/>
      <c r="F2192" s="100"/>
      <c r="G2192" s="101"/>
    </row>
    <row r="2193" spans="2:7" ht="14.25" thickBot="1" x14ac:dyDescent="0.2">
      <c r="B2193" s="304"/>
      <c r="C2193" s="102"/>
      <c r="D2193" s="103"/>
      <c r="E2193" s="103"/>
      <c r="F2193" s="103"/>
      <c r="G2193" s="104"/>
    </row>
    <row r="2194" spans="2:7" x14ac:dyDescent="0.15">
      <c r="B2194" s="298" t="s">
        <v>355</v>
      </c>
      <c r="C2194" s="58" t="s">
        <v>356</v>
      </c>
      <c r="D2194" s="58" t="s">
        <v>357</v>
      </c>
      <c r="E2194" s="58" t="s">
        <v>358</v>
      </c>
      <c r="F2194" s="58" t="s">
        <v>359</v>
      </c>
      <c r="G2194" s="64" t="s">
        <v>360</v>
      </c>
    </row>
    <row r="2195" spans="2:7" x14ac:dyDescent="0.15">
      <c r="B2195" s="299"/>
      <c r="C2195" s="65" t="s">
        <v>428</v>
      </c>
      <c r="D2195" s="66">
        <f>VLOOKUP(C2195,基本字段定义!$B$3:$C$3013,2,FALSE)</f>
        <v>605</v>
      </c>
      <c r="E2195" s="67" t="s">
        <v>429</v>
      </c>
      <c r="F2195" s="67" t="s">
        <v>169</v>
      </c>
      <c r="G2195" s="68" t="s">
        <v>430</v>
      </c>
    </row>
    <row r="2196" spans="2:7" x14ac:dyDescent="0.15">
      <c r="B2196" s="299"/>
      <c r="C2196" s="65" t="s">
        <v>431</v>
      </c>
      <c r="D2196" s="66">
        <f>VLOOKUP(C2196,基本字段定义!$B$3:$C$3013,2,FALSE)</f>
        <v>571</v>
      </c>
      <c r="E2196" s="67" t="s">
        <v>432</v>
      </c>
      <c r="F2196" s="67" t="s">
        <v>169</v>
      </c>
      <c r="G2196" s="68" t="s">
        <v>1354</v>
      </c>
    </row>
    <row r="2197" spans="2:7" x14ac:dyDescent="0.15">
      <c r="B2197" s="299"/>
      <c r="C2197" s="65" t="s">
        <v>1351</v>
      </c>
      <c r="D2197" s="66">
        <f>VLOOKUP(C2197,基本字段定义!$B$3:$C$3013,2,FALSE)</f>
        <v>863</v>
      </c>
      <c r="E2197" s="67" t="s">
        <v>432</v>
      </c>
      <c r="F2197" s="67" t="s">
        <v>169</v>
      </c>
      <c r="G2197" s="68" t="s">
        <v>1352</v>
      </c>
    </row>
    <row r="2198" spans="2:7" x14ac:dyDescent="0.15">
      <c r="B2198" s="299"/>
      <c r="C2198" s="65" t="s">
        <v>387</v>
      </c>
      <c r="D2198" s="66">
        <f>VLOOKUP(C2198,基本字段定义!$B$3:$C$3013,2,FALSE)</f>
        <v>599</v>
      </c>
      <c r="E2198" s="67" t="s">
        <v>388</v>
      </c>
      <c r="F2198" s="67" t="s">
        <v>169</v>
      </c>
      <c r="G2198" s="68" t="s">
        <v>389</v>
      </c>
    </row>
    <row r="2199" spans="2:7" x14ac:dyDescent="0.15">
      <c r="B2199" s="299"/>
      <c r="C2199" s="65" t="s">
        <v>666</v>
      </c>
      <c r="D2199" s="66">
        <f>VLOOKUP(C2199,基本字段定义!$B$3:$C$3013,2,FALSE)</f>
        <v>719</v>
      </c>
      <c r="E2199" s="67" t="s">
        <v>506</v>
      </c>
      <c r="F2199" s="67" t="s">
        <v>169</v>
      </c>
      <c r="G2199" s="68" t="s">
        <v>683</v>
      </c>
    </row>
    <row r="2200" spans="2:7" x14ac:dyDescent="0.15">
      <c r="B2200" s="299"/>
      <c r="C2200" s="65" t="s">
        <v>875</v>
      </c>
      <c r="D2200" s="66">
        <f>VLOOKUP(C2200,基本字段定义!$B$3:$C$3013,2,FALSE)</f>
        <v>595</v>
      </c>
      <c r="E2200" s="67" t="s">
        <v>363</v>
      </c>
      <c r="F2200" s="67" t="s">
        <v>169</v>
      </c>
      <c r="G2200" s="68" t="s">
        <v>1355</v>
      </c>
    </row>
    <row r="2201" spans="2:7" x14ac:dyDescent="0.15">
      <c r="B2201" s="299"/>
      <c r="C2201" s="65" t="s">
        <v>810</v>
      </c>
      <c r="D2201" s="66">
        <f>VLOOKUP(C2201,基本字段定义!$B$3:$C$3013,2,FALSE)</f>
        <v>684</v>
      </c>
      <c r="E2201" s="67" t="s">
        <v>363</v>
      </c>
      <c r="F2201" s="106" t="s">
        <v>169</v>
      </c>
      <c r="G2201" s="68" t="s">
        <v>1356</v>
      </c>
    </row>
    <row r="2202" spans="2:7" x14ac:dyDescent="0.15">
      <c r="B2202" s="299" t="s">
        <v>361</v>
      </c>
      <c r="C2202" s="69" t="s">
        <v>362</v>
      </c>
      <c r="D2202" s="70">
        <f>VLOOKUP(C2202,基本字段定义!$B$3:$C$3013,2,FALSE)</f>
        <v>507</v>
      </c>
      <c r="E2202" s="71" t="s">
        <v>363</v>
      </c>
      <c r="F2202" s="71"/>
      <c r="G2202" s="72" t="s">
        <v>1262</v>
      </c>
    </row>
    <row r="2203" spans="2:7" x14ac:dyDescent="0.15">
      <c r="B2203" s="299"/>
      <c r="C2203" s="69" t="s">
        <v>364</v>
      </c>
      <c r="D2203" s="70">
        <f>VLOOKUP(C2203,基本字段定义!$B$3:$C$3013,2,FALSE)</f>
        <v>508</v>
      </c>
      <c r="E2203" s="71" t="s">
        <v>365</v>
      </c>
      <c r="F2203" s="71"/>
      <c r="G2203" s="73" t="s">
        <v>1263</v>
      </c>
    </row>
    <row r="2204" spans="2:7" x14ac:dyDescent="0.15">
      <c r="B2204" s="299"/>
      <c r="C2204" s="69" t="s">
        <v>916</v>
      </c>
      <c r="D2204" s="70">
        <f>VLOOKUP(C2204,基本字段定义!$B$3:$C$3013,2,FALSE)</f>
        <v>681</v>
      </c>
      <c r="E2204" s="71" t="s">
        <v>363</v>
      </c>
      <c r="F2204" s="71"/>
      <c r="G2204" s="73" t="s">
        <v>918</v>
      </c>
    </row>
    <row r="2205" spans="2:7" ht="14.25" thickBot="1" x14ac:dyDescent="0.2">
      <c r="B2205" s="304"/>
      <c r="C2205" s="75"/>
      <c r="D2205" s="83"/>
      <c r="E2205" s="77"/>
      <c r="F2205" s="77"/>
      <c r="G2205" s="78"/>
    </row>
    <row r="2207" spans="2:7" x14ac:dyDescent="0.15">
      <c r="B2207" s="57" t="s">
        <v>163</v>
      </c>
      <c r="C2207" s="84">
        <v>204851</v>
      </c>
      <c r="D2207" s="85"/>
      <c r="E2207" s="86"/>
      <c r="F2207" s="58" t="s">
        <v>352</v>
      </c>
      <c r="G2207" s="59"/>
    </row>
    <row r="2208" spans="2:7" x14ac:dyDescent="0.15">
      <c r="B2208" s="60" t="s">
        <v>353</v>
      </c>
      <c r="C2208" s="87" t="str">
        <f>VLOOKUP(C2207,功能索引!$C$3:$D$278,2,FALSE)</f>
        <v>余券划转</v>
      </c>
      <c r="D2208" s="88"/>
      <c r="E2208" s="89"/>
      <c r="F2208" s="61" t="s">
        <v>165</v>
      </c>
      <c r="G2208" s="62">
        <f>VLOOKUP(C2207,功能索引!$C$3:$E2388,3,FALSE)</f>
        <v>0</v>
      </c>
    </row>
    <row r="2209" spans="2:7" x14ac:dyDescent="0.15">
      <c r="B2209" s="299" t="s">
        <v>354</v>
      </c>
      <c r="C2209" s="99"/>
      <c r="D2209" s="100"/>
      <c r="E2209" s="100"/>
      <c r="F2209" s="100"/>
      <c r="G2209" s="101"/>
    </row>
    <row r="2210" spans="2:7" ht="14.25" thickBot="1" x14ac:dyDescent="0.2">
      <c r="B2210" s="304"/>
      <c r="C2210" s="102"/>
      <c r="D2210" s="103"/>
      <c r="E2210" s="103"/>
      <c r="F2210" s="103"/>
      <c r="G2210" s="104"/>
    </row>
    <row r="2211" spans="2:7" x14ac:dyDescent="0.15">
      <c r="B2211" s="315" t="s">
        <v>355</v>
      </c>
      <c r="C2211" s="58" t="s">
        <v>356</v>
      </c>
      <c r="D2211" s="58" t="s">
        <v>357</v>
      </c>
      <c r="E2211" s="58" t="s">
        <v>358</v>
      </c>
      <c r="F2211" s="58" t="s">
        <v>359</v>
      </c>
      <c r="G2211" s="64" t="s">
        <v>360</v>
      </c>
    </row>
    <row r="2212" spans="2:7" x14ac:dyDescent="0.15">
      <c r="B2212" s="301"/>
      <c r="C2212" s="65" t="s">
        <v>428</v>
      </c>
      <c r="D2212" s="66">
        <f>VLOOKUP(C2212,基本字段定义!$B$3:$C$3013,2,FALSE)</f>
        <v>605</v>
      </c>
      <c r="E2212" s="67" t="s">
        <v>429</v>
      </c>
      <c r="F2212" s="67" t="s">
        <v>169</v>
      </c>
      <c r="G2212" s="68" t="s">
        <v>430</v>
      </c>
    </row>
    <row r="2213" spans="2:7" x14ac:dyDescent="0.15">
      <c r="B2213" s="301"/>
      <c r="C2213" s="65" t="s">
        <v>431</v>
      </c>
      <c r="D2213" s="66">
        <f>VLOOKUP(C2213,基本字段定义!$B$3:$C$3013,2,FALSE)</f>
        <v>571</v>
      </c>
      <c r="E2213" s="67" t="s">
        <v>432</v>
      </c>
      <c r="F2213" s="67" t="s">
        <v>169</v>
      </c>
      <c r="G2213" s="68" t="s">
        <v>1354</v>
      </c>
    </row>
    <row r="2214" spans="2:7" x14ac:dyDescent="0.15">
      <c r="B2214" s="301"/>
      <c r="C2214" s="65" t="s">
        <v>387</v>
      </c>
      <c r="D2214" s="66">
        <f>VLOOKUP(C2214,基本字段定义!$B$3:$C$3013,2,FALSE)</f>
        <v>599</v>
      </c>
      <c r="E2214" s="67" t="s">
        <v>388</v>
      </c>
      <c r="F2214" s="67" t="s">
        <v>169</v>
      </c>
      <c r="G2214" s="68" t="s">
        <v>389</v>
      </c>
    </row>
    <row r="2215" spans="2:7" x14ac:dyDescent="0.15">
      <c r="B2215" s="301"/>
      <c r="C2215" s="65" t="s">
        <v>666</v>
      </c>
      <c r="D2215" s="66">
        <f>VLOOKUP(C2215,基本字段定义!$B$3:$C$3013,2,FALSE)</f>
        <v>719</v>
      </c>
      <c r="E2215" s="67" t="s">
        <v>506</v>
      </c>
      <c r="F2215" s="67" t="s">
        <v>169</v>
      </c>
      <c r="G2215" s="68" t="s">
        <v>683</v>
      </c>
    </row>
    <row r="2216" spans="2:7" x14ac:dyDescent="0.15">
      <c r="B2216" s="301"/>
      <c r="C2216" s="65" t="s">
        <v>810</v>
      </c>
      <c r="D2216" s="66">
        <f>VLOOKUP(C2216,基本字段定义!$B$3:$C$3013,2,FALSE)</f>
        <v>684</v>
      </c>
      <c r="E2216" s="67" t="s">
        <v>363</v>
      </c>
      <c r="F2216" s="106" t="s">
        <v>169</v>
      </c>
      <c r="G2216" s="68" t="s">
        <v>1356</v>
      </c>
    </row>
    <row r="2217" spans="2:7" x14ac:dyDescent="0.15">
      <c r="B2217" s="306"/>
      <c r="C2217" s="65" t="s">
        <v>601</v>
      </c>
      <c r="D2217" s="66">
        <f>VLOOKUP(C2217,基本字段定义!$B$3:$C$3013,2,FALSE)</f>
        <v>797</v>
      </c>
      <c r="E2217" s="67" t="s">
        <v>365</v>
      </c>
      <c r="F2217" s="67"/>
      <c r="G2217" s="68" t="s">
        <v>1357</v>
      </c>
    </row>
    <row r="2218" spans="2:7" x14ac:dyDescent="0.15">
      <c r="B2218" s="299" t="s">
        <v>361</v>
      </c>
      <c r="C2218" s="69" t="s">
        <v>362</v>
      </c>
      <c r="D2218" s="70">
        <f>VLOOKUP(C2218,基本字段定义!$B$3:$C$3013,2,FALSE)</f>
        <v>507</v>
      </c>
      <c r="E2218" s="71" t="s">
        <v>363</v>
      </c>
      <c r="F2218" s="71"/>
      <c r="G2218" s="72" t="s">
        <v>1262</v>
      </c>
    </row>
    <row r="2219" spans="2:7" x14ac:dyDescent="0.15">
      <c r="B2219" s="299"/>
      <c r="C2219" s="69" t="s">
        <v>364</v>
      </c>
      <c r="D2219" s="70">
        <f>VLOOKUP(C2219,基本字段定义!$B$3:$C$3013,2,FALSE)</f>
        <v>508</v>
      </c>
      <c r="E2219" s="71" t="s">
        <v>365</v>
      </c>
      <c r="F2219" s="71"/>
      <c r="G2219" s="73" t="s">
        <v>1263</v>
      </c>
    </row>
    <row r="2220" spans="2:7" x14ac:dyDescent="0.15">
      <c r="B2220" s="299"/>
      <c r="C2220" s="69" t="s">
        <v>916</v>
      </c>
      <c r="D2220" s="70">
        <f>VLOOKUP(C2220,基本字段定义!$B$3:$C$3013,2,FALSE)</f>
        <v>681</v>
      </c>
      <c r="E2220" s="71" t="s">
        <v>363</v>
      </c>
      <c r="F2220" s="71"/>
      <c r="G2220" s="73" t="s">
        <v>918</v>
      </c>
    </row>
    <row r="2221" spans="2:7" ht="14.25" thickBot="1" x14ac:dyDescent="0.2">
      <c r="B2221" s="304"/>
      <c r="C2221" s="75"/>
      <c r="D2221" s="83"/>
      <c r="E2221" s="77"/>
      <c r="F2221" s="77"/>
      <c r="G2221" s="78"/>
    </row>
    <row r="2223" spans="2:7" x14ac:dyDescent="0.15">
      <c r="B2223" s="57" t="s">
        <v>163</v>
      </c>
      <c r="C2223" s="84">
        <v>204852</v>
      </c>
      <c r="D2223" s="85"/>
      <c r="E2223" s="86"/>
      <c r="F2223" s="58" t="s">
        <v>352</v>
      </c>
      <c r="G2223" s="59"/>
    </row>
    <row r="2224" spans="2:7" x14ac:dyDescent="0.15">
      <c r="B2224" s="60" t="s">
        <v>353</v>
      </c>
      <c r="C2224" s="87" t="str">
        <f>VLOOKUP(C2223,功能索引!$C$3:$D$278,2,FALSE)</f>
        <v>还券划转</v>
      </c>
      <c r="D2224" s="88"/>
      <c r="E2224" s="89"/>
      <c r="F2224" s="61" t="s">
        <v>165</v>
      </c>
      <c r="G2224" s="62">
        <f>VLOOKUP(C2223,功能索引!$C$3:$E2405,3,FALSE)</f>
        <v>0</v>
      </c>
    </row>
    <row r="2225" spans="2:7" x14ac:dyDescent="0.15">
      <c r="B2225" s="299" t="s">
        <v>354</v>
      </c>
      <c r="C2225" s="99"/>
      <c r="D2225" s="100"/>
      <c r="E2225" s="100"/>
      <c r="F2225" s="100"/>
      <c r="G2225" s="101"/>
    </row>
    <row r="2226" spans="2:7" ht="14.25" thickBot="1" x14ac:dyDescent="0.2">
      <c r="B2226" s="304"/>
      <c r="C2226" s="102"/>
      <c r="D2226" s="103"/>
      <c r="E2226" s="103"/>
      <c r="F2226" s="103"/>
      <c r="G2226" s="104"/>
    </row>
    <row r="2227" spans="2:7" x14ac:dyDescent="0.15">
      <c r="B2227" s="315" t="s">
        <v>355</v>
      </c>
      <c r="C2227" s="58" t="s">
        <v>356</v>
      </c>
      <c r="D2227" s="58" t="s">
        <v>357</v>
      </c>
      <c r="E2227" s="58" t="s">
        <v>358</v>
      </c>
      <c r="F2227" s="58" t="s">
        <v>359</v>
      </c>
      <c r="G2227" s="64" t="s">
        <v>360</v>
      </c>
    </row>
    <row r="2228" spans="2:7" x14ac:dyDescent="0.15">
      <c r="B2228" s="301"/>
      <c r="C2228" s="65" t="s">
        <v>428</v>
      </c>
      <c r="D2228" s="66">
        <f>VLOOKUP(C2228,基本字段定义!$B$3:$C$3013,2,FALSE)</f>
        <v>605</v>
      </c>
      <c r="E2228" s="67" t="s">
        <v>429</v>
      </c>
      <c r="F2228" s="67" t="s">
        <v>169</v>
      </c>
      <c r="G2228" s="68" t="s">
        <v>430</v>
      </c>
    </row>
    <row r="2229" spans="2:7" x14ac:dyDescent="0.15">
      <c r="B2229" s="301"/>
      <c r="C2229" s="65" t="s">
        <v>431</v>
      </c>
      <c r="D2229" s="66">
        <f>VLOOKUP(C2229,基本字段定义!$B$3:$C$3013,2,FALSE)</f>
        <v>571</v>
      </c>
      <c r="E2229" s="67" t="s">
        <v>432</v>
      </c>
      <c r="F2229" s="67" t="s">
        <v>169</v>
      </c>
      <c r="G2229" s="68" t="s">
        <v>1354</v>
      </c>
    </row>
    <row r="2230" spans="2:7" x14ac:dyDescent="0.15">
      <c r="B2230" s="301"/>
      <c r="C2230" s="65" t="s">
        <v>387</v>
      </c>
      <c r="D2230" s="66">
        <f>VLOOKUP(C2230,基本字段定义!$B$3:$C$3013,2,FALSE)</f>
        <v>599</v>
      </c>
      <c r="E2230" s="67" t="s">
        <v>388</v>
      </c>
      <c r="F2230" s="67" t="s">
        <v>169</v>
      </c>
      <c r="G2230" s="68" t="s">
        <v>389</v>
      </c>
    </row>
    <row r="2231" spans="2:7" x14ac:dyDescent="0.15">
      <c r="B2231" s="301"/>
      <c r="C2231" s="65" t="s">
        <v>666</v>
      </c>
      <c r="D2231" s="66">
        <f>VLOOKUP(C2231,基本字段定义!$B$3:$C$3013,2,FALSE)</f>
        <v>719</v>
      </c>
      <c r="E2231" s="67" t="s">
        <v>506</v>
      </c>
      <c r="F2231" s="67" t="s">
        <v>169</v>
      </c>
      <c r="G2231" s="68" t="s">
        <v>683</v>
      </c>
    </row>
    <row r="2232" spans="2:7" x14ac:dyDescent="0.15">
      <c r="B2232" s="301"/>
      <c r="C2232" s="65" t="s">
        <v>810</v>
      </c>
      <c r="D2232" s="66">
        <f>VLOOKUP(C2232,基本字段定义!$B$3:$C$3013,2,FALSE)</f>
        <v>684</v>
      </c>
      <c r="E2232" s="67" t="s">
        <v>363</v>
      </c>
      <c r="F2232" s="106" t="s">
        <v>169</v>
      </c>
      <c r="G2232" s="68" t="s">
        <v>1358</v>
      </c>
    </row>
    <row r="2233" spans="2:7" x14ac:dyDescent="0.15">
      <c r="B2233" s="306"/>
      <c r="C2233" s="65" t="s">
        <v>601</v>
      </c>
      <c r="D2233" s="66">
        <f>VLOOKUP(C2233,基本字段定义!$B$3:$C$3013,2,FALSE)</f>
        <v>797</v>
      </c>
      <c r="E2233" s="67" t="s">
        <v>365</v>
      </c>
      <c r="F2233" s="67"/>
      <c r="G2233" s="68" t="s">
        <v>1359</v>
      </c>
    </row>
    <row r="2234" spans="2:7" x14ac:dyDescent="0.15">
      <c r="B2234" s="299" t="s">
        <v>361</v>
      </c>
      <c r="C2234" s="69" t="s">
        <v>362</v>
      </c>
      <c r="D2234" s="70">
        <f>VLOOKUP(C2234,基本字段定义!$B$3:$C$3013,2,FALSE)</f>
        <v>507</v>
      </c>
      <c r="E2234" s="71" t="s">
        <v>363</v>
      </c>
      <c r="F2234" s="71"/>
      <c r="G2234" s="72" t="s">
        <v>1262</v>
      </c>
    </row>
    <row r="2235" spans="2:7" x14ac:dyDescent="0.15">
      <c r="B2235" s="299"/>
      <c r="C2235" s="69" t="s">
        <v>364</v>
      </c>
      <c r="D2235" s="70">
        <f>VLOOKUP(C2235,基本字段定义!$B$3:$C$3013,2,FALSE)</f>
        <v>508</v>
      </c>
      <c r="E2235" s="71" t="s">
        <v>365</v>
      </c>
      <c r="F2235" s="71"/>
      <c r="G2235" s="73" t="s">
        <v>1263</v>
      </c>
    </row>
    <row r="2236" spans="2:7" x14ac:dyDescent="0.15">
      <c r="B2236" s="299"/>
      <c r="C2236" s="69" t="s">
        <v>916</v>
      </c>
      <c r="D2236" s="70">
        <f>VLOOKUP(C2236,基本字段定义!$B$3:$C$3013,2,FALSE)</f>
        <v>681</v>
      </c>
      <c r="E2236" s="71" t="s">
        <v>363</v>
      </c>
      <c r="F2236" s="71"/>
      <c r="G2236" s="73" t="s">
        <v>918</v>
      </c>
    </row>
    <row r="2237" spans="2:7" ht="14.25" thickBot="1" x14ac:dyDescent="0.2">
      <c r="B2237" s="304"/>
      <c r="C2237" s="75"/>
      <c r="D2237" s="83"/>
      <c r="E2237" s="77"/>
      <c r="F2237" s="77"/>
      <c r="G2237" s="78"/>
    </row>
    <row r="2239" spans="2:7" x14ac:dyDescent="0.15">
      <c r="B2239" s="57" t="s">
        <v>163</v>
      </c>
      <c r="C2239" s="84">
        <v>204853</v>
      </c>
      <c r="D2239" s="85"/>
      <c r="E2239" s="86"/>
      <c r="F2239" s="58" t="s">
        <v>352</v>
      </c>
      <c r="G2239" s="59"/>
    </row>
    <row r="2240" spans="2:7" x14ac:dyDescent="0.15">
      <c r="B2240" s="60" t="s">
        <v>353</v>
      </c>
      <c r="C2240" s="87" t="str">
        <f>VLOOKUP(C2239,功能索引!$C$3:$D$278,2,FALSE)</f>
        <v>现金直接还款</v>
      </c>
      <c r="D2240" s="88"/>
      <c r="E2240" s="89"/>
      <c r="F2240" s="61" t="s">
        <v>165</v>
      </c>
      <c r="G2240" s="62">
        <f>VLOOKUP(C2239,功能索引!$C$3:$E2421,3,FALSE)</f>
        <v>0</v>
      </c>
    </row>
    <row r="2241" spans="2:7" x14ac:dyDescent="0.15">
      <c r="B2241" s="299" t="s">
        <v>354</v>
      </c>
      <c r="C2241" s="99"/>
      <c r="D2241" s="100"/>
      <c r="E2241" s="100"/>
      <c r="F2241" s="100"/>
      <c r="G2241" s="101"/>
    </row>
    <row r="2242" spans="2:7" ht="14.25" thickBot="1" x14ac:dyDescent="0.2">
      <c r="B2242" s="304"/>
      <c r="C2242" s="102"/>
      <c r="D2242" s="103"/>
      <c r="E2242" s="103"/>
      <c r="F2242" s="103"/>
      <c r="G2242" s="104"/>
    </row>
    <row r="2243" spans="2:7" x14ac:dyDescent="0.15">
      <c r="B2243" s="315" t="s">
        <v>355</v>
      </c>
      <c r="C2243" s="58" t="s">
        <v>356</v>
      </c>
      <c r="D2243" s="58" t="s">
        <v>357</v>
      </c>
      <c r="E2243" s="58" t="s">
        <v>358</v>
      </c>
      <c r="F2243" s="58" t="s">
        <v>359</v>
      </c>
      <c r="G2243" s="64" t="s">
        <v>360</v>
      </c>
    </row>
    <row r="2244" spans="2:7" x14ac:dyDescent="0.15">
      <c r="B2244" s="301"/>
      <c r="C2244" s="65" t="s">
        <v>428</v>
      </c>
      <c r="D2244" s="66">
        <f>VLOOKUP(C2244,基本字段定义!$B$3:$C$3013,2,FALSE)</f>
        <v>605</v>
      </c>
      <c r="E2244" s="67" t="s">
        <v>429</v>
      </c>
      <c r="F2244" s="67" t="s">
        <v>169</v>
      </c>
      <c r="G2244" s="68" t="s">
        <v>430</v>
      </c>
    </row>
    <row r="2245" spans="2:7" x14ac:dyDescent="0.15">
      <c r="B2245" s="301"/>
      <c r="C2245" s="65" t="s">
        <v>548</v>
      </c>
      <c r="D2245" s="66">
        <f>VLOOKUP(C2245,基本字段定义!$B$3:$C$3013,2,FALSE)</f>
        <v>716</v>
      </c>
      <c r="E2245" s="67" t="s">
        <v>579</v>
      </c>
      <c r="F2245" s="67" t="s">
        <v>169</v>
      </c>
      <c r="G2245" s="68" t="s">
        <v>1360</v>
      </c>
    </row>
    <row r="2246" spans="2:7" x14ac:dyDescent="0.15">
      <c r="B2246" s="301"/>
      <c r="C2246" s="65" t="s">
        <v>1361</v>
      </c>
      <c r="D2246" s="66">
        <f>VLOOKUP(C2246,基本字段定义!$B$3:$C$3013,2,FALSE)</f>
        <v>1430</v>
      </c>
      <c r="E2246" s="67" t="s">
        <v>563</v>
      </c>
      <c r="F2246" s="67" t="s">
        <v>169</v>
      </c>
      <c r="G2246" s="68" t="s">
        <v>1362</v>
      </c>
    </row>
    <row r="2247" spans="2:7" x14ac:dyDescent="0.15">
      <c r="B2247" s="306"/>
      <c r="C2247" s="65" t="s">
        <v>601</v>
      </c>
      <c r="D2247" s="66">
        <f>VLOOKUP(C2247,基本字段定义!$B$3:$C$3013,2,FALSE)</f>
        <v>797</v>
      </c>
      <c r="E2247" s="67" t="s">
        <v>365</v>
      </c>
      <c r="F2247" s="67"/>
      <c r="G2247" s="68" t="s">
        <v>1363</v>
      </c>
    </row>
    <row r="2248" spans="2:7" x14ac:dyDescent="0.15">
      <c r="B2248" s="299" t="s">
        <v>361</v>
      </c>
      <c r="C2248" s="69" t="s">
        <v>362</v>
      </c>
      <c r="D2248" s="70">
        <f>VLOOKUP(C2248,基本字段定义!$B$3:$C$3013,2,FALSE)</f>
        <v>507</v>
      </c>
      <c r="E2248" s="71" t="s">
        <v>363</v>
      </c>
      <c r="F2248" s="71"/>
      <c r="G2248" s="72" t="s">
        <v>1262</v>
      </c>
    </row>
    <row r="2249" spans="2:7" x14ac:dyDescent="0.15">
      <c r="B2249" s="299"/>
      <c r="C2249" s="69" t="s">
        <v>364</v>
      </c>
      <c r="D2249" s="70">
        <f>VLOOKUP(C2249,基本字段定义!$B$3:$C$3013,2,FALSE)</f>
        <v>508</v>
      </c>
      <c r="E2249" s="71" t="s">
        <v>365</v>
      </c>
      <c r="F2249" s="71"/>
      <c r="G2249" s="73" t="s">
        <v>1263</v>
      </c>
    </row>
    <row r="2250" spans="2:7" ht="14.25" thickBot="1" x14ac:dyDescent="0.2">
      <c r="B2250" s="304"/>
      <c r="C2250" s="75"/>
      <c r="D2250" s="83"/>
      <c r="E2250" s="77"/>
      <c r="F2250" s="77"/>
      <c r="G2250" s="78"/>
    </row>
    <row r="2252" spans="2:7" x14ac:dyDescent="0.15">
      <c r="B2252" s="57" t="s">
        <v>163</v>
      </c>
      <c r="C2252" s="84">
        <v>204887</v>
      </c>
      <c r="D2252" s="85"/>
      <c r="E2252" s="86"/>
      <c r="F2252" s="58" t="s">
        <v>352</v>
      </c>
      <c r="G2252" s="59"/>
    </row>
    <row r="2253" spans="2:7" x14ac:dyDescent="0.15">
      <c r="B2253" s="60" t="s">
        <v>353</v>
      </c>
      <c r="C2253" s="87" t="str">
        <f>VLOOKUP(C2252,功能索引!$C$3:$D$278,2,FALSE)</f>
        <v>现金替代还券</v>
      </c>
      <c r="D2253" s="88"/>
      <c r="E2253" s="89"/>
      <c r="F2253" s="61" t="s">
        <v>165</v>
      </c>
      <c r="G2253" s="62">
        <f>VLOOKUP(C2252,功能索引!$C$3:$E2434,3,FALSE)</f>
        <v>0</v>
      </c>
    </row>
    <row r="2254" spans="2:7" x14ac:dyDescent="0.15">
      <c r="B2254" s="299" t="s">
        <v>354</v>
      </c>
      <c r="C2254" s="99"/>
      <c r="D2254" s="100"/>
      <c r="E2254" s="100"/>
      <c r="F2254" s="100"/>
      <c r="G2254" s="101"/>
    </row>
    <row r="2255" spans="2:7" ht="14.25" thickBot="1" x14ac:dyDescent="0.2">
      <c r="B2255" s="304"/>
      <c r="C2255" s="102"/>
      <c r="D2255" s="103"/>
      <c r="E2255" s="103"/>
      <c r="F2255" s="103"/>
      <c r="G2255" s="104"/>
    </row>
    <row r="2256" spans="2:7" x14ac:dyDescent="0.15">
      <c r="B2256" s="315" t="s">
        <v>355</v>
      </c>
      <c r="C2256" s="58" t="s">
        <v>356</v>
      </c>
      <c r="D2256" s="58" t="s">
        <v>357</v>
      </c>
      <c r="E2256" s="58" t="s">
        <v>358</v>
      </c>
      <c r="F2256" s="58" t="s">
        <v>359</v>
      </c>
      <c r="G2256" s="64" t="s">
        <v>360</v>
      </c>
    </row>
    <row r="2257" spans="2:7" x14ac:dyDescent="0.15">
      <c r="B2257" s="301"/>
      <c r="C2257" s="65" t="s">
        <v>428</v>
      </c>
      <c r="D2257" s="66">
        <f>VLOOKUP(C2257,基本字段定义!$B$3:$C$3013,2,FALSE)</f>
        <v>605</v>
      </c>
      <c r="E2257" s="67" t="s">
        <v>429</v>
      </c>
      <c r="F2257" s="67" t="s">
        <v>169</v>
      </c>
      <c r="G2257" s="68" t="s">
        <v>430</v>
      </c>
    </row>
    <row r="2258" spans="2:7" x14ac:dyDescent="0.15">
      <c r="B2258" s="301"/>
      <c r="C2258" s="65" t="s">
        <v>431</v>
      </c>
      <c r="D2258" s="66">
        <f>VLOOKUP(C2258,基本字段定义!$B$3:$C$3013,2,FALSE)</f>
        <v>571</v>
      </c>
      <c r="E2258" s="67" t="s">
        <v>432</v>
      </c>
      <c r="F2258" s="67" t="s">
        <v>169</v>
      </c>
      <c r="G2258" s="68" t="s">
        <v>1354</v>
      </c>
    </row>
    <row r="2259" spans="2:7" x14ac:dyDescent="0.15">
      <c r="B2259" s="301"/>
      <c r="C2259" s="65" t="s">
        <v>387</v>
      </c>
      <c r="D2259" s="66">
        <f>VLOOKUP(C2259,基本字段定义!$B$3:$C$3013,2,FALSE)</f>
        <v>599</v>
      </c>
      <c r="E2259" s="67" t="s">
        <v>388</v>
      </c>
      <c r="F2259" s="67" t="s">
        <v>169</v>
      </c>
      <c r="G2259" s="68" t="s">
        <v>389</v>
      </c>
    </row>
    <row r="2260" spans="2:7" x14ac:dyDescent="0.15">
      <c r="B2260" s="301"/>
      <c r="C2260" s="65" t="s">
        <v>666</v>
      </c>
      <c r="D2260" s="66">
        <f>VLOOKUP(C2260,基本字段定义!$B$3:$C$3013,2,FALSE)</f>
        <v>719</v>
      </c>
      <c r="E2260" s="67" t="s">
        <v>506</v>
      </c>
      <c r="F2260" s="67" t="s">
        <v>169</v>
      </c>
      <c r="G2260" s="68" t="s">
        <v>683</v>
      </c>
    </row>
    <row r="2261" spans="2:7" x14ac:dyDescent="0.15">
      <c r="B2261" s="301"/>
      <c r="C2261" s="65" t="s">
        <v>601</v>
      </c>
      <c r="D2261" s="66">
        <f>VLOOKUP(C2261,基本字段定义!$B$3:$C$3013,2,FALSE)</f>
        <v>797</v>
      </c>
      <c r="E2261" s="67" t="s">
        <v>365</v>
      </c>
      <c r="F2261" s="67" t="s">
        <v>169</v>
      </c>
      <c r="G2261" s="68" t="s">
        <v>1364</v>
      </c>
    </row>
    <row r="2262" spans="2:7" x14ac:dyDescent="0.15">
      <c r="B2262" s="301"/>
      <c r="C2262" s="65" t="s">
        <v>810</v>
      </c>
      <c r="D2262" s="66">
        <f>VLOOKUP(C2262,基本字段定义!$B$3:$C$3013,2,FALSE)</f>
        <v>684</v>
      </c>
      <c r="E2262" s="67" t="s">
        <v>363</v>
      </c>
      <c r="F2262" s="106" t="s">
        <v>169</v>
      </c>
      <c r="G2262" s="68" t="s">
        <v>1358</v>
      </c>
    </row>
    <row r="2263" spans="2:7" x14ac:dyDescent="0.15">
      <c r="B2263" s="306"/>
      <c r="C2263" s="65" t="s">
        <v>812</v>
      </c>
      <c r="D2263" s="66">
        <f>VLOOKUP(C2263,基本字段定义!$B$3:$C$3013,2,FALSE)</f>
        <v>682</v>
      </c>
      <c r="E2263" s="67" t="s">
        <v>563</v>
      </c>
      <c r="F2263" s="67" t="s">
        <v>169</v>
      </c>
      <c r="G2263" s="68" t="s">
        <v>1365</v>
      </c>
    </row>
    <row r="2264" spans="2:7" x14ac:dyDescent="0.15">
      <c r="B2264" s="299" t="s">
        <v>361</v>
      </c>
      <c r="C2264" s="69" t="s">
        <v>362</v>
      </c>
      <c r="D2264" s="70">
        <f>VLOOKUP(C2264,基本字段定义!$B$3:$C$3013,2,FALSE)</f>
        <v>507</v>
      </c>
      <c r="E2264" s="71" t="s">
        <v>363</v>
      </c>
      <c r="F2264" s="71"/>
      <c r="G2264" s="72" t="s">
        <v>1262</v>
      </c>
    </row>
    <row r="2265" spans="2:7" x14ac:dyDescent="0.15">
      <c r="B2265" s="299"/>
      <c r="C2265" s="69" t="s">
        <v>364</v>
      </c>
      <c r="D2265" s="70">
        <f>VLOOKUP(C2265,基本字段定义!$B$3:$C$3013,2,FALSE)</f>
        <v>508</v>
      </c>
      <c r="E2265" s="71" t="s">
        <v>365</v>
      </c>
      <c r="F2265" s="71"/>
      <c r="G2265" s="73" t="s">
        <v>1263</v>
      </c>
    </row>
    <row r="2266" spans="2:7" ht="14.25" thickBot="1" x14ac:dyDescent="0.2">
      <c r="B2266" s="304"/>
      <c r="C2266" s="75"/>
      <c r="D2266" s="83"/>
      <c r="E2266" s="77"/>
      <c r="F2266" s="77"/>
      <c r="G2266" s="78"/>
    </row>
    <row r="2268" spans="2:7" x14ac:dyDescent="0.15">
      <c r="B2268" s="57" t="s">
        <v>163</v>
      </c>
      <c r="C2268" s="84">
        <v>204856</v>
      </c>
      <c r="D2268" s="85"/>
      <c r="E2268" s="86"/>
      <c r="F2268" s="58" t="s">
        <v>352</v>
      </c>
      <c r="G2268" s="59"/>
    </row>
    <row r="2269" spans="2:7" x14ac:dyDescent="0.15">
      <c r="B2269" s="60" t="s">
        <v>353</v>
      </c>
      <c r="C2269" s="87" t="str">
        <f>VLOOKUP(C2268,功能索引!$C$3:$D$278,2,FALSE)</f>
        <v>信用交易</v>
      </c>
      <c r="D2269" s="88"/>
      <c r="E2269" s="89"/>
      <c r="F2269" s="61" t="s">
        <v>165</v>
      </c>
      <c r="G2269" s="62">
        <f>VLOOKUP(C2268,功能索引!$C$3:$E2449,3,FALSE)</f>
        <v>0</v>
      </c>
    </row>
    <row r="2270" spans="2:7" x14ac:dyDescent="0.15">
      <c r="B2270" s="299" t="s">
        <v>354</v>
      </c>
      <c r="C2270" s="99"/>
      <c r="D2270" s="100"/>
      <c r="E2270" s="100"/>
      <c r="F2270" s="100"/>
      <c r="G2270" s="101"/>
    </row>
    <row r="2271" spans="2:7" ht="14.25" thickBot="1" x14ac:dyDescent="0.2">
      <c r="B2271" s="304"/>
      <c r="C2271" s="102"/>
      <c r="D2271" s="103"/>
      <c r="E2271" s="103"/>
      <c r="F2271" s="103"/>
      <c r="G2271" s="104"/>
    </row>
    <row r="2272" spans="2:7" x14ac:dyDescent="0.15">
      <c r="B2272" s="315" t="s">
        <v>355</v>
      </c>
      <c r="C2272" s="58" t="s">
        <v>356</v>
      </c>
      <c r="D2272" s="58" t="s">
        <v>357</v>
      </c>
      <c r="E2272" s="58" t="s">
        <v>358</v>
      </c>
      <c r="F2272" s="58" t="s">
        <v>359</v>
      </c>
      <c r="G2272" s="64" t="s">
        <v>360</v>
      </c>
    </row>
    <row r="2273" spans="2:7" x14ac:dyDescent="0.15">
      <c r="B2273" s="301"/>
      <c r="C2273" s="65" t="s">
        <v>428</v>
      </c>
      <c r="D2273" s="66">
        <f>VLOOKUP(C2273,基本字段定义!$B$3:$C$3013,2,FALSE)</f>
        <v>605</v>
      </c>
      <c r="E2273" s="67" t="s">
        <v>429</v>
      </c>
      <c r="F2273" s="67" t="s">
        <v>169</v>
      </c>
      <c r="G2273" s="68" t="s">
        <v>430</v>
      </c>
    </row>
    <row r="2274" spans="2:7" x14ac:dyDescent="0.15">
      <c r="B2274" s="301"/>
      <c r="C2274" s="65" t="s">
        <v>431</v>
      </c>
      <c r="D2274" s="66">
        <f>VLOOKUP(C2274,基本字段定义!$B$3:$C$3013,2,FALSE)</f>
        <v>571</v>
      </c>
      <c r="E2274" s="67" t="s">
        <v>432</v>
      </c>
      <c r="F2274" s="67" t="s">
        <v>169</v>
      </c>
      <c r="G2274" s="68" t="s">
        <v>1354</v>
      </c>
    </row>
    <row r="2275" spans="2:7" x14ac:dyDescent="0.15">
      <c r="B2275" s="301"/>
      <c r="C2275" s="65" t="s">
        <v>387</v>
      </c>
      <c r="D2275" s="66">
        <f>VLOOKUP(C2275,基本字段定义!$B$3:$C$3013,2,FALSE)</f>
        <v>599</v>
      </c>
      <c r="E2275" s="67" t="s">
        <v>388</v>
      </c>
      <c r="F2275" s="67" t="s">
        <v>169</v>
      </c>
      <c r="G2275" s="68" t="s">
        <v>389</v>
      </c>
    </row>
    <row r="2276" spans="2:7" x14ac:dyDescent="0.15">
      <c r="B2276" s="301"/>
      <c r="C2276" s="65" t="s">
        <v>666</v>
      </c>
      <c r="D2276" s="66">
        <f>VLOOKUP(C2276,基本字段定义!$B$3:$C$3013,2,FALSE)</f>
        <v>719</v>
      </c>
      <c r="E2276" s="67" t="s">
        <v>506</v>
      </c>
      <c r="F2276" s="67" t="s">
        <v>169</v>
      </c>
      <c r="G2276" s="68" t="s">
        <v>683</v>
      </c>
    </row>
    <row r="2277" spans="2:7" x14ac:dyDescent="0.15">
      <c r="B2277" s="301"/>
      <c r="C2277" s="65" t="s">
        <v>875</v>
      </c>
      <c r="D2277" s="66">
        <f>VLOOKUP(C2277,基本字段定义!$B$3:$C$3013,2,FALSE)</f>
        <v>595</v>
      </c>
      <c r="E2277" s="67" t="s">
        <v>363</v>
      </c>
      <c r="F2277" s="67" t="s">
        <v>169</v>
      </c>
      <c r="G2277" s="68" t="s">
        <v>1366</v>
      </c>
    </row>
    <row r="2278" spans="2:7" x14ac:dyDescent="0.15">
      <c r="B2278" s="301"/>
      <c r="C2278" s="65" t="s">
        <v>810</v>
      </c>
      <c r="D2278" s="66">
        <f>VLOOKUP(C2278,基本字段定义!$B$3:$C$3013,2,FALSE)</f>
        <v>684</v>
      </c>
      <c r="E2278" s="67" t="s">
        <v>363</v>
      </c>
      <c r="F2278" s="106" t="s">
        <v>169</v>
      </c>
      <c r="G2278" s="68" t="s">
        <v>811</v>
      </c>
    </row>
    <row r="2279" spans="2:7" x14ac:dyDescent="0.15">
      <c r="B2279" s="301"/>
      <c r="C2279" s="65" t="s">
        <v>812</v>
      </c>
      <c r="D2279" s="66">
        <f>VLOOKUP(C2279,基本字段定义!$B$3:$C$3013,2,FALSE)</f>
        <v>682</v>
      </c>
      <c r="E2279" s="67" t="s">
        <v>563</v>
      </c>
      <c r="F2279" s="105" t="s">
        <v>169</v>
      </c>
      <c r="G2279" s="68" t="s">
        <v>813</v>
      </c>
    </row>
    <row r="2280" spans="2:7" x14ac:dyDescent="0.15">
      <c r="B2280" s="301"/>
      <c r="C2280" s="65" t="s">
        <v>893</v>
      </c>
      <c r="D2280" s="66">
        <f>VLOOKUP(C2280,基本字段定义!$B$3:$C$3013,2,FALSE)</f>
        <v>1013</v>
      </c>
      <c r="E2280" s="67" t="s">
        <v>363</v>
      </c>
      <c r="F2280" s="106"/>
      <c r="G2280" s="68" t="s">
        <v>1367</v>
      </c>
    </row>
    <row r="2281" spans="2:7" x14ac:dyDescent="0.15">
      <c r="B2281" s="306"/>
      <c r="C2281" s="65" t="s">
        <v>601</v>
      </c>
      <c r="D2281" s="66">
        <f>VLOOKUP(C2281,基本字段定义!$B$3:$C$3013,2,FALSE)</f>
        <v>797</v>
      </c>
      <c r="E2281" s="67" t="s">
        <v>365</v>
      </c>
      <c r="F2281" s="67"/>
      <c r="G2281" s="68" t="s">
        <v>1368</v>
      </c>
    </row>
    <row r="2282" spans="2:7" x14ac:dyDescent="0.15">
      <c r="B2282" s="299" t="s">
        <v>361</v>
      </c>
      <c r="C2282" s="69" t="s">
        <v>362</v>
      </c>
      <c r="D2282" s="70">
        <f>VLOOKUP(C2282,基本字段定义!$B$3:$C$3013,2,FALSE)</f>
        <v>507</v>
      </c>
      <c r="E2282" s="71" t="s">
        <v>363</v>
      </c>
      <c r="F2282" s="71"/>
      <c r="G2282" s="72" t="s">
        <v>1262</v>
      </c>
    </row>
    <row r="2283" spans="2:7" x14ac:dyDescent="0.15">
      <c r="B2283" s="299"/>
      <c r="C2283" s="69" t="s">
        <v>364</v>
      </c>
      <c r="D2283" s="70">
        <f>VLOOKUP(C2283,基本字段定义!$B$3:$C$3013,2,FALSE)</f>
        <v>508</v>
      </c>
      <c r="E2283" s="71" t="s">
        <v>365</v>
      </c>
      <c r="F2283" s="71"/>
      <c r="G2283" s="73" t="s">
        <v>1263</v>
      </c>
    </row>
    <row r="2284" spans="2:7" x14ac:dyDescent="0.15">
      <c r="B2284" s="299"/>
      <c r="C2284" s="69" t="s">
        <v>916</v>
      </c>
      <c r="D2284" s="70">
        <f>VLOOKUP(C2284,基本字段定义!$B$3:$C$3013,2,FALSE)</f>
        <v>681</v>
      </c>
      <c r="E2284" s="71" t="s">
        <v>363</v>
      </c>
      <c r="F2284" s="71"/>
      <c r="G2284" s="73" t="s">
        <v>918</v>
      </c>
    </row>
    <row r="2285" spans="2:7" ht="14.25" thickBot="1" x14ac:dyDescent="0.2">
      <c r="B2285" s="304"/>
      <c r="C2285" s="75"/>
      <c r="D2285" s="83"/>
      <c r="E2285" s="77"/>
      <c r="F2285" s="77"/>
      <c r="G2285" s="78"/>
    </row>
    <row r="2287" spans="2:7" x14ac:dyDescent="0.15">
      <c r="B2287" s="57" t="s">
        <v>163</v>
      </c>
      <c r="C2287" s="84">
        <v>204857</v>
      </c>
      <c r="D2287" s="85"/>
      <c r="E2287" s="86"/>
      <c r="F2287" s="58" t="s">
        <v>352</v>
      </c>
      <c r="G2287" s="59"/>
    </row>
    <row r="2288" spans="2:7" x14ac:dyDescent="0.15">
      <c r="B2288" s="60" t="s">
        <v>353</v>
      </c>
      <c r="C2288" s="87" t="str">
        <f>VLOOKUP(C2287,功能索引!$C$3:$D$278,2,FALSE)</f>
        <v>融资融券交易</v>
      </c>
      <c r="D2288" s="88"/>
      <c r="E2288" s="89"/>
      <c r="F2288" s="61" t="s">
        <v>165</v>
      </c>
      <c r="G2288" s="62">
        <f>VLOOKUP(C2287,功能索引!$C$3:$E2468,3,FALSE)</f>
        <v>0</v>
      </c>
    </row>
    <row r="2289" spans="2:7" x14ac:dyDescent="0.15">
      <c r="B2289" s="299" t="s">
        <v>354</v>
      </c>
      <c r="C2289" s="99"/>
      <c r="D2289" s="100"/>
      <c r="E2289" s="100"/>
      <c r="F2289" s="100"/>
      <c r="G2289" s="101"/>
    </row>
    <row r="2290" spans="2:7" ht="14.25" thickBot="1" x14ac:dyDescent="0.2">
      <c r="B2290" s="304"/>
      <c r="C2290" s="102"/>
      <c r="D2290" s="103"/>
      <c r="E2290" s="103"/>
      <c r="F2290" s="103"/>
      <c r="G2290" s="104"/>
    </row>
    <row r="2291" spans="2:7" x14ac:dyDescent="0.15">
      <c r="B2291" s="315" t="s">
        <v>355</v>
      </c>
      <c r="C2291" s="58" t="s">
        <v>356</v>
      </c>
      <c r="D2291" s="58" t="s">
        <v>357</v>
      </c>
      <c r="E2291" s="58" t="s">
        <v>358</v>
      </c>
      <c r="F2291" s="58" t="s">
        <v>359</v>
      </c>
      <c r="G2291" s="64" t="s">
        <v>360</v>
      </c>
    </row>
    <row r="2292" spans="2:7" x14ac:dyDescent="0.15">
      <c r="B2292" s="301"/>
      <c r="C2292" s="65" t="s">
        <v>428</v>
      </c>
      <c r="D2292" s="66">
        <f>VLOOKUP(C2292,基本字段定义!$B$3:$C$3013,2,FALSE)</f>
        <v>605</v>
      </c>
      <c r="E2292" s="67" t="s">
        <v>429</v>
      </c>
      <c r="F2292" s="67" t="s">
        <v>169</v>
      </c>
      <c r="G2292" s="68" t="s">
        <v>430</v>
      </c>
    </row>
    <row r="2293" spans="2:7" x14ac:dyDescent="0.15">
      <c r="B2293" s="301"/>
      <c r="C2293" s="65" t="s">
        <v>431</v>
      </c>
      <c r="D2293" s="66">
        <f>VLOOKUP(C2293,基本字段定义!$B$3:$C$3013,2,FALSE)</f>
        <v>571</v>
      </c>
      <c r="E2293" s="67" t="s">
        <v>432</v>
      </c>
      <c r="F2293" s="67" t="s">
        <v>169</v>
      </c>
      <c r="G2293" s="68" t="s">
        <v>1354</v>
      </c>
    </row>
    <row r="2294" spans="2:7" x14ac:dyDescent="0.15">
      <c r="B2294" s="301"/>
      <c r="C2294" s="65" t="s">
        <v>387</v>
      </c>
      <c r="D2294" s="66">
        <f>VLOOKUP(C2294,基本字段定义!$B$3:$C$3013,2,FALSE)</f>
        <v>599</v>
      </c>
      <c r="E2294" s="67" t="s">
        <v>388</v>
      </c>
      <c r="F2294" s="67" t="s">
        <v>169</v>
      </c>
      <c r="G2294" s="68" t="s">
        <v>389</v>
      </c>
    </row>
    <row r="2295" spans="2:7" x14ac:dyDescent="0.15">
      <c r="B2295" s="301"/>
      <c r="C2295" s="65" t="s">
        <v>666</v>
      </c>
      <c r="D2295" s="66">
        <f>VLOOKUP(C2295,基本字段定义!$B$3:$C$3013,2,FALSE)</f>
        <v>719</v>
      </c>
      <c r="E2295" s="67" t="s">
        <v>506</v>
      </c>
      <c r="F2295" s="67" t="s">
        <v>169</v>
      </c>
      <c r="G2295" s="68" t="s">
        <v>683</v>
      </c>
    </row>
    <row r="2296" spans="2:7" x14ac:dyDescent="0.15">
      <c r="B2296" s="301"/>
      <c r="C2296" s="65" t="s">
        <v>875</v>
      </c>
      <c r="D2296" s="66">
        <f>VLOOKUP(C2296,基本字段定义!$B$3:$C$3013,2,FALSE)</f>
        <v>595</v>
      </c>
      <c r="E2296" s="67" t="s">
        <v>363</v>
      </c>
      <c r="F2296" s="67" t="s">
        <v>169</v>
      </c>
      <c r="G2296" s="68" t="s">
        <v>1369</v>
      </c>
    </row>
    <row r="2297" spans="2:7" x14ac:dyDescent="0.15">
      <c r="B2297" s="301"/>
      <c r="C2297" s="65" t="s">
        <v>810</v>
      </c>
      <c r="D2297" s="66">
        <f>VLOOKUP(C2297,基本字段定义!$B$3:$C$3013,2,FALSE)</f>
        <v>684</v>
      </c>
      <c r="E2297" s="67" t="s">
        <v>363</v>
      </c>
      <c r="F2297" s="106" t="s">
        <v>169</v>
      </c>
      <c r="G2297" s="68" t="s">
        <v>811</v>
      </c>
    </row>
    <row r="2298" spans="2:7" x14ac:dyDescent="0.15">
      <c r="B2298" s="301"/>
      <c r="C2298" s="65" t="s">
        <v>812</v>
      </c>
      <c r="D2298" s="66">
        <f>VLOOKUP(C2298,基本字段定义!$B$3:$C$3013,2,FALSE)</f>
        <v>682</v>
      </c>
      <c r="E2298" s="67" t="s">
        <v>563</v>
      </c>
      <c r="F2298" s="105" t="s">
        <v>169</v>
      </c>
      <c r="G2298" s="68" t="s">
        <v>813</v>
      </c>
    </row>
    <row r="2299" spans="2:7" x14ac:dyDescent="0.15">
      <c r="B2299" s="301"/>
      <c r="C2299" s="65" t="s">
        <v>893</v>
      </c>
      <c r="D2299" s="66">
        <f>VLOOKUP(C2299,基本字段定义!$B$3:$C$3013,2,FALSE)</f>
        <v>1013</v>
      </c>
      <c r="E2299" s="67" t="s">
        <v>363</v>
      </c>
      <c r="F2299" s="106"/>
      <c r="G2299" s="68" t="s">
        <v>1367</v>
      </c>
    </row>
    <row r="2300" spans="2:7" x14ac:dyDescent="0.15">
      <c r="B2300" s="299" t="s">
        <v>361</v>
      </c>
      <c r="C2300" s="69" t="s">
        <v>362</v>
      </c>
      <c r="D2300" s="70">
        <f>VLOOKUP(C2300,基本字段定义!$B$3:$C$3013,2,FALSE)</f>
        <v>507</v>
      </c>
      <c r="E2300" s="71" t="s">
        <v>363</v>
      </c>
      <c r="F2300" s="71"/>
      <c r="G2300" s="72" t="s">
        <v>1262</v>
      </c>
    </row>
    <row r="2301" spans="2:7" x14ac:dyDescent="0.15">
      <c r="B2301" s="299"/>
      <c r="C2301" s="69" t="s">
        <v>364</v>
      </c>
      <c r="D2301" s="70">
        <f>VLOOKUP(C2301,基本字段定义!$B$3:$C$3013,2,FALSE)</f>
        <v>508</v>
      </c>
      <c r="E2301" s="71" t="s">
        <v>365</v>
      </c>
      <c r="F2301" s="71"/>
      <c r="G2301" s="73" t="s">
        <v>1263</v>
      </c>
    </row>
    <row r="2302" spans="2:7" x14ac:dyDescent="0.15">
      <c r="B2302" s="299"/>
      <c r="C2302" s="69" t="s">
        <v>916</v>
      </c>
      <c r="D2302" s="70">
        <f>VLOOKUP(C2302,基本字段定义!$B$3:$C$3013,2,FALSE)</f>
        <v>681</v>
      </c>
      <c r="E2302" s="71" t="s">
        <v>363</v>
      </c>
      <c r="F2302" s="71"/>
      <c r="G2302" s="73" t="s">
        <v>918</v>
      </c>
    </row>
    <row r="2303" spans="2:7" ht="14.25" thickBot="1" x14ac:dyDescent="0.2">
      <c r="B2303" s="304"/>
      <c r="C2303" s="75"/>
      <c r="D2303" s="83"/>
      <c r="E2303" s="77"/>
      <c r="F2303" s="77"/>
      <c r="G2303" s="78"/>
    </row>
    <row r="2305" spans="2:7" x14ac:dyDescent="0.15">
      <c r="B2305" s="57" t="s">
        <v>163</v>
      </c>
      <c r="C2305" s="84">
        <v>204858</v>
      </c>
      <c r="D2305" s="85"/>
      <c r="E2305" s="86"/>
      <c r="F2305" s="58" t="s">
        <v>352</v>
      </c>
      <c r="G2305" s="59"/>
    </row>
    <row r="2306" spans="2:7" x14ac:dyDescent="0.15">
      <c r="B2306" s="60" t="s">
        <v>353</v>
      </c>
      <c r="C2306" s="87" t="str">
        <f>VLOOKUP(C2305,功能索引!$C$3:$D$278,2,FALSE)</f>
        <v>信用委托撤单</v>
      </c>
      <c r="D2306" s="88"/>
      <c r="E2306" s="89"/>
      <c r="F2306" s="61" t="s">
        <v>165</v>
      </c>
      <c r="G2306" s="62">
        <f>VLOOKUP(C2305,功能索引!$C$3:$E2486,3,FALSE)</f>
        <v>0</v>
      </c>
    </row>
    <row r="2307" spans="2:7" x14ac:dyDescent="0.15">
      <c r="B2307" s="299" t="s">
        <v>354</v>
      </c>
      <c r="C2307" s="99"/>
      <c r="D2307" s="100"/>
      <c r="E2307" s="100"/>
      <c r="F2307" s="100"/>
      <c r="G2307" s="101"/>
    </row>
    <row r="2308" spans="2:7" ht="14.25" thickBot="1" x14ac:dyDescent="0.2">
      <c r="B2308" s="304"/>
      <c r="C2308" s="102"/>
      <c r="D2308" s="103"/>
      <c r="E2308" s="103"/>
      <c r="F2308" s="103"/>
      <c r="G2308" s="104"/>
    </row>
    <row r="2309" spans="2:7" x14ac:dyDescent="0.15">
      <c r="B2309" s="315" t="s">
        <v>355</v>
      </c>
      <c r="C2309" s="58" t="s">
        <v>356</v>
      </c>
      <c r="D2309" s="58" t="s">
        <v>357</v>
      </c>
      <c r="E2309" s="58" t="s">
        <v>358</v>
      </c>
      <c r="F2309" s="58" t="s">
        <v>359</v>
      </c>
      <c r="G2309" s="64" t="s">
        <v>360</v>
      </c>
    </row>
    <row r="2310" spans="2:7" x14ac:dyDescent="0.15">
      <c r="B2310" s="301"/>
      <c r="C2310" s="65" t="s">
        <v>428</v>
      </c>
      <c r="D2310" s="66">
        <f>VLOOKUP(C2310,基本字段定义!$B$3:$C$3013,2,FALSE)</f>
        <v>605</v>
      </c>
      <c r="E2310" s="67" t="s">
        <v>429</v>
      </c>
      <c r="F2310" s="67" t="s">
        <v>169</v>
      </c>
      <c r="G2310" s="68" t="s">
        <v>430</v>
      </c>
    </row>
    <row r="2311" spans="2:7" x14ac:dyDescent="0.15">
      <c r="B2311" s="301"/>
      <c r="C2311" s="65" t="s">
        <v>431</v>
      </c>
      <c r="D2311" s="66">
        <f>VLOOKUP(C2311,基本字段定义!$B$3:$C$3013,2,FALSE)</f>
        <v>571</v>
      </c>
      <c r="E2311" s="67" t="s">
        <v>432</v>
      </c>
      <c r="F2311" s="67" t="s">
        <v>169</v>
      </c>
      <c r="G2311" s="68" t="s">
        <v>1354</v>
      </c>
    </row>
    <row r="2312" spans="2:7" x14ac:dyDescent="0.15">
      <c r="B2312" s="301"/>
      <c r="C2312" s="65" t="s">
        <v>387</v>
      </c>
      <c r="D2312" s="66">
        <f>VLOOKUP(C2312,基本字段定义!$B$3:$C$3013,2,FALSE)</f>
        <v>599</v>
      </c>
      <c r="E2312" s="67" t="s">
        <v>388</v>
      </c>
      <c r="F2312" s="67" t="s">
        <v>169</v>
      </c>
      <c r="G2312" s="68" t="s">
        <v>389</v>
      </c>
    </row>
    <row r="2313" spans="2:7" x14ac:dyDescent="0.15">
      <c r="B2313" s="301"/>
      <c r="C2313" s="65" t="s">
        <v>916</v>
      </c>
      <c r="D2313" s="66">
        <f>VLOOKUP(C2313,基本字段定义!$B$3:$C$3013,2,FALSE)</f>
        <v>681</v>
      </c>
      <c r="E2313" s="67" t="s">
        <v>363</v>
      </c>
      <c r="F2313" s="67" t="s">
        <v>169</v>
      </c>
      <c r="G2313" s="68" t="s">
        <v>918</v>
      </c>
    </row>
    <row r="2314" spans="2:7" x14ac:dyDescent="0.15">
      <c r="B2314" s="299" t="s">
        <v>361</v>
      </c>
      <c r="C2314" s="69" t="s">
        <v>362</v>
      </c>
      <c r="D2314" s="70">
        <f>VLOOKUP(C2314,基本字段定义!$B$3:$C$3013,2,FALSE)</f>
        <v>507</v>
      </c>
      <c r="E2314" s="71" t="s">
        <v>363</v>
      </c>
      <c r="F2314" s="71"/>
      <c r="G2314" s="72" t="s">
        <v>1262</v>
      </c>
    </row>
    <row r="2315" spans="2:7" x14ac:dyDescent="0.15">
      <c r="B2315" s="299"/>
      <c r="C2315" s="69" t="s">
        <v>364</v>
      </c>
      <c r="D2315" s="70">
        <f>VLOOKUP(C2315,基本字段定义!$B$3:$C$3013,2,FALSE)</f>
        <v>508</v>
      </c>
      <c r="E2315" s="71" t="s">
        <v>365</v>
      </c>
      <c r="F2315" s="71"/>
      <c r="G2315" s="73" t="s">
        <v>1263</v>
      </c>
    </row>
    <row r="2316" spans="2:7" ht="14.25" thickBot="1" x14ac:dyDescent="0.2">
      <c r="B2316" s="304"/>
      <c r="C2316" s="75"/>
      <c r="D2316" s="83"/>
      <c r="E2316" s="77"/>
      <c r="F2316" s="77"/>
      <c r="G2316" s="78"/>
    </row>
    <row r="2318" spans="2:7" x14ac:dyDescent="0.15">
      <c r="B2318" s="57" t="s">
        <v>163</v>
      </c>
      <c r="C2318" s="84">
        <v>204833</v>
      </c>
      <c r="D2318" s="85"/>
      <c r="E2318" s="86"/>
      <c r="F2318" s="58" t="s">
        <v>352</v>
      </c>
      <c r="G2318" s="59"/>
    </row>
    <row r="2319" spans="2:7" x14ac:dyDescent="0.15">
      <c r="B2319" s="60" t="s">
        <v>353</v>
      </c>
      <c r="C2319" s="87" t="str">
        <f>VLOOKUP(C2318,功能索引!$C$3:$D$278,2,FALSE)</f>
        <v>信用负债信息查询</v>
      </c>
      <c r="D2319" s="88"/>
      <c r="E2319" s="89"/>
      <c r="F2319" s="61" t="s">
        <v>165</v>
      </c>
      <c r="G2319" s="62" t="str">
        <f>VLOOKUP(C2318,功能索引!$C$3:$E2353,3,FALSE)</f>
        <v>Y</v>
      </c>
    </row>
    <row r="2320" spans="2:7" x14ac:dyDescent="0.15">
      <c r="B2320" s="299" t="s">
        <v>354</v>
      </c>
      <c r="C2320" s="99"/>
      <c r="D2320" s="100"/>
      <c r="E2320" s="100"/>
      <c r="F2320" s="100"/>
      <c r="G2320" s="101"/>
    </row>
    <row r="2321" spans="2:7" ht="14.25" thickBot="1" x14ac:dyDescent="0.2">
      <c r="B2321" s="304"/>
      <c r="C2321" s="102"/>
      <c r="D2321" s="103"/>
      <c r="E2321" s="103"/>
      <c r="F2321" s="103"/>
      <c r="G2321" s="104"/>
    </row>
    <row r="2322" spans="2:7" x14ac:dyDescent="0.15">
      <c r="B2322" s="298" t="s">
        <v>355</v>
      </c>
      <c r="C2322" s="58" t="s">
        <v>356</v>
      </c>
      <c r="D2322" s="58" t="s">
        <v>357</v>
      </c>
      <c r="E2322" s="58" t="s">
        <v>358</v>
      </c>
      <c r="F2322" s="58" t="s">
        <v>359</v>
      </c>
      <c r="G2322" s="64" t="s">
        <v>360</v>
      </c>
    </row>
    <row r="2323" spans="2:7" x14ac:dyDescent="0.15">
      <c r="B2323" s="299"/>
      <c r="C2323" s="65" t="s">
        <v>428</v>
      </c>
      <c r="D2323" s="66">
        <f>VLOOKUP(C2323,基本字段定义!$B$3:$C$3013,2,FALSE)</f>
        <v>605</v>
      </c>
      <c r="E2323" s="67" t="s">
        <v>429</v>
      </c>
      <c r="F2323" s="67" t="s">
        <v>169</v>
      </c>
      <c r="G2323" s="68" t="s">
        <v>1370</v>
      </c>
    </row>
    <row r="2324" spans="2:7" x14ac:dyDescent="0.15">
      <c r="B2324" s="299"/>
      <c r="C2324" s="65" t="s">
        <v>387</v>
      </c>
      <c r="D2324" s="66">
        <f>VLOOKUP(C2324,基本字段定义!$B$3:$C$3013,2,FALSE)</f>
        <v>599</v>
      </c>
      <c r="E2324" s="67" t="s">
        <v>388</v>
      </c>
      <c r="F2324" s="67"/>
      <c r="G2324" s="68" t="s">
        <v>389</v>
      </c>
    </row>
    <row r="2325" spans="2:7" x14ac:dyDescent="0.15">
      <c r="B2325" s="299"/>
      <c r="C2325" s="65" t="s">
        <v>666</v>
      </c>
      <c r="D2325" s="66">
        <f>VLOOKUP(C2325,基本字段定义!$B$3:$C$3013,2,FALSE)</f>
        <v>719</v>
      </c>
      <c r="E2325" s="67" t="s">
        <v>506</v>
      </c>
      <c r="F2325" s="67"/>
      <c r="G2325" s="68" t="s">
        <v>683</v>
      </c>
    </row>
    <row r="2326" spans="2:7" x14ac:dyDescent="0.15">
      <c r="B2326" s="299"/>
      <c r="C2326" s="65" t="s">
        <v>601</v>
      </c>
      <c r="D2326" s="66">
        <f>VLOOKUP(C2326,基本字段定义!$B$3:$C$3013,2,FALSE)</f>
        <v>797</v>
      </c>
      <c r="E2326" s="67" t="s">
        <v>363</v>
      </c>
      <c r="F2326" s="67"/>
      <c r="G2326" s="68" t="s">
        <v>602</v>
      </c>
    </row>
    <row r="2327" spans="2:7" x14ac:dyDescent="0.15">
      <c r="B2327" s="299"/>
      <c r="C2327" s="65" t="s">
        <v>1371</v>
      </c>
      <c r="D2327" s="66">
        <f>VLOOKUP(C2327,基本字段定义!$B$3:$C$3013,2,FALSE)</f>
        <v>557</v>
      </c>
      <c r="E2327" s="67" t="s">
        <v>365</v>
      </c>
      <c r="F2327" s="67"/>
      <c r="G2327" s="68" t="s">
        <v>1372</v>
      </c>
    </row>
    <row r="2328" spans="2:7" x14ac:dyDescent="0.15">
      <c r="B2328" s="299"/>
      <c r="C2328" s="65" t="s">
        <v>1373</v>
      </c>
      <c r="D2328" s="66">
        <f>VLOOKUP(C2328,基本字段定义!$B$3:$C$3013,2,FALSE)</f>
        <v>556</v>
      </c>
      <c r="E2328" s="67" t="s">
        <v>365</v>
      </c>
      <c r="F2328" s="67"/>
      <c r="G2328" s="68" t="s">
        <v>1374</v>
      </c>
    </row>
    <row r="2329" spans="2:7" x14ac:dyDescent="0.15">
      <c r="B2329" s="299"/>
      <c r="C2329" s="65" t="s">
        <v>510</v>
      </c>
      <c r="D2329" s="66">
        <f>VLOOKUP(C2329,基本字段定义!$B$3:$C$3013,2,FALSE)</f>
        <v>618</v>
      </c>
      <c r="E2329" s="67" t="s">
        <v>1375</v>
      </c>
      <c r="F2329" s="67"/>
      <c r="G2329" s="68" t="s">
        <v>1050</v>
      </c>
    </row>
    <row r="2330" spans="2:7" x14ac:dyDescent="0.15">
      <c r="B2330" s="299"/>
      <c r="C2330" s="65" t="s">
        <v>512</v>
      </c>
      <c r="D2330" s="66">
        <f>VLOOKUP(C2330,基本字段定义!$B$3:$C$3013,2,FALSE)</f>
        <v>590</v>
      </c>
      <c r="E2330" s="67" t="s">
        <v>1375</v>
      </c>
      <c r="F2330" s="67"/>
      <c r="G2330" s="68" t="s">
        <v>1155</v>
      </c>
    </row>
    <row r="2331" spans="2:7" x14ac:dyDescent="0.15">
      <c r="B2331" s="299"/>
      <c r="C2331" s="65" t="s">
        <v>1163</v>
      </c>
      <c r="D2331" s="66">
        <f>VLOOKUP(C2331,基本字段定义!$B$3:$C$3013,2,FALSE)</f>
        <v>1240</v>
      </c>
      <c r="E2331" s="67" t="s">
        <v>1375</v>
      </c>
      <c r="F2331" s="67"/>
      <c r="G2331" s="68" t="s">
        <v>975</v>
      </c>
    </row>
    <row r="2332" spans="2:7" x14ac:dyDescent="0.15">
      <c r="B2332" s="299"/>
      <c r="C2332" s="65" t="s">
        <v>875</v>
      </c>
      <c r="D2332" s="66">
        <f>VLOOKUP(C2332,基本字段定义!$B$3:$C$3013,2,FALSE)</f>
        <v>595</v>
      </c>
      <c r="E2332" s="67" t="s">
        <v>363</v>
      </c>
      <c r="F2332" s="67"/>
      <c r="G2332" s="68" t="s">
        <v>1376</v>
      </c>
    </row>
    <row r="2333" spans="2:7" x14ac:dyDescent="0.15">
      <c r="B2333" s="299"/>
      <c r="C2333" s="65" t="s">
        <v>1377</v>
      </c>
      <c r="D2333" s="66">
        <f>VLOOKUP(C2333,基本字段定义!$B$3:$C$3013,2,FALSE)</f>
        <v>1887</v>
      </c>
      <c r="E2333" s="67" t="s">
        <v>363</v>
      </c>
      <c r="F2333" s="67"/>
      <c r="G2333" s="68" t="s">
        <v>1378</v>
      </c>
    </row>
    <row r="2334" spans="2:7" x14ac:dyDescent="0.15">
      <c r="B2334" s="299"/>
      <c r="C2334" s="65" t="s">
        <v>765</v>
      </c>
      <c r="D2334" s="66">
        <f>VLOOKUP(C2334,基本字段定义!$B$3:$C$3013,2,FALSE)</f>
        <v>9108</v>
      </c>
      <c r="E2334" s="67" t="s">
        <v>363</v>
      </c>
      <c r="F2334" s="67"/>
      <c r="G2334" s="68" t="s">
        <v>1379</v>
      </c>
    </row>
    <row r="2335" spans="2:7" x14ac:dyDescent="0.15">
      <c r="B2335" s="299"/>
      <c r="C2335" s="65" t="s">
        <v>585</v>
      </c>
      <c r="D2335" s="66">
        <f>VLOOKUP(C2335,基本字段定义!$B$3:$C$3013,2,FALSE)</f>
        <v>9020</v>
      </c>
      <c r="E2335" s="67" t="s">
        <v>363</v>
      </c>
      <c r="F2335" s="67"/>
      <c r="G2335" s="68" t="s">
        <v>1380</v>
      </c>
    </row>
    <row r="2336" spans="2:7" x14ac:dyDescent="0.15">
      <c r="B2336" s="299"/>
      <c r="C2336" s="65" t="s">
        <v>529</v>
      </c>
      <c r="D2336" s="66">
        <f>VLOOKUP(C2336,基本字段定义!$B$3:$C$3013,2,FALSE)</f>
        <v>1332</v>
      </c>
      <c r="E2336" s="67" t="s">
        <v>363</v>
      </c>
      <c r="F2336" s="67"/>
      <c r="G2336" s="68" t="s">
        <v>1381</v>
      </c>
    </row>
    <row r="2337" spans="2:7" x14ac:dyDescent="0.15">
      <c r="B2337" s="299"/>
      <c r="C2337" s="65" t="s">
        <v>616</v>
      </c>
      <c r="D2337" s="66">
        <f>VLOOKUP(C2337,基本字段定义!$B$3:$C$3013,2,FALSE)</f>
        <v>9110</v>
      </c>
      <c r="E2337" s="67" t="s">
        <v>363</v>
      </c>
      <c r="F2337" s="67"/>
      <c r="G2337" s="68" t="s">
        <v>617</v>
      </c>
    </row>
    <row r="2338" spans="2:7" x14ac:dyDescent="0.15">
      <c r="B2338" s="299"/>
      <c r="C2338" s="65" t="s">
        <v>614</v>
      </c>
      <c r="D2338" s="66">
        <f>VLOOKUP(C2338,基本字段定义!$B$3:$C$3013,2,FALSE)</f>
        <v>763</v>
      </c>
      <c r="E2338" s="67" t="s">
        <v>497</v>
      </c>
      <c r="F2338" s="67"/>
      <c r="G2338" s="68" t="s">
        <v>1256</v>
      </c>
    </row>
    <row r="2339" spans="2:7" x14ac:dyDescent="0.15">
      <c r="B2339" s="299"/>
      <c r="C2339" s="65" t="s">
        <v>612</v>
      </c>
      <c r="D2339" s="66">
        <f>VLOOKUP(C2339,基本字段定义!$B$3:$C$3013,2,FALSE)</f>
        <v>9109</v>
      </c>
      <c r="E2339" s="67" t="s">
        <v>363</v>
      </c>
      <c r="F2339" s="67"/>
      <c r="G2339" s="68" t="s">
        <v>1382</v>
      </c>
    </row>
    <row r="2340" spans="2:7" x14ac:dyDescent="0.15">
      <c r="B2340" s="299" t="s">
        <v>361</v>
      </c>
      <c r="C2340" s="69" t="s">
        <v>601</v>
      </c>
      <c r="D2340" s="70">
        <f>VLOOKUP(C2340,基本字段定义!$B$3:$C$3013,2,FALSE)</f>
        <v>797</v>
      </c>
      <c r="E2340" s="71" t="s">
        <v>365</v>
      </c>
      <c r="F2340" s="71"/>
      <c r="G2340" s="72" t="s">
        <v>1383</v>
      </c>
    </row>
    <row r="2341" spans="2:7" x14ac:dyDescent="0.15">
      <c r="B2341" s="299"/>
      <c r="C2341" s="69" t="s">
        <v>1384</v>
      </c>
      <c r="D2341" s="70">
        <f>VLOOKUP(C2341,基本字段定义!$B$3:$C$3013,2,FALSE)</f>
        <v>9061</v>
      </c>
      <c r="E2341" s="71" t="s">
        <v>363</v>
      </c>
      <c r="F2341" s="71"/>
      <c r="G2341" s="73" t="s">
        <v>619</v>
      </c>
    </row>
    <row r="2342" spans="2:7" x14ac:dyDescent="0.15">
      <c r="B2342" s="299"/>
      <c r="C2342" s="69" t="s">
        <v>1163</v>
      </c>
      <c r="D2342" s="70">
        <f>VLOOKUP(C2342,基本字段定义!$B$3:$C$3013,2,FALSE)</f>
        <v>1240</v>
      </c>
      <c r="E2342" s="71" t="s">
        <v>363</v>
      </c>
      <c r="F2342" s="71"/>
      <c r="G2342" s="73" t="s">
        <v>975</v>
      </c>
    </row>
    <row r="2343" spans="2:7" x14ac:dyDescent="0.15">
      <c r="B2343" s="299"/>
      <c r="C2343" s="69" t="s">
        <v>916</v>
      </c>
      <c r="D2343" s="70">
        <f>VLOOKUP(C2343,基本字段定义!$B$3:$C$3013,2,FALSE)</f>
        <v>681</v>
      </c>
      <c r="E2343" s="71" t="s">
        <v>363</v>
      </c>
      <c r="F2343" s="71"/>
      <c r="G2343" s="73" t="s">
        <v>918</v>
      </c>
    </row>
    <row r="2344" spans="2:7" x14ac:dyDescent="0.15">
      <c r="B2344" s="299"/>
      <c r="C2344" s="69" t="s">
        <v>875</v>
      </c>
      <c r="D2344" s="70">
        <f>VLOOKUP(C2344,基本字段定义!$B$3:$C$3013,2,FALSE)</f>
        <v>595</v>
      </c>
      <c r="E2344" s="71" t="s">
        <v>363</v>
      </c>
      <c r="F2344" s="71"/>
      <c r="G2344" s="115" t="s">
        <v>1385</v>
      </c>
    </row>
    <row r="2345" spans="2:7" x14ac:dyDescent="0.15">
      <c r="B2345" s="299"/>
      <c r="C2345" s="69" t="s">
        <v>387</v>
      </c>
      <c r="D2345" s="70">
        <f>VLOOKUP(C2345,基本字段定义!$B$3:$C$3013,2,FALSE)</f>
        <v>599</v>
      </c>
      <c r="E2345" s="71" t="s">
        <v>365</v>
      </c>
      <c r="F2345" s="71"/>
      <c r="G2345" s="73" t="s">
        <v>389</v>
      </c>
    </row>
    <row r="2346" spans="2:7" x14ac:dyDescent="0.15">
      <c r="B2346" s="299"/>
      <c r="C2346" s="69" t="s">
        <v>431</v>
      </c>
      <c r="D2346" s="70">
        <f>VLOOKUP(C2346,基本字段定义!$B$3:$C$3013,2,FALSE)</f>
        <v>571</v>
      </c>
      <c r="E2346" s="71" t="s">
        <v>365</v>
      </c>
      <c r="F2346" s="71"/>
      <c r="G2346" s="73" t="s">
        <v>433</v>
      </c>
    </row>
    <row r="2347" spans="2:7" x14ac:dyDescent="0.15">
      <c r="B2347" s="299"/>
      <c r="C2347" s="69" t="s">
        <v>666</v>
      </c>
      <c r="D2347" s="70">
        <f>VLOOKUP(C2347,基本字段定义!$B$3:$C$3013,2,FALSE)</f>
        <v>719</v>
      </c>
      <c r="E2347" s="71" t="s">
        <v>365</v>
      </c>
      <c r="F2347" s="71"/>
      <c r="G2347" s="73" t="s">
        <v>683</v>
      </c>
    </row>
    <row r="2348" spans="2:7" x14ac:dyDescent="0.15">
      <c r="B2348" s="299"/>
      <c r="C2348" s="69" t="s">
        <v>685</v>
      </c>
      <c r="D2348" s="70">
        <f>VLOOKUP(C2348,基本字段定义!$B$3:$C$3013,2,FALSE)</f>
        <v>722</v>
      </c>
      <c r="E2348" s="71" t="s">
        <v>365</v>
      </c>
      <c r="F2348" s="71"/>
      <c r="G2348" s="73" t="s">
        <v>686</v>
      </c>
    </row>
    <row r="2349" spans="2:7" x14ac:dyDescent="0.15">
      <c r="B2349" s="299"/>
      <c r="C2349" s="69" t="s">
        <v>550</v>
      </c>
      <c r="D2349" s="70">
        <f>VLOOKUP(C2349,基本字段定义!$B$3:$C$3013,2,FALSE)</f>
        <v>511</v>
      </c>
      <c r="E2349" s="71" t="s">
        <v>365</v>
      </c>
      <c r="F2349" s="71"/>
      <c r="G2349" s="73" t="s">
        <v>551</v>
      </c>
    </row>
    <row r="2350" spans="2:7" x14ac:dyDescent="0.15">
      <c r="B2350" s="299"/>
      <c r="C2350" s="69" t="s">
        <v>1386</v>
      </c>
      <c r="D2350" s="70">
        <f>VLOOKUP(C2350,基本字段定义!$B$3:$C$3013,2,FALSE)</f>
        <v>1825</v>
      </c>
      <c r="E2350" s="71" t="s">
        <v>363</v>
      </c>
      <c r="F2350" s="71"/>
      <c r="G2350" s="73" t="s">
        <v>1387</v>
      </c>
    </row>
    <row r="2351" spans="2:7" x14ac:dyDescent="0.15">
      <c r="B2351" s="299"/>
      <c r="C2351" s="69" t="s">
        <v>1204</v>
      </c>
      <c r="D2351" s="70">
        <f>VLOOKUP(C2351,基本字段定义!$B$3:$C$3013,2,FALSE)</f>
        <v>652</v>
      </c>
      <c r="E2351" s="71" t="s">
        <v>563</v>
      </c>
      <c r="F2351" s="71"/>
      <c r="G2351" s="73" t="s">
        <v>1205</v>
      </c>
    </row>
    <row r="2352" spans="2:7" x14ac:dyDescent="0.15">
      <c r="B2352" s="299"/>
      <c r="C2352" s="69" t="s">
        <v>1388</v>
      </c>
      <c r="D2352" s="70">
        <f>VLOOKUP(C2352,基本字段定义!$B$3:$C$3013,2,FALSE)</f>
        <v>1826</v>
      </c>
      <c r="E2352" s="71" t="s">
        <v>363</v>
      </c>
      <c r="F2352" s="71"/>
      <c r="G2352" s="73" t="s">
        <v>1389</v>
      </c>
    </row>
    <row r="2353" spans="2:7" x14ac:dyDescent="0.15">
      <c r="B2353" s="299"/>
      <c r="C2353" s="69" t="s">
        <v>1206</v>
      </c>
      <c r="D2353" s="70">
        <f>VLOOKUP(C2353,基本字段定义!$B$3:$C$3013,2,FALSE)</f>
        <v>1823</v>
      </c>
      <c r="E2353" s="71" t="s">
        <v>563</v>
      </c>
      <c r="F2353" s="71"/>
      <c r="G2353" s="73" t="s">
        <v>1207</v>
      </c>
    </row>
    <row r="2354" spans="2:7" x14ac:dyDescent="0.15">
      <c r="B2354" s="299"/>
      <c r="C2354" s="69" t="s">
        <v>1390</v>
      </c>
      <c r="D2354" s="70">
        <f>VLOOKUP(C2354,基本字段定义!$B$3:$C$3013,2,FALSE)</f>
        <v>1827</v>
      </c>
      <c r="E2354" s="71" t="s">
        <v>363</v>
      </c>
      <c r="F2354" s="71"/>
      <c r="G2354" s="73" t="s">
        <v>1391</v>
      </c>
    </row>
    <row r="2355" spans="2:7" x14ac:dyDescent="0.15">
      <c r="B2355" s="299"/>
      <c r="C2355" s="69" t="s">
        <v>1278</v>
      </c>
      <c r="D2355" s="70">
        <f>VLOOKUP(C2355,基本字段定义!$B$3:$C$3013,2,FALSE)</f>
        <v>1829</v>
      </c>
      <c r="E2355" s="71" t="s">
        <v>563</v>
      </c>
      <c r="F2355" s="71"/>
      <c r="G2355" s="73" t="s">
        <v>1392</v>
      </c>
    </row>
    <row r="2356" spans="2:7" x14ac:dyDescent="0.15">
      <c r="B2356" s="299"/>
      <c r="C2356" s="69" t="s">
        <v>1393</v>
      </c>
      <c r="D2356" s="70">
        <f>VLOOKUP(C2356,基本字段定义!$B$3:$C$3013,2,FALSE)</f>
        <v>1828</v>
      </c>
      <c r="E2356" s="71" t="s">
        <v>363</v>
      </c>
      <c r="F2356" s="71"/>
      <c r="G2356" s="73" t="s">
        <v>1394</v>
      </c>
    </row>
    <row r="2357" spans="2:7" x14ac:dyDescent="0.15">
      <c r="B2357" s="299"/>
      <c r="C2357" s="69" t="s">
        <v>1280</v>
      </c>
      <c r="D2357" s="70">
        <f>VLOOKUP(C2357,基本字段定义!$B$3:$C$3013,2,FALSE)</f>
        <v>1830</v>
      </c>
      <c r="E2357" s="71" t="s">
        <v>563</v>
      </c>
      <c r="F2357" s="71"/>
      <c r="G2357" s="73" t="s">
        <v>1395</v>
      </c>
    </row>
    <row r="2358" spans="2:7" x14ac:dyDescent="0.15">
      <c r="B2358" s="300"/>
      <c r="C2358" s="69" t="s">
        <v>1396</v>
      </c>
      <c r="D2358" s="70">
        <f>VLOOKUP(C2358,基本字段定义!$B$3:$C$3013,2,FALSE)</f>
        <v>1831</v>
      </c>
      <c r="E2358" s="71" t="s">
        <v>363</v>
      </c>
      <c r="F2358" s="71"/>
      <c r="G2358" s="73" t="s">
        <v>1397</v>
      </c>
    </row>
    <row r="2359" spans="2:7" x14ac:dyDescent="0.15">
      <c r="B2359" s="300"/>
      <c r="C2359" s="69" t="s">
        <v>1398</v>
      </c>
      <c r="D2359" s="70">
        <f>VLOOKUP(C2359,基本字段定义!$B$3:$C$3013,2,FALSE)</f>
        <v>1833</v>
      </c>
      <c r="E2359" s="71" t="s">
        <v>563</v>
      </c>
      <c r="F2359" s="71"/>
      <c r="G2359" s="73" t="s">
        <v>1399</v>
      </c>
    </row>
    <row r="2360" spans="2:7" x14ac:dyDescent="0.15">
      <c r="B2360" s="300"/>
      <c r="C2360" s="69" t="s">
        <v>1400</v>
      </c>
      <c r="D2360" s="70">
        <f>VLOOKUP(C2360,基本字段定义!$B$3:$C$3013,2,FALSE)</f>
        <v>1832</v>
      </c>
      <c r="E2360" s="71" t="s">
        <v>363</v>
      </c>
      <c r="F2360" s="71"/>
      <c r="G2360" s="73" t="s">
        <v>1401</v>
      </c>
    </row>
    <row r="2361" spans="2:7" x14ac:dyDescent="0.15">
      <c r="B2361" s="300"/>
      <c r="C2361" s="69" t="s">
        <v>1402</v>
      </c>
      <c r="D2361" s="70">
        <f>VLOOKUP(C2361,基本字段定义!$B$3:$C$3013,2,FALSE)</f>
        <v>1834</v>
      </c>
      <c r="E2361" s="71" t="s">
        <v>563</v>
      </c>
      <c r="F2361" s="71"/>
      <c r="G2361" s="73" t="s">
        <v>1403</v>
      </c>
    </row>
    <row r="2362" spans="2:7" x14ac:dyDescent="0.15">
      <c r="B2362" s="300"/>
      <c r="C2362" s="69" t="s">
        <v>1404</v>
      </c>
      <c r="D2362" s="70">
        <f>VLOOKUP(C2362,基本字段定义!$B$3:$C$3013,2,FALSE)</f>
        <v>1847</v>
      </c>
      <c r="E2362" s="71" t="s">
        <v>563</v>
      </c>
      <c r="F2362" s="71"/>
      <c r="G2362" s="73" t="s">
        <v>1405</v>
      </c>
    </row>
    <row r="2363" spans="2:7" x14ac:dyDescent="0.15">
      <c r="B2363" s="300"/>
      <c r="C2363" s="69" t="s">
        <v>1406</v>
      </c>
      <c r="D2363" s="70">
        <f>VLOOKUP(C2363,基本字段定义!$B$3:$C$3013,2,FALSE)</f>
        <v>1733</v>
      </c>
      <c r="E2363" s="71" t="s">
        <v>563</v>
      </c>
      <c r="F2363" s="71"/>
      <c r="G2363" s="73" t="s">
        <v>1407</v>
      </c>
    </row>
    <row r="2364" spans="2:7" x14ac:dyDescent="0.15">
      <c r="B2364" s="300"/>
      <c r="C2364" s="69" t="s">
        <v>1408</v>
      </c>
      <c r="D2364" s="70">
        <f>VLOOKUP(C2364,基本字段定义!$B$3:$C$3013,2,FALSE)</f>
        <v>1848</v>
      </c>
      <c r="E2364" s="71" t="s">
        <v>363</v>
      </c>
      <c r="F2364" s="71"/>
      <c r="G2364" s="73" t="s">
        <v>1409</v>
      </c>
    </row>
    <row r="2365" spans="2:7" x14ac:dyDescent="0.15">
      <c r="B2365" s="300"/>
      <c r="C2365" s="69" t="s">
        <v>1410</v>
      </c>
      <c r="D2365" s="70">
        <f>VLOOKUP(C2365,基本字段定义!$B$3:$C$3013,2,FALSE)</f>
        <v>1941</v>
      </c>
      <c r="E2365" s="71" t="s">
        <v>363</v>
      </c>
      <c r="F2365" s="71"/>
      <c r="G2365" s="73" t="s">
        <v>1358</v>
      </c>
    </row>
    <row r="2366" spans="2:7" x14ac:dyDescent="0.15">
      <c r="B2366" s="300"/>
      <c r="C2366" s="69" t="s">
        <v>1411</v>
      </c>
      <c r="D2366" s="70">
        <f>VLOOKUP(C2366,基本字段定义!$B$3:$C$3013,2,FALSE)</f>
        <v>540</v>
      </c>
      <c r="E2366" s="71" t="s">
        <v>563</v>
      </c>
      <c r="F2366" s="71"/>
      <c r="G2366" s="73" t="s">
        <v>1412</v>
      </c>
    </row>
    <row r="2367" spans="2:7" x14ac:dyDescent="0.15">
      <c r="B2367" s="300"/>
      <c r="C2367" s="69" t="s">
        <v>1413</v>
      </c>
      <c r="D2367" s="70">
        <f>VLOOKUP(C2367,基本字段定义!$B$3:$C$3013,2,FALSE)</f>
        <v>1837</v>
      </c>
      <c r="E2367" s="71" t="s">
        <v>363</v>
      </c>
      <c r="F2367" s="71"/>
      <c r="G2367" s="73" t="s">
        <v>1414</v>
      </c>
    </row>
    <row r="2368" spans="2:7" x14ac:dyDescent="0.15">
      <c r="B2368" s="300"/>
      <c r="C2368" s="69" t="s">
        <v>1415</v>
      </c>
      <c r="D2368" s="70">
        <f>VLOOKUP(C2368,基本字段定义!$B$3:$C$3013,2,FALSE)</f>
        <v>1838</v>
      </c>
      <c r="E2368" s="71" t="s">
        <v>363</v>
      </c>
      <c r="F2368" s="71"/>
      <c r="G2368" s="73" t="s">
        <v>1416</v>
      </c>
    </row>
    <row r="2369" spans="2:7" x14ac:dyDescent="0.15">
      <c r="B2369" s="300"/>
      <c r="C2369" s="69" t="s">
        <v>1417</v>
      </c>
      <c r="D2369" s="70">
        <f>VLOOKUP(C2369,基本字段定义!$B$3:$C$3013,2,FALSE)</f>
        <v>1835</v>
      </c>
      <c r="E2369" s="71" t="s">
        <v>363</v>
      </c>
      <c r="F2369" s="71"/>
      <c r="G2369" s="73" t="s">
        <v>1418</v>
      </c>
    </row>
    <row r="2370" spans="2:7" x14ac:dyDescent="0.15">
      <c r="B2370" s="300"/>
      <c r="C2370" s="69" t="s">
        <v>1310</v>
      </c>
      <c r="D2370" s="70">
        <f>VLOOKUP(C2370,基本字段定义!$B$3:$C$3013,2,FALSE)</f>
        <v>1859</v>
      </c>
      <c r="E2370" s="71" t="s">
        <v>563</v>
      </c>
      <c r="F2370" s="71"/>
      <c r="G2370" s="73" t="s">
        <v>1311</v>
      </c>
    </row>
    <row r="2371" spans="2:7" x14ac:dyDescent="0.15">
      <c r="B2371" s="300"/>
      <c r="C2371" s="69" t="s">
        <v>1312</v>
      </c>
      <c r="D2371" s="70">
        <f>VLOOKUP(C2371,基本字段定义!$B$3:$C$3013,2,FALSE)</f>
        <v>1860</v>
      </c>
      <c r="E2371" s="71" t="s">
        <v>563</v>
      </c>
      <c r="F2371" s="71"/>
      <c r="G2371" s="73" t="s">
        <v>1313</v>
      </c>
    </row>
    <row r="2372" spans="2:7" x14ac:dyDescent="0.15">
      <c r="B2372" s="300"/>
      <c r="C2372" s="69" t="s">
        <v>1301</v>
      </c>
      <c r="D2372" s="70">
        <f>VLOOKUP(C2372,基本字段定义!$B$3:$C$3013,2,FALSE)</f>
        <v>621</v>
      </c>
      <c r="E2372" s="71" t="s">
        <v>563</v>
      </c>
      <c r="F2372" s="71"/>
      <c r="G2372" s="73" t="s">
        <v>1419</v>
      </c>
    </row>
    <row r="2373" spans="2:7" x14ac:dyDescent="0.15">
      <c r="B2373" s="300"/>
      <c r="C2373" s="69" t="s">
        <v>1420</v>
      </c>
      <c r="D2373" s="70">
        <f>VLOOKUP(C2373,基本字段定义!$B$3:$C$3013,2,FALSE)</f>
        <v>774</v>
      </c>
      <c r="E2373" s="71" t="s">
        <v>563</v>
      </c>
      <c r="F2373" s="71"/>
      <c r="G2373" s="73" t="s">
        <v>1421</v>
      </c>
    </row>
    <row r="2374" spans="2:7" x14ac:dyDescent="0.15">
      <c r="B2374" s="300"/>
      <c r="C2374" s="69" t="s">
        <v>765</v>
      </c>
      <c r="D2374" s="70">
        <f>VLOOKUP(C2374,基本字段定义!$B$3:$C$3013,2,FALSE)</f>
        <v>9108</v>
      </c>
      <c r="E2374" s="71" t="s">
        <v>363</v>
      </c>
      <c r="F2374" s="71"/>
      <c r="G2374" s="115" t="s">
        <v>1422</v>
      </c>
    </row>
    <row r="2375" spans="2:7" x14ac:dyDescent="0.15">
      <c r="B2375" s="300"/>
      <c r="C2375" s="69" t="s">
        <v>1423</v>
      </c>
      <c r="D2375" s="70">
        <f>VLOOKUP(C2375,基本字段定义!$B$3:$C$3013,2,FALSE)</f>
        <v>620</v>
      </c>
      <c r="E2375" s="71" t="s">
        <v>563</v>
      </c>
      <c r="F2375" s="71"/>
      <c r="G2375" s="73" t="s">
        <v>1424</v>
      </c>
    </row>
    <row r="2376" spans="2:7" x14ac:dyDescent="0.15">
      <c r="B2376" s="300"/>
      <c r="C2376" s="69" t="s">
        <v>1217</v>
      </c>
      <c r="D2376" s="70">
        <f>VLOOKUP(C2376,基本字段定义!$B$3:$C$3013,2,FALSE)</f>
        <v>1800</v>
      </c>
      <c r="E2376" s="71" t="s">
        <v>363</v>
      </c>
      <c r="F2376" s="71"/>
      <c r="G2376" s="115" t="s">
        <v>1218</v>
      </c>
    </row>
    <row r="2377" spans="2:7" x14ac:dyDescent="0.15">
      <c r="B2377" s="300"/>
      <c r="C2377" s="69" t="s">
        <v>1377</v>
      </c>
      <c r="D2377" s="70">
        <f>VLOOKUP(C2377,基本字段定义!$B$3:$C$3013,2,FALSE)</f>
        <v>1887</v>
      </c>
      <c r="E2377" s="71" t="s">
        <v>363</v>
      </c>
      <c r="F2377" s="71"/>
      <c r="G2377" s="115" t="s">
        <v>1425</v>
      </c>
    </row>
    <row r="2378" spans="2:7" x14ac:dyDescent="0.15">
      <c r="B2378" s="300"/>
      <c r="C2378" s="69" t="s">
        <v>1426</v>
      </c>
      <c r="D2378" s="70">
        <f>VLOOKUP(C2378,基本字段定义!$B$3:$C$3013,2,FALSE)</f>
        <v>1246</v>
      </c>
      <c r="E2378" s="71" t="s">
        <v>563</v>
      </c>
      <c r="F2378" s="71"/>
      <c r="G2378" s="73" t="s">
        <v>1427</v>
      </c>
    </row>
    <row r="2379" spans="2:7" x14ac:dyDescent="0.15">
      <c r="B2379" s="300"/>
      <c r="C2379" s="69" t="s">
        <v>1152</v>
      </c>
      <c r="D2379" s="70">
        <f>VLOOKUP(C2379,基本字段定义!$B$3:$C$3013,2,FALSE)</f>
        <v>9254</v>
      </c>
      <c r="E2379" s="71" t="s">
        <v>563</v>
      </c>
      <c r="F2379" s="71"/>
      <c r="G2379" s="73" t="s">
        <v>1428</v>
      </c>
    </row>
    <row r="2380" spans="2:7" x14ac:dyDescent="0.15">
      <c r="B2380" s="300"/>
      <c r="C2380" s="69" t="s">
        <v>565</v>
      </c>
      <c r="D2380" s="70">
        <f>VLOOKUP(C2380,基本字段定义!$B$3:$C$3013,2,FALSE)</f>
        <v>826</v>
      </c>
      <c r="E2380" s="71" t="s">
        <v>563</v>
      </c>
      <c r="F2380" s="71"/>
      <c r="G2380" s="73" t="s">
        <v>1429</v>
      </c>
    </row>
    <row r="2381" spans="2:7" x14ac:dyDescent="0.15">
      <c r="B2381" s="300"/>
      <c r="C2381" s="69" t="s">
        <v>968</v>
      </c>
      <c r="D2381" s="70">
        <f>VLOOKUP(C2381,基本字段定义!$B$3:$C$3013,2,FALSE)</f>
        <v>646</v>
      </c>
      <c r="E2381" s="71" t="s">
        <v>563</v>
      </c>
      <c r="F2381" s="71"/>
      <c r="G2381" s="73" t="s">
        <v>1430</v>
      </c>
    </row>
    <row r="2382" spans="2:7" x14ac:dyDescent="0.15">
      <c r="B2382" s="300"/>
      <c r="C2382" s="69" t="s">
        <v>623</v>
      </c>
      <c r="D2382" s="70">
        <f>VLOOKUP(C2382,基本字段定义!$B$3:$C$3013,2,FALSE)</f>
        <v>9115</v>
      </c>
      <c r="E2382" s="71" t="s">
        <v>563</v>
      </c>
      <c r="F2382" s="71"/>
      <c r="G2382" s="73" t="s">
        <v>1431</v>
      </c>
    </row>
    <row r="2383" spans="2:7" x14ac:dyDescent="0.15">
      <c r="B2383" s="300"/>
      <c r="C2383" s="69" t="s">
        <v>847</v>
      </c>
      <c r="D2383" s="70">
        <f>VLOOKUP(C2383,基本字段定义!$B$3:$C$3013,2,FALSE)</f>
        <v>758</v>
      </c>
      <c r="E2383" s="71" t="s">
        <v>363</v>
      </c>
      <c r="F2383" s="71"/>
      <c r="G2383" s="73" t="s">
        <v>1432</v>
      </c>
    </row>
    <row r="2384" spans="2:7" x14ac:dyDescent="0.15">
      <c r="B2384" s="300"/>
      <c r="C2384" s="69" t="s">
        <v>1433</v>
      </c>
      <c r="D2384" s="70">
        <f>VLOOKUP(C2384,基本字段定义!$B$3:$C$3013,2,FALSE)</f>
        <v>1824</v>
      </c>
      <c r="E2384" s="71" t="s">
        <v>363</v>
      </c>
      <c r="F2384" s="71"/>
      <c r="G2384" s="73" t="s">
        <v>1434</v>
      </c>
    </row>
    <row r="2385" spans="2:7" x14ac:dyDescent="0.15">
      <c r="B2385" s="300"/>
      <c r="C2385" s="69" t="s">
        <v>789</v>
      </c>
      <c r="D2385" s="70">
        <f>VLOOKUP(C2385,基本字段定义!$B$3:$C$3013,2,FALSE)</f>
        <v>9136</v>
      </c>
      <c r="E2385" s="71" t="s">
        <v>563</v>
      </c>
      <c r="F2385" s="71"/>
      <c r="G2385" s="73" t="s">
        <v>1435</v>
      </c>
    </row>
    <row r="2386" spans="2:7" x14ac:dyDescent="0.15">
      <c r="B2386" s="300"/>
      <c r="C2386" s="69" t="s">
        <v>1272</v>
      </c>
      <c r="D2386" s="70">
        <f>VLOOKUP(C2386,基本字段定义!$B$3:$C$3013,2,FALSE)</f>
        <v>805</v>
      </c>
      <c r="E2386" s="71" t="s">
        <v>563</v>
      </c>
      <c r="F2386" s="71"/>
      <c r="G2386" s="73" t="s">
        <v>1436</v>
      </c>
    </row>
    <row r="2387" spans="2:7" x14ac:dyDescent="0.15">
      <c r="B2387" s="300"/>
      <c r="C2387" s="69" t="s">
        <v>1437</v>
      </c>
      <c r="D2387" s="70">
        <f>VLOOKUP(C2387,基本字段定义!$B$3:$C$3013,2,FALSE)</f>
        <v>1939</v>
      </c>
      <c r="E2387" s="71" t="s">
        <v>363</v>
      </c>
      <c r="F2387" s="71"/>
      <c r="G2387" s="73" t="s">
        <v>1438</v>
      </c>
    </row>
    <row r="2388" spans="2:7" x14ac:dyDescent="0.15">
      <c r="B2388" s="300"/>
      <c r="C2388" s="69" t="s">
        <v>573</v>
      </c>
      <c r="D2388" s="70">
        <f>VLOOKUP(C2388,基本字段定义!$B$3:$C$3013,2,FALSE)</f>
        <v>760</v>
      </c>
      <c r="E2388" s="71" t="s">
        <v>563</v>
      </c>
      <c r="F2388" s="71"/>
      <c r="G2388" s="73" t="s">
        <v>1439</v>
      </c>
    </row>
    <row r="2389" spans="2:7" x14ac:dyDescent="0.15">
      <c r="B2389" s="300"/>
      <c r="C2389" s="69" t="s">
        <v>1440</v>
      </c>
      <c r="D2389" s="70">
        <f>VLOOKUP(C2389,基本字段定义!$B$3:$C$3013,2,FALSE)</f>
        <v>1641</v>
      </c>
      <c r="E2389" s="71" t="s">
        <v>563</v>
      </c>
      <c r="F2389" s="71"/>
      <c r="G2389" s="73" t="s">
        <v>1441</v>
      </c>
    </row>
    <row r="2390" spans="2:7" x14ac:dyDescent="0.15">
      <c r="B2390" s="300"/>
      <c r="C2390" s="69" t="s">
        <v>1442</v>
      </c>
      <c r="D2390" s="70">
        <f>VLOOKUP(C2390,基本字段定义!$B$3:$C$3013,2,FALSE)</f>
        <v>1642</v>
      </c>
      <c r="E2390" s="71" t="s">
        <v>563</v>
      </c>
      <c r="F2390" s="71"/>
      <c r="G2390" s="73" t="s">
        <v>1443</v>
      </c>
    </row>
    <row r="2391" spans="2:7" x14ac:dyDescent="0.15">
      <c r="B2391" s="300"/>
      <c r="C2391" s="69" t="s">
        <v>1305</v>
      </c>
      <c r="D2391" s="70">
        <f>VLOOKUP(C2391,基本字段定义!$B$3:$C$3013,2,FALSE)</f>
        <v>1075</v>
      </c>
      <c r="E2391" s="71" t="s">
        <v>563</v>
      </c>
      <c r="F2391" s="71"/>
      <c r="G2391" s="73" t="s">
        <v>1306</v>
      </c>
    </row>
    <row r="2392" spans="2:7" x14ac:dyDescent="0.15">
      <c r="B2392" s="300"/>
      <c r="C2392" s="69" t="s">
        <v>1307</v>
      </c>
      <c r="D2392" s="70">
        <f>VLOOKUP(C2392,基本字段定义!$B$3:$C$3013,2,FALSE)</f>
        <v>1076</v>
      </c>
      <c r="E2392" s="71" t="s">
        <v>563</v>
      </c>
      <c r="F2392" s="71"/>
      <c r="G2392" s="73" t="s">
        <v>1444</v>
      </c>
    </row>
    <row r="2393" spans="2:7" x14ac:dyDescent="0.15">
      <c r="B2393" s="300"/>
      <c r="C2393" s="69" t="s">
        <v>1445</v>
      </c>
      <c r="D2393" s="70">
        <v>974</v>
      </c>
      <c r="E2393" s="71" t="s">
        <v>1446</v>
      </c>
      <c r="F2393" s="71"/>
      <c r="G2393" s="73" t="s">
        <v>1447</v>
      </c>
    </row>
    <row r="2394" spans="2:7" x14ac:dyDescent="0.15">
      <c r="B2394" s="300"/>
      <c r="C2394" s="69" t="s">
        <v>1448</v>
      </c>
      <c r="D2394" s="70">
        <v>799</v>
      </c>
      <c r="E2394" s="71" t="s">
        <v>1446</v>
      </c>
      <c r="F2394" s="71"/>
      <c r="G2394" s="73" t="s">
        <v>1449</v>
      </c>
    </row>
    <row r="2395" spans="2:7" x14ac:dyDescent="0.15">
      <c r="B2395" s="300"/>
      <c r="C2395" s="91" t="s">
        <v>1450</v>
      </c>
      <c r="D2395" s="70">
        <v>800</v>
      </c>
      <c r="E2395" s="92" t="s">
        <v>363</v>
      </c>
      <c r="F2395" s="92"/>
      <c r="G2395" s="94" t="s">
        <v>1451</v>
      </c>
    </row>
    <row r="2396" spans="2:7" ht="14.25" thickBot="1" x14ac:dyDescent="0.2">
      <c r="B2396" s="304"/>
      <c r="C2396" s="75" t="s">
        <v>614</v>
      </c>
      <c r="D2396" s="83">
        <v>763</v>
      </c>
      <c r="E2396" s="77" t="s">
        <v>497</v>
      </c>
      <c r="F2396" s="77"/>
      <c r="G2396" s="78" t="s">
        <v>1256</v>
      </c>
    </row>
    <row r="2398" spans="2:7" x14ac:dyDescent="0.15">
      <c r="B2398" s="57" t="s">
        <v>163</v>
      </c>
      <c r="C2398" s="84">
        <v>204834</v>
      </c>
      <c r="D2398" s="85"/>
      <c r="E2398" s="86"/>
      <c r="F2398" s="58" t="s">
        <v>352</v>
      </c>
      <c r="G2398" s="59"/>
    </row>
    <row r="2399" spans="2:7" x14ac:dyDescent="0.15">
      <c r="B2399" s="60" t="s">
        <v>353</v>
      </c>
      <c r="C2399" s="87" t="str">
        <f>VLOOKUP(C2398,功能索引!$C$3:$D$278,2,FALSE)</f>
        <v>信用负债汇总查询</v>
      </c>
      <c r="D2399" s="88"/>
      <c r="E2399" s="89"/>
      <c r="F2399" s="61" t="s">
        <v>165</v>
      </c>
      <c r="G2399" s="62" t="str">
        <f>VLOOKUP(C2398,功能索引!$C$3:$E2417,3,FALSE)</f>
        <v>Y</v>
      </c>
    </row>
    <row r="2400" spans="2:7" x14ac:dyDescent="0.15">
      <c r="B2400" s="299" t="s">
        <v>354</v>
      </c>
      <c r="C2400" s="99"/>
      <c r="D2400" s="100"/>
      <c r="E2400" s="100"/>
      <c r="F2400" s="100"/>
      <c r="G2400" s="101"/>
    </row>
    <row r="2401" spans="2:7" ht="14.25" thickBot="1" x14ac:dyDescent="0.2">
      <c r="B2401" s="304"/>
      <c r="C2401" s="102"/>
      <c r="D2401" s="103"/>
      <c r="E2401" s="103"/>
      <c r="F2401" s="103"/>
      <c r="G2401" s="104"/>
    </row>
    <row r="2402" spans="2:7" x14ac:dyDescent="0.15">
      <c r="B2402" s="298" t="s">
        <v>355</v>
      </c>
      <c r="C2402" s="58" t="s">
        <v>356</v>
      </c>
      <c r="D2402" s="58" t="s">
        <v>357</v>
      </c>
      <c r="E2402" s="58" t="s">
        <v>358</v>
      </c>
      <c r="F2402" s="58" t="s">
        <v>359</v>
      </c>
      <c r="G2402" s="64" t="s">
        <v>360</v>
      </c>
    </row>
    <row r="2403" spans="2:7" x14ac:dyDescent="0.15">
      <c r="B2403" s="299"/>
      <c r="C2403" s="65" t="s">
        <v>428</v>
      </c>
      <c r="D2403" s="66">
        <f>VLOOKUP(C2403,基本字段定义!$B$3:$C$3013,2,FALSE)</f>
        <v>605</v>
      </c>
      <c r="E2403" s="67" t="s">
        <v>429</v>
      </c>
      <c r="F2403" s="67" t="s">
        <v>169</v>
      </c>
      <c r="G2403" s="68" t="s">
        <v>430</v>
      </c>
    </row>
    <row r="2404" spans="2:7" x14ac:dyDescent="0.15">
      <c r="B2404" s="299"/>
      <c r="C2404" s="65" t="s">
        <v>387</v>
      </c>
      <c r="D2404" s="66">
        <f>VLOOKUP(C2404,基本字段定义!$B$3:$C$3013,2,FALSE)</f>
        <v>599</v>
      </c>
      <c r="E2404" s="67" t="s">
        <v>388</v>
      </c>
      <c r="F2404" s="67"/>
      <c r="G2404" s="68" t="s">
        <v>389</v>
      </c>
    </row>
    <row r="2405" spans="2:7" x14ac:dyDescent="0.15">
      <c r="B2405" s="299"/>
      <c r="C2405" s="65" t="s">
        <v>666</v>
      </c>
      <c r="D2405" s="66">
        <f>VLOOKUP(C2405,基本字段定义!$B$3:$C$3013,2,FALSE)</f>
        <v>719</v>
      </c>
      <c r="E2405" s="67" t="s">
        <v>506</v>
      </c>
      <c r="F2405" s="67"/>
      <c r="G2405" s="68" t="s">
        <v>683</v>
      </c>
    </row>
    <row r="2406" spans="2:7" x14ac:dyDescent="0.15">
      <c r="B2406" s="299"/>
      <c r="C2406" s="65" t="s">
        <v>529</v>
      </c>
      <c r="D2406" s="66">
        <f>VLOOKUP(C2406,基本字段定义!$B$3:$C$3013,2,FALSE)</f>
        <v>1332</v>
      </c>
      <c r="E2406" s="67" t="s">
        <v>363</v>
      </c>
      <c r="F2406" s="67"/>
      <c r="G2406" s="68" t="s">
        <v>1381</v>
      </c>
    </row>
    <row r="2407" spans="2:7" x14ac:dyDescent="0.15">
      <c r="B2407" s="299" t="s">
        <v>361</v>
      </c>
      <c r="C2407" s="69" t="s">
        <v>387</v>
      </c>
      <c r="D2407" s="70">
        <f>VLOOKUP(C2407,基本字段定义!$B$3:$C$3013,2,FALSE)</f>
        <v>599</v>
      </c>
      <c r="E2407" s="71" t="s">
        <v>365</v>
      </c>
      <c r="F2407" s="71"/>
      <c r="G2407" s="72" t="s">
        <v>389</v>
      </c>
    </row>
    <row r="2408" spans="2:7" x14ac:dyDescent="0.15">
      <c r="B2408" s="299"/>
      <c r="C2408" s="69" t="s">
        <v>431</v>
      </c>
      <c r="D2408" s="70">
        <f>VLOOKUP(C2408,基本字段定义!$B$3:$C$3013,2,FALSE)</f>
        <v>571</v>
      </c>
      <c r="E2408" s="71" t="s">
        <v>365</v>
      </c>
      <c r="F2408" s="71"/>
      <c r="G2408" s="73" t="s">
        <v>433</v>
      </c>
    </row>
    <row r="2409" spans="2:7" x14ac:dyDescent="0.15">
      <c r="B2409" s="299"/>
      <c r="C2409" s="69" t="s">
        <v>875</v>
      </c>
      <c r="D2409" s="70">
        <f>VLOOKUP(C2409,基本字段定义!$B$3:$C$3013,2,FALSE)</f>
        <v>595</v>
      </c>
      <c r="E2409" s="71" t="s">
        <v>363</v>
      </c>
      <c r="F2409" s="71"/>
      <c r="G2409" s="115" t="s">
        <v>1385</v>
      </c>
    </row>
    <row r="2410" spans="2:7" x14ac:dyDescent="0.15">
      <c r="B2410" s="299"/>
      <c r="C2410" s="69" t="s">
        <v>666</v>
      </c>
      <c r="D2410" s="70">
        <f>VLOOKUP(C2410,基本字段定义!$B$3:$C$3013,2,FALSE)</f>
        <v>719</v>
      </c>
      <c r="E2410" s="71" t="s">
        <v>365</v>
      </c>
      <c r="F2410" s="71"/>
      <c r="G2410" s="73" t="s">
        <v>683</v>
      </c>
    </row>
    <row r="2411" spans="2:7" x14ac:dyDescent="0.15">
      <c r="B2411" s="299"/>
      <c r="C2411" s="69" t="s">
        <v>685</v>
      </c>
      <c r="D2411" s="70">
        <f>VLOOKUP(C2411,基本字段定义!$B$3:$C$3013,2,FALSE)</f>
        <v>722</v>
      </c>
      <c r="E2411" s="71" t="s">
        <v>365</v>
      </c>
      <c r="F2411" s="71"/>
      <c r="G2411" s="73" t="s">
        <v>686</v>
      </c>
    </row>
    <row r="2412" spans="2:7" x14ac:dyDescent="0.15">
      <c r="B2412" s="299"/>
      <c r="C2412" s="69" t="s">
        <v>550</v>
      </c>
      <c r="D2412" s="70">
        <f>VLOOKUP(C2412,基本字段定义!$B$3:$C$3013,2,FALSE)</f>
        <v>511</v>
      </c>
      <c r="E2412" s="71" t="s">
        <v>365</v>
      </c>
      <c r="F2412" s="71"/>
      <c r="G2412" s="73" t="s">
        <v>551</v>
      </c>
    </row>
    <row r="2413" spans="2:7" x14ac:dyDescent="0.15">
      <c r="B2413" s="299"/>
      <c r="C2413" s="69" t="s">
        <v>1386</v>
      </c>
      <c r="D2413" s="70">
        <f>VLOOKUP(C2413,基本字段定义!$B$3:$C$3013,2,FALSE)</f>
        <v>1825</v>
      </c>
      <c r="E2413" s="71" t="s">
        <v>363</v>
      </c>
      <c r="F2413" s="71"/>
      <c r="G2413" s="73" t="s">
        <v>1387</v>
      </c>
    </row>
    <row r="2414" spans="2:7" x14ac:dyDescent="0.15">
      <c r="B2414" s="299"/>
      <c r="C2414" s="69" t="s">
        <v>1204</v>
      </c>
      <c r="D2414" s="70">
        <f>VLOOKUP(C2414,基本字段定义!$B$3:$C$3013,2,FALSE)</f>
        <v>652</v>
      </c>
      <c r="E2414" s="71" t="s">
        <v>563</v>
      </c>
      <c r="F2414" s="71"/>
      <c r="G2414" s="73" t="s">
        <v>1205</v>
      </c>
    </row>
    <row r="2415" spans="2:7" x14ac:dyDescent="0.15">
      <c r="B2415" s="299"/>
      <c r="C2415" s="69" t="s">
        <v>1388</v>
      </c>
      <c r="D2415" s="70">
        <f>VLOOKUP(C2415,基本字段定义!$B$3:$C$3013,2,FALSE)</f>
        <v>1826</v>
      </c>
      <c r="E2415" s="71" t="s">
        <v>363</v>
      </c>
      <c r="F2415" s="71"/>
      <c r="G2415" s="73" t="s">
        <v>1389</v>
      </c>
    </row>
    <row r="2416" spans="2:7" x14ac:dyDescent="0.15">
      <c r="B2416" s="299"/>
      <c r="C2416" s="69" t="s">
        <v>1206</v>
      </c>
      <c r="D2416" s="70">
        <f>VLOOKUP(C2416,基本字段定义!$B$3:$C$3013,2,FALSE)</f>
        <v>1823</v>
      </c>
      <c r="E2416" s="71" t="s">
        <v>563</v>
      </c>
      <c r="F2416" s="71"/>
      <c r="G2416" s="73" t="s">
        <v>1207</v>
      </c>
    </row>
    <row r="2417" spans="2:7" x14ac:dyDescent="0.15">
      <c r="B2417" s="299"/>
      <c r="C2417" s="69" t="s">
        <v>1390</v>
      </c>
      <c r="D2417" s="70">
        <f>VLOOKUP(C2417,基本字段定义!$B$3:$C$3013,2,FALSE)</f>
        <v>1827</v>
      </c>
      <c r="E2417" s="71" t="s">
        <v>363</v>
      </c>
      <c r="F2417" s="71"/>
      <c r="G2417" s="73" t="s">
        <v>1391</v>
      </c>
    </row>
    <row r="2418" spans="2:7" x14ac:dyDescent="0.15">
      <c r="B2418" s="299"/>
      <c r="C2418" s="69" t="s">
        <v>1278</v>
      </c>
      <c r="D2418" s="70">
        <f>VLOOKUP(C2418,基本字段定义!$B$3:$C$3013,2,FALSE)</f>
        <v>1829</v>
      </c>
      <c r="E2418" s="71" t="s">
        <v>563</v>
      </c>
      <c r="F2418" s="71"/>
      <c r="G2418" s="73" t="s">
        <v>1392</v>
      </c>
    </row>
    <row r="2419" spans="2:7" x14ac:dyDescent="0.15">
      <c r="B2419" s="299"/>
      <c r="C2419" s="69" t="s">
        <v>1393</v>
      </c>
      <c r="D2419" s="70">
        <f>VLOOKUP(C2419,基本字段定义!$B$3:$C$3013,2,FALSE)</f>
        <v>1828</v>
      </c>
      <c r="E2419" s="71" t="s">
        <v>363</v>
      </c>
      <c r="F2419" s="71"/>
      <c r="G2419" s="73" t="s">
        <v>1394</v>
      </c>
    </row>
    <row r="2420" spans="2:7" x14ac:dyDescent="0.15">
      <c r="B2420" s="299"/>
      <c r="C2420" s="69" t="s">
        <v>1280</v>
      </c>
      <c r="D2420" s="70">
        <f>VLOOKUP(C2420,基本字段定义!$B$3:$C$3013,2,FALSE)</f>
        <v>1830</v>
      </c>
      <c r="E2420" s="71" t="s">
        <v>563</v>
      </c>
      <c r="F2420" s="71"/>
      <c r="G2420" s="73" t="s">
        <v>1395</v>
      </c>
    </row>
    <row r="2421" spans="2:7" x14ac:dyDescent="0.15">
      <c r="B2421" s="299"/>
      <c r="C2421" s="69" t="s">
        <v>1396</v>
      </c>
      <c r="D2421" s="70">
        <f>VLOOKUP(C2421,基本字段定义!$B$3:$C$3013,2,FALSE)</f>
        <v>1831</v>
      </c>
      <c r="E2421" s="71" t="s">
        <v>363</v>
      </c>
      <c r="F2421" s="71"/>
      <c r="G2421" s="73" t="s">
        <v>1397</v>
      </c>
    </row>
    <row r="2422" spans="2:7" x14ac:dyDescent="0.15">
      <c r="B2422" s="299"/>
      <c r="C2422" s="69" t="s">
        <v>1398</v>
      </c>
      <c r="D2422" s="70">
        <f>VLOOKUP(C2422,基本字段定义!$B$3:$C$3013,2,FALSE)</f>
        <v>1833</v>
      </c>
      <c r="E2422" s="71" t="s">
        <v>563</v>
      </c>
      <c r="F2422" s="71"/>
      <c r="G2422" s="73" t="s">
        <v>1399</v>
      </c>
    </row>
    <row r="2423" spans="2:7" x14ac:dyDescent="0.15">
      <c r="B2423" s="299"/>
      <c r="C2423" s="69" t="s">
        <v>1400</v>
      </c>
      <c r="D2423" s="70">
        <f>VLOOKUP(C2423,基本字段定义!$B$3:$C$3013,2,FALSE)</f>
        <v>1832</v>
      </c>
      <c r="E2423" s="71" t="s">
        <v>363</v>
      </c>
      <c r="F2423" s="71"/>
      <c r="G2423" s="73" t="s">
        <v>1401</v>
      </c>
    </row>
    <row r="2424" spans="2:7" x14ac:dyDescent="0.15">
      <c r="B2424" s="299"/>
      <c r="C2424" s="69" t="s">
        <v>1402</v>
      </c>
      <c r="D2424" s="70">
        <f>VLOOKUP(C2424,基本字段定义!$B$3:$C$3013,2,FALSE)</f>
        <v>1834</v>
      </c>
      <c r="E2424" s="71" t="s">
        <v>563</v>
      </c>
      <c r="F2424" s="71"/>
      <c r="G2424" s="73" t="s">
        <v>1403</v>
      </c>
    </row>
    <row r="2425" spans="2:7" x14ac:dyDescent="0.15">
      <c r="B2425" s="299"/>
      <c r="C2425" s="69" t="s">
        <v>1404</v>
      </c>
      <c r="D2425" s="70">
        <f>VLOOKUP(C2425,基本字段定义!$B$3:$C$3013,2,FALSE)</f>
        <v>1847</v>
      </c>
      <c r="E2425" s="71" t="s">
        <v>563</v>
      </c>
      <c r="F2425" s="71"/>
      <c r="G2425" s="73" t="s">
        <v>1405</v>
      </c>
    </row>
    <row r="2426" spans="2:7" x14ac:dyDescent="0.15">
      <c r="B2426" s="300"/>
      <c r="C2426" s="69" t="s">
        <v>1406</v>
      </c>
      <c r="D2426" s="70">
        <f>VLOOKUP(C2426,基本字段定义!$B$3:$C$3013,2,FALSE)</f>
        <v>1733</v>
      </c>
      <c r="E2426" s="71" t="s">
        <v>563</v>
      </c>
      <c r="F2426" s="71"/>
      <c r="G2426" s="73" t="s">
        <v>1407</v>
      </c>
    </row>
    <row r="2427" spans="2:7" x14ac:dyDescent="0.15">
      <c r="B2427" s="300"/>
      <c r="C2427" s="69" t="s">
        <v>1408</v>
      </c>
      <c r="D2427" s="70">
        <f>VLOOKUP(C2427,基本字段定义!$B$3:$C$3013,2,FALSE)</f>
        <v>1848</v>
      </c>
      <c r="E2427" s="71" t="s">
        <v>363</v>
      </c>
      <c r="F2427" s="71"/>
      <c r="G2427" s="73" t="s">
        <v>1409</v>
      </c>
    </row>
    <row r="2428" spans="2:7" x14ac:dyDescent="0.15">
      <c r="B2428" s="300"/>
      <c r="C2428" s="69" t="s">
        <v>1410</v>
      </c>
      <c r="D2428" s="70">
        <f>VLOOKUP(C2428,基本字段定义!$B$3:$C$3013,2,FALSE)</f>
        <v>1941</v>
      </c>
      <c r="E2428" s="71" t="s">
        <v>363</v>
      </c>
      <c r="F2428" s="71"/>
      <c r="G2428" s="73" t="s">
        <v>1358</v>
      </c>
    </row>
    <row r="2429" spans="2:7" x14ac:dyDescent="0.15">
      <c r="B2429" s="300"/>
      <c r="C2429" s="69" t="s">
        <v>1411</v>
      </c>
      <c r="D2429" s="70">
        <f>VLOOKUP(C2429,基本字段定义!$B$3:$C$3013,2,FALSE)</f>
        <v>540</v>
      </c>
      <c r="E2429" s="71" t="s">
        <v>563</v>
      </c>
      <c r="F2429" s="71"/>
      <c r="G2429" s="73" t="s">
        <v>1412</v>
      </c>
    </row>
    <row r="2430" spans="2:7" x14ac:dyDescent="0.15">
      <c r="B2430" s="300"/>
      <c r="C2430" s="69" t="s">
        <v>1413</v>
      </c>
      <c r="D2430" s="70">
        <f>VLOOKUP(C2430,基本字段定义!$B$3:$C$3013,2,FALSE)</f>
        <v>1837</v>
      </c>
      <c r="E2430" s="71" t="s">
        <v>363</v>
      </c>
      <c r="F2430" s="71"/>
      <c r="G2430" s="73" t="s">
        <v>1414</v>
      </c>
    </row>
    <row r="2431" spans="2:7" x14ac:dyDescent="0.15">
      <c r="B2431" s="300"/>
      <c r="C2431" s="69" t="s">
        <v>1415</v>
      </c>
      <c r="D2431" s="70">
        <f>VLOOKUP(C2431,基本字段定义!$B$3:$C$3013,2,FALSE)</f>
        <v>1838</v>
      </c>
      <c r="E2431" s="71" t="s">
        <v>363</v>
      </c>
      <c r="F2431" s="71"/>
      <c r="G2431" s="73" t="s">
        <v>1416</v>
      </c>
    </row>
    <row r="2432" spans="2:7" x14ac:dyDescent="0.15">
      <c r="B2432" s="300"/>
      <c r="C2432" s="69" t="s">
        <v>1417</v>
      </c>
      <c r="D2432" s="70">
        <f>VLOOKUP(C2432,基本字段定义!$B$3:$C$3013,2,FALSE)</f>
        <v>1835</v>
      </c>
      <c r="E2432" s="71" t="s">
        <v>563</v>
      </c>
      <c r="F2432" s="71"/>
      <c r="G2432" s="73" t="s">
        <v>1418</v>
      </c>
    </row>
    <row r="2433" spans="2:7" x14ac:dyDescent="0.15">
      <c r="B2433" s="300"/>
      <c r="C2433" s="69" t="s">
        <v>1301</v>
      </c>
      <c r="D2433" s="70">
        <f>VLOOKUP(C2433,基本字段定义!$B$3:$C$3013,2,FALSE)</f>
        <v>621</v>
      </c>
      <c r="E2433" s="71" t="s">
        <v>563</v>
      </c>
      <c r="F2433" s="71"/>
      <c r="G2433" s="73" t="s">
        <v>1419</v>
      </c>
    </row>
    <row r="2434" spans="2:7" x14ac:dyDescent="0.15">
      <c r="B2434" s="300"/>
      <c r="C2434" s="69" t="s">
        <v>1420</v>
      </c>
      <c r="D2434" s="70">
        <f>VLOOKUP(C2434,基本字段定义!$B$3:$C$3013,2,FALSE)</f>
        <v>774</v>
      </c>
      <c r="E2434" s="71" t="s">
        <v>563</v>
      </c>
      <c r="F2434" s="71"/>
      <c r="G2434" s="73" t="s">
        <v>1421</v>
      </c>
    </row>
    <row r="2435" spans="2:7" x14ac:dyDescent="0.15">
      <c r="B2435" s="300"/>
      <c r="C2435" s="69" t="s">
        <v>1310</v>
      </c>
      <c r="D2435" s="70">
        <f>VLOOKUP(C2435,基本字段定义!$B$3:$C$3013,2,FALSE)</f>
        <v>1859</v>
      </c>
      <c r="E2435" s="71" t="s">
        <v>563</v>
      </c>
      <c r="F2435" s="71"/>
      <c r="G2435" s="73" t="s">
        <v>1311</v>
      </c>
    </row>
    <row r="2436" spans="2:7" x14ac:dyDescent="0.15">
      <c r="B2436" s="300"/>
      <c r="C2436" s="69" t="s">
        <v>1312</v>
      </c>
      <c r="D2436" s="70">
        <f>VLOOKUP(C2436,基本字段定义!$B$3:$C$3013,2,FALSE)</f>
        <v>1860</v>
      </c>
      <c r="E2436" s="71" t="s">
        <v>563</v>
      </c>
      <c r="F2436" s="71"/>
      <c r="G2436" s="73" t="s">
        <v>1313</v>
      </c>
    </row>
    <row r="2437" spans="2:7" x14ac:dyDescent="0.15">
      <c r="B2437" s="300"/>
      <c r="C2437" s="69" t="s">
        <v>1452</v>
      </c>
      <c r="D2437" s="70">
        <f>VLOOKUP(C2437,基本字段定义!$B$3:$C$3013,2,FALSE)</f>
        <v>515</v>
      </c>
      <c r="E2437" s="71" t="s">
        <v>563</v>
      </c>
      <c r="F2437" s="71"/>
      <c r="G2437" s="73" t="s">
        <v>1453</v>
      </c>
    </row>
    <row r="2438" spans="2:7" x14ac:dyDescent="0.15">
      <c r="B2438" s="300"/>
      <c r="C2438" s="69" t="s">
        <v>1454</v>
      </c>
      <c r="D2438" s="70">
        <f>VLOOKUP(C2438,基本字段定义!$B$3:$C$3013,2,FALSE)</f>
        <v>551</v>
      </c>
      <c r="E2438" s="71" t="s">
        <v>563</v>
      </c>
      <c r="F2438" s="71"/>
      <c r="G2438" s="73" t="s">
        <v>1455</v>
      </c>
    </row>
    <row r="2439" spans="2:7" x14ac:dyDescent="0.15">
      <c r="B2439" s="300"/>
      <c r="C2439" s="69" t="s">
        <v>847</v>
      </c>
      <c r="D2439" s="70">
        <f>VLOOKUP(C2439,基本字段定义!$B$3:$C$3013,2,FALSE)</f>
        <v>758</v>
      </c>
      <c r="E2439" s="71" t="s">
        <v>363</v>
      </c>
      <c r="F2439" s="71"/>
      <c r="G2439" s="73" t="s">
        <v>1456</v>
      </c>
    </row>
    <row r="2440" spans="2:7" x14ac:dyDescent="0.15">
      <c r="B2440" s="300"/>
      <c r="C2440" s="69" t="s">
        <v>1433</v>
      </c>
      <c r="D2440" s="70">
        <f>VLOOKUP(C2440,基本字段定义!$B$3:$C$3013,2,FALSE)</f>
        <v>1824</v>
      </c>
      <c r="E2440" s="71" t="s">
        <v>363</v>
      </c>
      <c r="F2440" s="71"/>
      <c r="G2440" s="73" t="s">
        <v>1457</v>
      </c>
    </row>
    <row r="2441" spans="2:7" x14ac:dyDescent="0.15">
      <c r="B2441" s="300"/>
      <c r="C2441" s="69" t="s">
        <v>789</v>
      </c>
      <c r="D2441" s="70">
        <f>VLOOKUP(C2441,基本字段定义!$B$3:$C$3013,2,FALSE)</f>
        <v>9136</v>
      </c>
      <c r="E2441" s="71" t="s">
        <v>563</v>
      </c>
      <c r="F2441" s="71"/>
      <c r="G2441" s="73" t="s">
        <v>1458</v>
      </c>
    </row>
    <row r="2442" spans="2:7" x14ac:dyDescent="0.15">
      <c r="B2442" s="300"/>
      <c r="C2442" s="69" t="s">
        <v>1272</v>
      </c>
      <c r="D2442" s="70">
        <f>VLOOKUP(C2442,基本字段定义!$B$3:$C$3013,2,FALSE)</f>
        <v>805</v>
      </c>
      <c r="E2442" s="71" t="s">
        <v>563</v>
      </c>
      <c r="F2442" s="71"/>
      <c r="G2442" s="73" t="s">
        <v>1459</v>
      </c>
    </row>
    <row r="2443" spans="2:7" x14ac:dyDescent="0.15">
      <c r="B2443" s="300"/>
      <c r="C2443" s="69" t="s">
        <v>1460</v>
      </c>
      <c r="D2443" s="70">
        <f>VLOOKUP(C2443,基本字段定义!$B$3:$C$3013,2,FALSE)</f>
        <v>932</v>
      </c>
      <c r="E2443" s="71" t="s">
        <v>563</v>
      </c>
      <c r="F2443" s="71"/>
      <c r="G2443" s="73" t="s">
        <v>1207</v>
      </c>
    </row>
    <row r="2444" spans="2:7" x14ac:dyDescent="0.15">
      <c r="B2444" s="300"/>
      <c r="C2444" s="69" t="s">
        <v>573</v>
      </c>
      <c r="D2444" s="70">
        <f>VLOOKUP(C2444,基本字段定义!$B$3:$C$3013,2,FALSE)</f>
        <v>760</v>
      </c>
      <c r="E2444" s="71" t="s">
        <v>563</v>
      </c>
      <c r="F2444" s="71"/>
      <c r="G2444" s="73" t="s">
        <v>1439</v>
      </c>
    </row>
    <row r="2445" spans="2:7" x14ac:dyDescent="0.15">
      <c r="B2445" s="300"/>
      <c r="C2445" s="69" t="s">
        <v>1440</v>
      </c>
      <c r="D2445" s="70">
        <f>VLOOKUP(C2445,基本字段定义!$B$3:$C$3013,2,FALSE)</f>
        <v>1641</v>
      </c>
      <c r="E2445" s="71" t="s">
        <v>563</v>
      </c>
      <c r="F2445" s="71"/>
      <c r="G2445" s="73" t="s">
        <v>1441</v>
      </c>
    </row>
    <row r="2446" spans="2:7" x14ac:dyDescent="0.15">
      <c r="B2446" s="300"/>
      <c r="C2446" s="69" t="s">
        <v>1442</v>
      </c>
      <c r="D2446" s="70">
        <f>VLOOKUP(C2446,基本字段定义!$B$3:$C$3013,2,FALSE)</f>
        <v>1642</v>
      </c>
      <c r="E2446" s="71" t="s">
        <v>563</v>
      </c>
      <c r="F2446" s="71"/>
      <c r="G2446" s="73" t="s">
        <v>1443</v>
      </c>
    </row>
    <row r="2447" spans="2:7" ht="14.25" thickBot="1" x14ac:dyDescent="0.2">
      <c r="B2447" s="304"/>
      <c r="C2447" s="75"/>
      <c r="D2447" s="83"/>
      <c r="E2447" s="77"/>
      <c r="F2447" s="77"/>
      <c r="G2447" s="78"/>
    </row>
    <row r="2449" spans="2:7" x14ac:dyDescent="0.15">
      <c r="B2449" s="57" t="s">
        <v>163</v>
      </c>
      <c r="C2449" s="84">
        <v>304804</v>
      </c>
      <c r="D2449" s="85"/>
      <c r="E2449" s="86"/>
      <c r="F2449" s="58" t="s">
        <v>352</v>
      </c>
      <c r="G2449" s="59"/>
    </row>
    <row r="2450" spans="2:7" x14ac:dyDescent="0.15">
      <c r="B2450" s="60" t="s">
        <v>353</v>
      </c>
      <c r="C2450" s="87" t="str">
        <f>VLOOKUP(C2449,功能索引!$C$3:$D$278,2,FALSE)</f>
        <v>信用指令信息查询</v>
      </c>
      <c r="D2450" s="88"/>
      <c r="E2450" s="89"/>
      <c r="F2450" s="61" t="s">
        <v>165</v>
      </c>
      <c r="G2450" s="62" t="str">
        <f>VLOOKUP(C2449,功能索引!$C$3:$E2468,3,FALSE)</f>
        <v>Y</v>
      </c>
    </row>
    <row r="2451" spans="2:7" x14ac:dyDescent="0.15">
      <c r="B2451" s="299" t="s">
        <v>354</v>
      </c>
      <c r="C2451" s="99"/>
      <c r="D2451" s="100"/>
      <c r="E2451" s="100"/>
      <c r="F2451" s="100"/>
      <c r="G2451" s="101"/>
    </row>
    <row r="2452" spans="2:7" ht="14.25" thickBot="1" x14ac:dyDescent="0.2">
      <c r="B2452" s="304"/>
      <c r="C2452" s="102"/>
      <c r="D2452" s="103"/>
      <c r="E2452" s="103"/>
      <c r="F2452" s="103"/>
      <c r="G2452" s="104"/>
    </row>
    <row r="2453" spans="2:7" x14ac:dyDescent="0.15">
      <c r="B2453" s="315" t="s">
        <v>355</v>
      </c>
      <c r="C2453" s="58" t="s">
        <v>356</v>
      </c>
      <c r="D2453" s="58" t="s">
        <v>357</v>
      </c>
      <c r="E2453" s="58" t="s">
        <v>358</v>
      </c>
      <c r="F2453" s="58" t="s">
        <v>359</v>
      </c>
      <c r="G2453" s="64" t="s">
        <v>360</v>
      </c>
    </row>
    <row r="2454" spans="2:7" x14ac:dyDescent="0.15">
      <c r="B2454" s="301"/>
      <c r="C2454" s="65" t="s">
        <v>428</v>
      </c>
      <c r="D2454" s="66">
        <f>VLOOKUP(C2454,基本字段定义!$B$3:$C$3013,2,FALSE)</f>
        <v>605</v>
      </c>
      <c r="E2454" s="67" t="s">
        <v>429</v>
      </c>
      <c r="F2454" s="67" t="s">
        <v>169</v>
      </c>
      <c r="G2454" s="68" t="s">
        <v>430</v>
      </c>
    </row>
    <row r="2455" spans="2:7" x14ac:dyDescent="0.15">
      <c r="B2455" s="306"/>
      <c r="C2455" s="65" t="s">
        <v>493</v>
      </c>
      <c r="D2455" s="66">
        <f>VLOOKUP(C2455,基本字段定义!$B$3:$C$3013,2,FALSE)</f>
        <v>891</v>
      </c>
      <c r="E2455" s="67" t="s">
        <v>363</v>
      </c>
      <c r="F2455" s="67"/>
      <c r="G2455" s="68" t="s">
        <v>1461</v>
      </c>
    </row>
    <row r="2456" spans="2:7" x14ac:dyDescent="0.15">
      <c r="B2456" s="299" t="s">
        <v>361</v>
      </c>
      <c r="C2456" s="69" t="s">
        <v>640</v>
      </c>
      <c r="D2456" s="70">
        <f>VLOOKUP(C2456,基本字段定义!$B$3:$C$3013,2,FALSE)</f>
        <v>912</v>
      </c>
      <c r="E2456" s="71" t="s">
        <v>365</v>
      </c>
      <c r="F2456" s="71"/>
      <c r="G2456" s="72" t="s">
        <v>1462</v>
      </c>
    </row>
    <row r="2457" spans="2:7" x14ac:dyDescent="0.15">
      <c r="B2457" s="299"/>
      <c r="C2457" s="69" t="s">
        <v>550</v>
      </c>
      <c r="D2457" s="70">
        <f>VLOOKUP(C2457,基本字段定义!$B$3:$C$3013,2,FALSE)</f>
        <v>511</v>
      </c>
      <c r="E2457" s="71" t="s">
        <v>365</v>
      </c>
      <c r="F2457" s="71"/>
      <c r="G2457" s="73" t="s">
        <v>551</v>
      </c>
    </row>
    <row r="2458" spans="2:7" x14ac:dyDescent="0.15">
      <c r="B2458" s="299"/>
      <c r="C2458" s="69" t="s">
        <v>493</v>
      </c>
      <c r="D2458" s="70">
        <f>VLOOKUP(C2458,基本字段定义!$B$3:$C$3013,2,FALSE)</f>
        <v>891</v>
      </c>
      <c r="E2458" s="71" t="s">
        <v>363</v>
      </c>
      <c r="F2458" s="71"/>
      <c r="G2458" s="73" t="s">
        <v>1461</v>
      </c>
    </row>
    <row r="2459" spans="2:7" x14ac:dyDescent="0.15">
      <c r="B2459" s="299"/>
      <c r="C2459" s="69" t="s">
        <v>765</v>
      </c>
      <c r="D2459" s="70">
        <f>VLOOKUP(C2459,基本字段定义!$B$3:$C$3013,2,FALSE)</f>
        <v>9108</v>
      </c>
      <c r="E2459" s="71" t="s">
        <v>363</v>
      </c>
      <c r="F2459" s="71"/>
      <c r="G2459" s="73" t="s">
        <v>1463</v>
      </c>
    </row>
    <row r="2460" spans="2:7" x14ac:dyDescent="0.15">
      <c r="B2460" s="299"/>
      <c r="C2460" s="69" t="s">
        <v>678</v>
      </c>
      <c r="D2460" s="70">
        <f>VLOOKUP(C2460,基本字段定义!$B$3:$C$3013,2,FALSE)</f>
        <v>1980</v>
      </c>
      <c r="E2460" s="71" t="s">
        <v>363</v>
      </c>
      <c r="F2460" s="71"/>
      <c r="G2460" s="73" t="s">
        <v>679</v>
      </c>
    </row>
    <row r="2461" spans="2:7" x14ac:dyDescent="0.15">
      <c r="B2461" s="299"/>
      <c r="C2461" s="69" t="s">
        <v>789</v>
      </c>
      <c r="D2461" s="70">
        <f>VLOOKUP(C2461,基本字段定义!$B$3:$C$3013,2,FALSE)</f>
        <v>9136</v>
      </c>
      <c r="E2461" s="71" t="s">
        <v>563</v>
      </c>
      <c r="F2461" s="71"/>
      <c r="G2461" s="73" t="s">
        <v>1464</v>
      </c>
    </row>
    <row r="2462" spans="2:7" x14ac:dyDescent="0.15">
      <c r="B2462" s="299"/>
      <c r="C2462" s="69" t="s">
        <v>1189</v>
      </c>
      <c r="D2462" s="70">
        <f>VLOOKUP(C2462,基本字段定义!$B$3:$C$3013,2,FALSE)</f>
        <v>1262</v>
      </c>
      <c r="E2462" s="71" t="s">
        <v>365</v>
      </c>
      <c r="F2462" s="71"/>
      <c r="G2462" s="73" t="s">
        <v>1465</v>
      </c>
    </row>
    <row r="2463" spans="2:7" ht="14.25" thickBot="1" x14ac:dyDescent="0.2">
      <c r="B2463" s="304"/>
      <c r="C2463" s="75"/>
      <c r="D2463" s="83"/>
      <c r="E2463" s="77"/>
      <c r="F2463" s="77"/>
      <c r="G2463" s="78"/>
    </row>
    <row r="2465" spans="2:7" x14ac:dyDescent="0.15">
      <c r="B2465" s="57" t="s">
        <v>163</v>
      </c>
      <c r="C2465" s="84">
        <v>304822</v>
      </c>
      <c r="D2465" s="85"/>
      <c r="E2465" s="86"/>
      <c r="F2465" s="58" t="s">
        <v>352</v>
      </c>
      <c r="G2465" s="59"/>
    </row>
    <row r="2466" spans="2:7" x14ac:dyDescent="0.15">
      <c r="B2466" s="60" t="s">
        <v>353</v>
      </c>
      <c r="C2466" s="87" t="str">
        <f>VLOOKUP(C2465,功能索引!$C$3:$D$278,2,FALSE)</f>
        <v>信用负债变动明细查询</v>
      </c>
      <c r="D2466" s="88"/>
      <c r="E2466" s="89"/>
      <c r="F2466" s="61" t="s">
        <v>165</v>
      </c>
      <c r="G2466" s="62" t="str">
        <f>VLOOKUP(C2465,功能索引!$C$3:$E2353,3,FALSE)</f>
        <v>Y</v>
      </c>
    </row>
    <row r="2467" spans="2:7" x14ac:dyDescent="0.15">
      <c r="B2467" s="299" t="s">
        <v>354</v>
      </c>
      <c r="C2467" s="99"/>
      <c r="D2467" s="100"/>
      <c r="E2467" s="100"/>
      <c r="F2467" s="100"/>
      <c r="G2467" s="101"/>
    </row>
    <row r="2468" spans="2:7" ht="14.25" thickBot="1" x14ac:dyDescent="0.2">
      <c r="B2468" s="304"/>
      <c r="C2468" s="102"/>
      <c r="D2468" s="103"/>
      <c r="E2468" s="103"/>
      <c r="F2468" s="103"/>
      <c r="G2468" s="104"/>
    </row>
    <row r="2469" spans="2:7" x14ac:dyDescent="0.15">
      <c r="B2469" s="315" t="s">
        <v>355</v>
      </c>
      <c r="C2469" s="58" t="s">
        <v>356</v>
      </c>
      <c r="D2469" s="58" t="s">
        <v>357</v>
      </c>
      <c r="E2469" s="58" t="s">
        <v>358</v>
      </c>
      <c r="F2469" s="58" t="s">
        <v>359</v>
      </c>
      <c r="G2469" s="64" t="s">
        <v>360</v>
      </c>
    </row>
    <row r="2470" spans="2:7" x14ac:dyDescent="0.15">
      <c r="B2470" s="301"/>
      <c r="C2470" s="65" t="s">
        <v>428</v>
      </c>
      <c r="D2470" s="66">
        <f>VLOOKUP(C2470,基本字段定义!$B$3:$C$3013,2,FALSE)</f>
        <v>605</v>
      </c>
      <c r="E2470" s="67" t="s">
        <v>429</v>
      </c>
      <c r="F2470" s="67" t="s">
        <v>169</v>
      </c>
      <c r="G2470" s="68" t="s">
        <v>430</v>
      </c>
    </row>
    <row r="2471" spans="2:7" x14ac:dyDescent="0.15">
      <c r="B2471" s="301"/>
      <c r="C2471" s="65" t="s">
        <v>585</v>
      </c>
      <c r="D2471" s="66">
        <f>VLOOKUP(C2471,基本字段定义!$B$3:$C$3013,2,FALSE)</f>
        <v>9020</v>
      </c>
      <c r="E2471" s="67" t="s">
        <v>363</v>
      </c>
      <c r="F2471" s="67"/>
      <c r="G2471" s="68" t="s">
        <v>1466</v>
      </c>
    </row>
    <row r="2472" spans="2:7" x14ac:dyDescent="0.15">
      <c r="B2472" s="306"/>
      <c r="C2472" s="65" t="s">
        <v>933</v>
      </c>
      <c r="D2472" s="66">
        <f>VLOOKUP(C2472,基本字段定义!$B$3:$C$3013,2,FALSE)</f>
        <v>755</v>
      </c>
      <c r="E2472" s="67" t="s">
        <v>365</v>
      </c>
      <c r="F2472" s="67"/>
      <c r="G2472" s="119" t="s">
        <v>1467</v>
      </c>
    </row>
    <row r="2473" spans="2:7" x14ac:dyDescent="0.15">
      <c r="B2473" s="299" t="s">
        <v>361</v>
      </c>
      <c r="C2473" s="69" t="s">
        <v>601</v>
      </c>
      <c r="D2473" s="70">
        <f>VLOOKUP(C2473,基本字段定义!$B$3:$C$3013,2,FALSE)</f>
        <v>797</v>
      </c>
      <c r="E2473" s="71" t="s">
        <v>365</v>
      </c>
      <c r="F2473" s="71"/>
      <c r="G2473" s="72" t="s">
        <v>1383</v>
      </c>
    </row>
    <row r="2474" spans="2:7" x14ac:dyDescent="0.15">
      <c r="B2474" s="299"/>
      <c r="C2474" s="69" t="s">
        <v>1468</v>
      </c>
      <c r="D2474" s="70">
        <f>VLOOKUP(C2474,基本字段定义!$B$3:$C$3013,2,FALSE)</f>
        <v>871</v>
      </c>
      <c r="E2474" s="71" t="s">
        <v>365</v>
      </c>
      <c r="F2474" s="71"/>
      <c r="G2474" s="73" t="s">
        <v>1469</v>
      </c>
    </row>
    <row r="2475" spans="2:7" x14ac:dyDescent="0.15">
      <c r="B2475" s="299"/>
      <c r="C2475" s="69" t="s">
        <v>933</v>
      </c>
      <c r="D2475" s="70">
        <f>VLOOKUP(C2475,基本字段定义!$B$3:$C$3013,2,FALSE)</f>
        <v>755</v>
      </c>
      <c r="E2475" s="71" t="s">
        <v>363</v>
      </c>
      <c r="F2475" s="71"/>
      <c r="G2475" s="115" t="s">
        <v>1470</v>
      </c>
    </row>
    <row r="2476" spans="2:7" x14ac:dyDescent="0.15">
      <c r="B2476" s="299"/>
      <c r="C2476" s="69" t="s">
        <v>431</v>
      </c>
      <c r="D2476" s="70">
        <f>VLOOKUP(C2476,基本字段定义!$B$3:$C$3013,2,FALSE)</f>
        <v>571</v>
      </c>
      <c r="E2476" s="71" t="s">
        <v>365</v>
      </c>
      <c r="F2476" s="71"/>
      <c r="G2476" s="73" t="s">
        <v>433</v>
      </c>
    </row>
    <row r="2477" spans="2:7" x14ac:dyDescent="0.15">
      <c r="B2477" s="299"/>
      <c r="C2477" s="69" t="s">
        <v>387</v>
      </c>
      <c r="D2477" s="70">
        <f>VLOOKUP(C2477,基本字段定义!$B$3:$C$3013,2,FALSE)</f>
        <v>599</v>
      </c>
      <c r="E2477" s="71" t="s">
        <v>365</v>
      </c>
      <c r="F2477" s="71"/>
      <c r="G2477" s="73" t="s">
        <v>389</v>
      </c>
    </row>
    <row r="2478" spans="2:7" x14ac:dyDescent="0.15">
      <c r="B2478" s="299"/>
      <c r="C2478" s="69" t="s">
        <v>666</v>
      </c>
      <c r="D2478" s="70">
        <f>VLOOKUP(C2478,基本字段定义!$B$3:$C$3013,2,FALSE)</f>
        <v>719</v>
      </c>
      <c r="E2478" s="71" t="s">
        <v>365</v>
      </c>
      <c r="F2478" s="71"/>
      <c r="G2478" s="73" t="s">
        <v>683</v>
      </c>
    </row>
    <row r="2479" spans="2:7" x14ac:dyDescent="0.15">
      <c r="B2479" s="299"/>
      <c r="C2479" s="69" t="s">
        <v>875</v>
      </c>
      <c r="D2479" s="70">
        <f>VLOOKUP(C2479,基本字段定义!$B$3:$C$3013,2,FALSE)</f>
        <v>595</v>
      </c>
      <c r="E2479" s="71" t="s">
        <v>363</v>
      </c>
      <c r="F2479" s="71"/>
      <c r="G2479" s="73" t="s">
        <v>930</v>
      </c>
    </row>
    <row r="2480" spans="2:7" x14ac:dyDescent="0.15">
      <c r="B2480" s="299"/>
      <c r="C2480" s="69" t="s">
        <v>608</v>
      </c>
      <c r="D2480" s="70">
        <f>VLOOKUP(C2480,基本字段定义!$B$3:$C$3013,2,FALSE)</f>
        <v>808</v>
      </c>
      <c r="E2480" s="71" t="s">
        <v>563</v>
      </c>
      <c r="F2480" s="71"/>
      <c r="G2480" s="73" t="s">
        <v>1471</v>
      </c>
    </row>
    <row r="2481" spans="2:7" x14ac:dyDescent="0.15">
      <c r="B2481" s="299"/>
      <c r="C2481" s="69" t="s">
        <v>1472</v>
      </c>
      <c r="D2481" s="70">
        <f>VLOOKUP(C2481,基本字段定义!$B$3:$C$3013,2,FALSE)</f>
        <v>9146</v>
      </c>
      <c r="E2481" s="71" t="s">
        <v>363</v>
      </c>
      <c r="F2481" s="71"/>
      <c r="G2481" s="73" t="s">
        <v>1473</v>
      </c>
    </row>
    <row r="2482" spans="2:7" x14ac:dyDescent="0.15">
      <c r="B2482" s="299"/>
      <c r="C2482" s="69" t="s">
        <v>998</v>
      </c>
      <c r="D2482" s="70">
        <f>VLOOKUP(C2482,基本字段定义!$B$3:$C$3013,2,FALSE)</f>
        <v>1234</v>
      </c>
      <c r="E2482" s="71" t="s">
        <v>563</v>
      </c>
      <c r="F2482" s="71"/>
      <c r="G2482" s="73" t="s">
        <v>999</v>
      </c>
    </row>
    <row r="2483" spans="2:7" x14ac:dyDescent="0.15">
      <c r="B2483" s="299"/>
      <c r="C2483" s="69" t="s">
        <v>1384</v>
      </c>
      <c r="D2483" s="70">
        <f>VLOOKUP(C2483,基本字段定义!$B$3:$C$3013,2,FALSE)</f>
        <v>9061</v>
      </c>
      <c r="E2483" s="71" t="s">
        <v>363</v>
      </c>
      <c r="F2483" s="71"/>
      <c r="G2483" s="73" t="s">
        <v>619</v>
      </c>
    </row>
    <row r="2484" spans="2:7" x14ac:dyDescent="0.15">
      <c r="B2484" s="299"/>
      <c r="C2484" s="69" t="s">
        <v>620</v>
      </c>
      <c r="D2484" s="70">
        <f>VLOOKUP(C2484,基本字段定义!$B$3:$C$3013,2,FALSE)</f>
        <v>865</v>
      </c>
      <c r="E2484" s="71" t="s">
        <v>365</v>
      </c>
      <c r="F2484" s="71"/>
      <c r="G2484" s="73" t="s">
        <v>621</v>
      </c>
    </row>
    <row r="2485" spans="2:7" x14ac:dyDescent="0.15">
      <c r="B2485" s="299"/>
      <c r="C2485" s="69" t="s">
        <v>366</v>
      </c>
      <c r="D2485" s="70">
        <f>VLOOKUP(C2485,基本字段定义!$B$3:$C$3013,2,FALSE)</f>
        <v>1137</v>
      </c>
      <c r="E2485" s="71" t="s">
        <v>363</v>
      </c>
      <c r="F2485" s="71"/>
      <c r="G2485" s="73" t="s">
        <v>1474</v>
      </c>
    </row>
    <row r="2486" spans="2:7" x14ac:dyDescent="0.15">
      <c r="B2486" s="299"/>
      <c r="C2486" s="69" t="s">
        <v>496</v>
      </c>
      <c r="D2486" s="70">
        <f>VLOOKUP(C2486,基本字段定义!$B$3:$C$3013,2,FALSE)</f>
        <v>730</v>
      </c>
      <c r="E2486" s="71" t="s">
        <v>365</v>
      </c>
      <c r="F2486" s="71"/>
      <c r="G2486" s="73" t="s">
        <v>1475</v>
      </c>
    </row>
    <row r="2487" spans="2:7" ht="14.25" thickBot="1" x14ac:dyDescent="0.2">
      <c r="B2487" s="304"/>
      <c r="C2487" s="75"/>
      <c r="D2487" s="83"/>
      <c r="E2487" s="77"/>
      <c r="F2487" s="77"/>
      <c r="G2487" s="78"/>
    </row>
    <row r="2489" spans="2:7" x14ac:dyDescent="0.15">
      <c r="B2489" s="57" t="s">
        <v>163</v>
      </c>
      <c r="C2489" s="84">
        <v>204884</v>
      </c>
      <c r="D2489" s="85"/>
      <c r="E2489" s="86"/>
      <c r="F2489" s="58" t="s">
        <v>352</v>
      </c>
      <c r="G2489" s="59"/>
    </row>
    <row r="2490" spans="2:7" x14ac:dyDescent="0.15">
      <c r="B2490" s="60" t="s">
        <v>353</v>
      </c>
      <c r="C2490" s="87" t="str">
        <f>VLOOKUP(C2489,功能索引!$C$3:$D$278,2,FALSE)</f>
        <v>普通股东账户查询</v>
      </c>
      <c r="D2490" s="88"/>
      <c r="E2490" s="89"/>
      <c r="F2490" s="61" t="s">
        <v>165</v>
      </c>
      <c r="G2490" s="62" t="str">
        <f>VLOOKUP(C2489,功能索引!$C$3:$E2426,3,FALSE)</f>
        <v>Y</v>
      </c>
    </row>
    <row r="2491" spans="2:7" ht="13.5" customHeight="1" x14ac:dyDescent="0.15">
      <c r="B2491" s="299" t="s">
        <v>354</v>
      </c>
      <c r="C2491" s="136" t="s">
        <v>1476</v>
      </c>
      <c r="D2491" s="137"/>
      <c r="E2491" s="137"/>
      <c r="F2491" s="137"/>
      <c r="G2491" s="138"/>
    </row>
    <row r="2492" spans="2:7" ht="14.25" thickBot="1" x14ac:dyDescent="0.2">
      <c r="B2492" s="304"/>
      <c r="C2492" s="139"/>
      <c r="D2492" s="140"/>
      <c r="E2492" s="140"/>
      <c r="F2492" s="140"/>
      <c r="G2492" s="141"/>
    </row>
    <row r="2493" spans="2:7" x14ac:dyDescent="0.15">
      <c r="B2493" s="298" t="s">
        <v>355</v>
      </c>
      <c r="C2493" s="58" t="s">
        <v>356</v>
      </c>
      <c r="D2493" s="58" t="s">
        <v>357</v>
      </c>
      <c r="E2493" s="58" t="s">
        <v>358</v>
      </c>
      <c r="F2493" s="58" t="s">
        <v>359</v>
      </c>
      <c r="G2493" s="64" t="s">
        <v>360</v>
      </c>
    </row>
    <row r="2494" spans="2:7" x14ac:dyDescent="0.15">
      <c r="B2494" s="299"/>
      <c r="C2494" s="65" t="s">
        <v>428</v>
      </c>
      <c r="D2494" s="66">
        <f>VLOOKUP(C2494,基本字段定义!$B$3:$C$3013,2,FALSE)</f>
        <v>605</v>
      </c>
      <c r="E2494" s="67" t="s">
        <v>429</v>
      </c>
      <c r="F2494" s="67" t="s">
        <v>169</v>
      </c>
      <c r="G2494" s="68" t="s">
        <v>430</v>
      </c>
    </row>
    <row r="2495" spans="2:7" x14ac:dyDescent="0.15">
      <c r="B2495" s="299"/>
      <c r="C2495" s="65" t="s">
        <v>387</v>
      </c>
      <c r="D2495" s="66">
        <f>VLOOKUP(C2495,基本字段定义!$B$3:$C$3013,2,FALSE)</f>
        <v>599</v>
      </c>
      <c r="E2495" s="67" t="s">
        <v>388</v>
      </c>
      <c r="F2495" s="67"/>
      <c r="G2495" s="68" t="s">
        <v>389</v>
      </c>
    </row>
    <row r="2496" spans="2:7" x14ac:dyDescent="0.15">
      <c r="B2496" s="299" t="s">
        <v>361</v>
      </c>
      <c r="C2496" s="69" t="s">
        <v>431</v>
      </c>
      <c r="D2496" s="70">
        <f>VLOOKUP(C2496,基本字段定义!$B$3:$C$3013,2,FALSE)</f>
        <v>571</v>
      </c>
      <c r="E2496" s="71" t="s">
        <v>365</v>
      </c>
      <c r="F2496" s="71"/>
      <c r="G2496" s="72" t="s">
        <v>433</v>
      </c>
    </row>
    <row r="2497" spans="2:7" x14ac:dyDescent="0.15">
      <c r="B2497" s="299"/>
      <c r="C2497" s="69" t="s">
        <v>387</v>
      </c>
      <c r="D2497" s="70">
        <f>VLOOKUP(C2497,基本字段定义!$B$3:$C$3013,2,FALSE)</f>
        <v>599</v>
      </c>
      <c r="E2497" s="71" t="s">
        <v>365</v>
      </c>
      <c r="F2497" s="71"/>
      <c r="G2497" s="73" t="s">
        <v>389</v>
      </c>
    </row>
    <row r="2498" spans="2:7" x14ac:dyDescent="0.15">
      <c r="B2498" s="299"/>
      <c r="C2498" s="69" t="s">
        <v>550</v>
      </c>
      <c r="D2498" s="70">
        <f>VLOOKUP(C2498,基本字段定义!$B$3:$C$3013,2,FALSE)</f>
        <v>511</v>
      </c>
      <c r="E2498" s="71" t="s">
        <v>365</v>
      </c>
      <c r="F2498" s="71"/>
      <c r="G2498" s="73" t="s">
        <v>551</v>
      </c>
    </row>
    <row r="2499" spans="2:7" x14ac:dyDescent="0.15">
      <c r="B2499" s="299"/>
      <c r="C2499" s="69" t="s">
        <v>556</v>
      </c>
      <c r="D2499" s="70">
        <f>VLOOKUP(C2499,基本字段定义!$B$3:$C$3013,2,FALSE)</f>
        <v>727</v>
      </c>
      <c r="E2499" s="71" t="s">
        <v>363</v>
      </c>
      <c r="F2499" s="71"/>
      <c r="G2499" s="73" t="s">
        <v>820</v>
      </c>
    </row>
    <row r="2500" spans="2:7" ht="14.25" thickBot="1" x14ac:dyDescent="0.2">
      <c r="B2500" s="304"/>
      <c r="C2500" s="75"/>
      <c r="D2500" s="83"/>
      <c r="E2500" s="77"/>
      <c r="F2500" s="77"/>
      <c r="G2500" s="78"/>
    </row>
    <row r="2502" spans="2:7" x14ac:dyDescent="0.15">
      <c r="B2502" s="57" t="s">
        <v>163</v>
      </c>
      <c r="C2502" s="84">
        <v>204880</v>
      </c>
      <c r="D2502" s="85"/>
      <c r="E2502" s="86"/>
      <c r="F2502" s="58" t="s">
        <v>352</v>
      </c>
      <c r="G2502" s="59"/>
    </row>
    <row r="2503" spans="2:7" x14ac:dyDescent="0.15">
      <c r="B2503" s="60" t="s">
        <v>353</v>
      </c>
      <c r="C2503" s="87" t="str">
        <f>VLOOKUP(C2502,功能索引!$C$3:$D$278,2,FALSE)</f>
        <v>普通账户证券持仓查询</v>
      </c>
      <c r="D2503" s="88"/>
      <c r="E2503" s="89"/>
      <c r="F2503" s="61" t="s">
        <v>165</v>
      </c>
      <c r="G2503" s="62" t="str">
        <f>VLOOKUP(C2502,功能索引!$C$3:$E2451,3,FALSE)</f>
        <v>Y</v>
      </c>
    </row>
    <row r="2504" spans="2:7" ht="13.5" customHeight="1" x14ac:dyDescent="0.15">
      <c r="B2504" s="299" t="s">
        <v>354</v>
      </c>
      <c r="C2504" s="136" t="s">
        <v>1477</v>
      </c>
      <c r="D2504" s="137"/>
      <c r="E2504" s="137"/>
      <c r="F2504" s="137"/>
      <c r="G2504" s="138"/>
    </row>
    <row r="2505" spans="2:7" ht="14.25" thickBot="1" x14ac:dyDescent="0.2">
      <c r="B2505" s="304"/>
      <c r="C2505" s="139"/>
      <c r="D2505" s="140"/>
      <c r="E2505" s="140"/>
      <c r="F2505" s="140"/>
      <c r="G2505" s="141"/>
    </row>
    <row r="2506" spans="2:7" x14ac:dyDescent="0.15">
      <c r="B2506" s="298" t="s">
        <v>355</v>
      </c>
      <c r="C2506" s="58" t="s">
        <v>356</v>
      </c>
      <c r="D2506" s="58" t="s">
        <v>357</v>
      </c>
      <c r="E2506" s="58" t="s">
        <v>358</v>
      </c>
      <c r="F2506" s="58" t="s">
        <v>359</v>
      </c>
      <c r="G2506" s="64" t="s">
        <v>360</v>
      </c>
    </row>
    <row r="2507" spans="2:7" x14ac:dyDescent="0.15">
      <c r="B2507" s="299"/>
      <c r="C2507" s="65" t="s">
        <v>428</v>
      </c>
      <c r="D2507" s="66">
        <f>VLOOKUP(C2507,基本字段定义!$B$3:$C$3013,2,FALSE)</f>
        <v>605</v>
      </c>
      <c r="E2507" s="67" t="s">
        <v>429</v>
      </c>
      <c r="F2507" s="67" t="s">
        <v>169</v>
      </c>
      <c r="G2507" s="68" t="s">
        <v>430</v>
      </c>
    </row>
    <row r="2508" spans="2:7" x14ac:dyDescent="0.15">
      <c r="B2508" s="299"/>
      <c r="C2508" s="65" t="s">
        <v>431</v>
      </c>
      <c r="D2508" s="66">
        <f>VLOOKUP(C2508,基本字段定义!$B$3:$C$3013,2,FALSE)</f>
        <v>571</v>
      </c>
      <c r="E2508" s="67" t="s">
        <v>432</v>
      </c>
      <c r="F2508" s="67"/>
      <c r="G2508" s="68" t="s">
        <v>433</v>
      </c>
    </row>
    <row r="2509" spans="2:7" x14ac:dyDescent="0.15">
      <c r="B2509" s="299"/>
      <c r="C2509" s="65" t="s">
        <v>387</v>
      </c>
      <c r="D2509" s="66">
        <f>VLOOKUP(C2509,基本字段定义!$B$3:$C$3013,2,FALSE)</f>
        <v>599</v>
      </c>
      <c r="E2509" s="67" t="s">
        <v>388</v>
      </c>
      <c r="F2509" s="67"/>
      <c r="G2509" s="68" t="s">
        <v>389</v>
      </c>
    </row>
    <row r="2510" spans="2:7" x14ac:dyDescent="0.15">
      <c r="B2510" s="299"/>
      <c r="C2510" s="65" t="s">
        <v>666</v>
      </c>
      <c r="D2510" s="66">
        <f>VLOOKUP(C2510,基本字段定义!$B$3:$C$3013,2,FALSE)</f>
        <v>719</v>
      </c>
      <c r="E2510" s="67" t="s">
        <v>506</v>
      </c>
      <c r="F2510" s="67"/>
      <c r="G2510" s="68" t="s">
        <v>683</v>
      </c>
    </row>
    <row r="2511" spans="2:7" x14ac:dyDescent="0.15">
      <c r="B2511" s="299"/>
      <c r="C2511" s="65" t="s">
        <v>458</v>
      </c>
      <c r="D2511" s="66">
        <f>VLOOKUP(C2511,基本字段定义!$B$3:$C$3013,2,FALSE)</f>
        <v>988</v>
      </c>
      <c r="E2511" s="67" t="s">
        <v>363</v>
      </c>
      <c r="F2511" s="67"/>
      <c r="G2511" s="68" t="s">
        <v>827</v>
      </c>
    </row>
    <row r="2512" spans="2:7" x14ac:dyDescent="0.15">
      <c r="B2512" s="299" t="s">
        <v>361</v>
      </c>
      <c r="C2512" s="69" t="s">
        <v>431</v>
      </c>
      <c r="D2512" s="70">
        <f>VLOOKUP(C2512,基本字段定义!$B$3:$C$3013,2,FALSE)</f>
        <v>571</v>
      </c>
      <c r="E2512" s="71" t="s">
        <v>365</v>
      </c>
      <c r="F2512" s="71"/>
      <c r="G2512" s="73" t="s">
        <v>433</v>
      </c>
    </row>
    <row r="2513" spans="2:7" x14ac:dyDescent="0.15">
      <c r="B2513" s="299"/>
      <c r="C2513" s="69" t="s">
        <v>387</v>
      </c>
      <c r="D2513" s="70">
        <f>VLOOKUP(C2513,基本字段定义!$B$3:$C$3013,2,FALSE)</f>
        <v>599</v>
      </c>
      <c r="E2513" s="71" t="s">
        <v>365</v>
      </c>
      <c r="F2513" s="71"/>
      <c r="G2513" s="73" t="s">
        <v>389</v>
      </c>
    </row>
    <row r="2514" spans="2:7" x14ac:dyDescent="0.15">
      <c r="B2514" s="299"/>
      <c r="C2514" s="69" t="s">
        <v>666</v>
      </c>
      <c r="D2514" s="70">
        <f>VLOOKUP(C2514,基本字段定义!$B$3:$C$3013,2,FALSE)</f>
        <v>719</v>
      </c>
      <c r="E2514" s="71" t="s">
        <v>365</v>
      </c>
      <c r="F2514" s="71"/>
      <c r="G2514" s="73" t="s">
        <v>683</v>
      </c>
    </row>
    <row r="2515" spans="2:7" x14ac:dyDescent="0.15">
      <c r="B2515" s="299"/>
      <c r="C2515" s="69" t="s">
        <v>685</v>
      </c>
      <c r="D2515" s="70">
        <f>VLOOKUP(C2515,基本字段定义!$B$3:$C$3013,2,FALSE)</f>
        <v>722</v>
      </c>
      <c r="E2515" s="71" t="s">
        <v>365</v>
      </c>
      <c r="F2515" s="71"/>
      <c r="G2515" s="73" t="s">
        <v>686</v>
      </c>
    </row>
    <row r="2516" spans="2:7" x14ac:dyDescent="0.15">
      <c r="B2516" s="299"/>
      <c r="C2516" s="69" t="s">
        <v>550</v>
      </c>
      <c r="D2516" s="70">
        <f>VLOOKUP(C2516,基本字段定义!$B$3:$C$3013,2,FALSE)</f>
        <v>511</v>
      </c>
      <c r="E2516" s="71" t="s">
        <v>365</v>
      </c>
      <c r="F2516" s="71"/>
      <c r="G2516" s="73" t="s">
        <v>551</v>
      </c>
    </row>
    <row r="2517" spans="2:7" x14ac:dyDescent="0.15">
      <c r="B2517" s="299"/>
      <c r="C2517" s="69" t="s">
        <v>796</v>
      </c>
      <c r="D2517" s="70">
        <f>VLOOKUP(C2517,基本字段定义!$B$3:$C$3013,2,FALSE)</f>
        <v>724</v>
      </c>
      <c r="E2517" s="71" t="s">
        <v>363</v>
      </c>
      <c r="F2517" s="71"/>
      <c r="G2517" s="73" t="s">
        <v>828</v>
      </c>
    </row>
    <row r="2518" spans="2:7" x14ac:dyDescent="0.15">
      <c r="B2518" s="299"/>
      <c r="C2518" s="69" t="s">
        <v>829</v>
      </c>
      <c r="D2518" s="70">
        <f>VLOOKUP(C2518,基本字段定义!$B$3:$C$3013,2,FALSE)</f>
        <v>543</v>
      </c>
      <c r="E2518" s="71" t="s">
        <v>363</v>
      </c>
      <c r="F2518" s="71"/>
      <c r="G2518" s="73" t="s">
        <v>830</v>
      </c>
    </row>
    <row r="2519" spans="2:7" x14ac:dyDescent="0.15">
      <c r="B2519" s="299"/>
      <c r="C2519" s="69" t="s">
        <v>831</v>
      </c>
      <c r="D2519" s="70">
        <f>VLOOKUP(C2519,基本字段定义!$B$3:$C$3013,2,FALSE)</f>
        <v>545</v>
      </c>
      <c r="E2519" s="71" t="s">
        <v>363</v>
      </c>
      <c r="F2519" s="71"/>
      <c r="G2519" s="73" t="s">
        <v>832</v>
      </c>
    </row>
    <row r="2520" spans="2:7" x14ac:dyDescent="0.15">
      <c r="B2520" s="299"/>
      <c r="C2520" s="69" t="s">
        <v>833</v>
      </c>
      <c r="D2520" s="70">
        <f>VLOOKUP(C2520,基本字段定义!$B$3:$C$3013,2,FALSE)</f>
        <v>541</v>
      </c>
      <c r="E2520" s="71" t="s">
        <v>363</v>
      </c>
      <c r="F2520" s="71"/>
      <c r="G2520" s="73" t="s">
        <v>834</v>
      </c>
    </row>
    <row r="2521" spans="2:7" x14ac:dyDescent="0.15">
      <c r="B2521" s="299"/>
      <c r="C2521" s="69" t="s">
        <v>835</v>
      </c>
      <c r="D2521" s="70">
        <f>VLOOKUP(C2521,基本字段定义!$B$3:$C$3013,2,FALSE)</f>
        <v>1184</v>
      </c>
      <c r="E2521" s="71" t="s">
        <v>363</v>
      </c>
      <c r="F2521" s="71"/>
      <c r="G2521" s="73" t="s">
        <v>836</v>
      </c>
    </row>
    <row r="2522" spans="2:7" x14ac:dyDescent="0.15">
      <c r="B2522" s="299"/>
      <c r="C2522" s="69" t="s">
        <v>837</v>
      </c>
      <c r="D2522" s="70">
        <f>VLOOKUP(C2522,基本字段定义!$B$3:$C$3013,2,FALSE)</f>
        <v>1179</v>
      </c>
      <c r="E2522" s="71" t="s">
        <v>363</v>
      </c>
      <c r="F2522" s="71"/>
      <c r="G2522" s="73" t="s">
        <v>838</v>
      </c>
    </row>
    <row r="2523" spans="2:7" x14ac:dyDescent="0.15">
      <c r="B2523" s="299"/>
      <c r="C2523" s="69" t="s">
        <v>839</v>
      </c>
      <c r="D2523" s="70">
        <f>VLOOKUP(C2523,基本字段定义!$B$3:$C$3013,2,FALSE)</f>
        <v>615</v>
      </c>
      <c r="E2523" s="71" t="s">
        <v>363</v>
      </c>
      <c r="F2523" s="71"/>
      <c r="G2523" s="73" t="s">
        <v>840</v>
      </c>
    </row>
    <row r="2524" spans="2:7" x14ac:dyDescent="0.15">
      <c r="B2524" s="299"/>
      <c r="C2524" s="69" t="s">
        <v>841</v>
      </c>
      <c r="D2524" s="70">
        <f>VLOOKUP(C2524,基本字段定义!$B$3:$C$3013,2,FALSE)</f>
        <v>1235</v>
      </c>
      <c r="E2524" s="71" t="s">
        <v>363</v>
      </c>
      <c r="F2524" s="71"/>
      <c r="G2524" s="73" t="s">
        <v>842</v>
      </c>
    </row>
    <row r="2525" spans="2:7" x14ac:dyDescent="0.15">
      <c r="B2525" s="299"/>
      <c r="C2525" s="69" t="s">
        <v>843</v>
      </c>
      <c r="D2525" s="70">
        <f>VLOOKUP(C2525,基本字段定义!$B$3:$C$3013,2,FALSE)</f>
        <v>568</v>
      </c>
      <c r="E2525" s="71" t="s">
        <v>363</v>
      </c>
      <c r="F2525" s="71"/>
      <c r="G2525" s="73" t="s">
        <v>844</v>
      </c>
    </row>
    <row r="2526" spans="2:7" x14ac:dyDescent="0.15">
      <c r="B2526" s="299"/>
      <c r="C2526" s="69" t="s">
        <v>845</v>
      </c>
      <c r="D2526" s="70">
        <f>VLOOKUP(C2526,基本字段定义!$B$3:$C$3013,2,FALSE)</f>
        <v>757</v>
      </c>
      <c r="E2526" s="71" t="s">
        <v>363</v>
      </c>
      <c r="F2526" s="71"/>
      <c r="G2526" s="73" t="s">
        <v>846</v>
      </c>
    </row>
    <row r="2527" spans="2:7" x14ac:dyDescent="0.15">
      <c r="B2527" s="299"/>
      <c r="C2527" s="69" t="s">
        <v>847</v>
      </c>
      <c r="D2527" s="70">
        <f>VLOOKUP(C2527,基本字段定义!$B$3:$C$3013,2,FALSE)</f>
        <v>758</v>
      </c>
      <c r="E2527" s="71" t="s">
        <v>363</v>
      </c>
      <c r="F2527" s="71"/>
      <c r="G2527" s="73" t="s">
        <v>848</v>
      </c>
    </row>
    <row r="2528" spans="2:7" x14ac:dyDescent="0.15">
      <c r="B2528" s="299"/>
      <c r="C2528" s="69" t="s">
        <v>849</v>
      </c>
      <c r="D2528" s="70">
        <f>VLOOKUP(C2528,基本字段定义!$B$3:$C$3013,2,FALSE)</f>
        <v>603</v>
      </c>
      <c r="E2528" s="71" t="s">
        <v>363</v>
      </c>
      <c r="F2528" s="71"/>
      <c r="G2528" s="73" t="s">
        <v>850</v>
      </c>
    </row>
    <row r="2529" spans="2:7" x14ac:dyDescent="0.15">
      <c r="B2529" s="299"/>
      <c r="C2529" s="69" t="s">
        <v>573</v>
      </c>
      <c r="D2529" s="70">
        <f>VLOOKUP(C2529,基本字段定义!$B$3:$C$3013,2,FALSE)</f>
        <v>760</v>
      </c>
      <c r="E2529" s="71" t="s">
        <v>563</v>
      </c>
      <c r="F2529" s="71"/>
      <c r="G2529" s="73" t="s">
        <v>851</v>
      </c>
    </row>
    <row r="2530" spans="2:7" x14ac:dyDescent="0.15">
      <c r="B2530" s="299"/>
      <c r="C2530" s="69" t="s">
        <v>687</v>
      </c>
      <c r="D2530" s="70">
        <f>VLOOKUP(C2530,基本字段定义!$B$3:$C$3013,2,FALSE)</f>
        <v>591</v>
      </c>
      <c r="E2530" s="71" t="s">
        <v>363</v>
      </c>
      <c r="F2530" s="71"/>
      <c r="G2530" s="73" t="s">
        <v>852</v>
      </c>
    </row>
    <row r="2531" spans="2:7" x14ac:dyDescent="0.15">
      <c r="B2531" s="299"/>
      <c r="C2531" s="69" t="s">
        <v>691</v>
      </c>
      <c r="D2531" s="70">
        <f>VLOOKUP(C2531,基本字段定义!$B$3:$C$3013,2,FALSE)</f>
        <v>729</v>
      </c>
      <c r="E2531" s="71" t="s">
        <v>563</v>
      </c>
      <c r="F2531" s="71"/>
      <c r="G2531" s="73" t="s">
        <v>853</v>
      </c>
    </row>
    <row r="2532" spans="2:7" x14ac:dyDescent="0.15">
      <c r="B2532" s="299"/>
      <c r="C2532" s="69" t="s">
        <v>701</v>
      </c>
      <c r="D2532" s="70">
        <f>VLOOKUP(C2532,基本字段定义!$B$3:$C$3013,2,FALSE)</f>
        <v>961</v>
      </c>
      <c r="E2532" s="71" t="s">
        <v>563</v>
      </c>
      <c r="F2532" s="71"/>
      <c r="G2532" s="73" t="s">
        <v>854</v>
      </c>
    </row>
    <row r="2533" spans="2:7" x14ac:dyDescent="0.15">
      <c r="B2533" s="299"/>
      <c r="C2533" s="69" t="s">
        <v>855</v>
      </c>
      <c r="D2533" s="70">
        <f>VLOOKUP(C2533,基本字段定义!$B$3:$C$3013,2,FALSE)</f>
        <v>636</v>
      </c>
      <c r="E2533" s="71" t="s">
        <v>563</v>
      </c>
      <c r="F2533" s="71"/>
      <c r="G2533" s="73" t="s">
        <v>856</v>
      </c>
    </row>
    <row r="2534" spans="2:7" x14ac:dyDescent="0.15">
      <c r="B2534" s="299"/>
      <c r="C2534" s="69" t="s">
        <v>857</v>
      </c>
      <c r="D2534" s="70">
        <f>VLOOKUP(C2534,基本字段定义!$B$3:$C$3013,2,FALSE)</f>
        <v>1209</v>
      </c>
      <c r="E2534" s="71" t="s">
        <v>563</v>
      </c>
      <c r="F2534" s="71" t="s">
        <v>858</v>
      </c>
      <c r="G2534" s="73" t="s">
        <v>859</v>
      </c>
    </row>
    <row r="2535" spans="2:7" x14ac:dyDescent="0.15">
      <c r="B2535" s="299"/>
      <c r="C2535" s="69" t="s">
        <v>860</v>
      </c>
      <c r="D2535" s="70">
        <f>VLOOKUP(C2535,基本字段定义!$B$3:$C$3013,2,FALSE)</f>
        <v>1098</v>
      </c>
      <c r="E2535" s="71" t="s">
        <v>563</v>
      </c>
      <c r="F2535" s="71"/>
      <c r="G2535" s="73" t="s">
        <v>861</v>
      </c>
    </row>
    <row r="2536" spans="2:7" x14ac:dyDescent="0.15">
      <c r="B2536" s="299"/>
      <c r="C2536" s="69" t="s">
        <v>862</v>
      </c>
      <c r="D2536" s="70">
        <f>VLOOKUP(C2536,基本字段定义!$B$3:$C$3013,2,FALSE)</f>
        <v>761</v>
      </c>
      <c r="E2536" s="71" t="s">
        <v>563</v>
      </c>
      <c r="F2536" s="71"/>
      <c r="G2536" s="73" t="s">
        <v>863</v>
      </c>
    </row>
    <row r="2537" spans="2:7" x14ac:dyDescent="0.15">
      <c r="B2537" s="299"/>
      <c r="C2537" s="69" t="s">
        <v>864</v>
      </c>
      <c r="D2537" s="70">
        <f>VLOOKUP(C2537,基本字段定义!$B$3:$C$3013,2,FALSE)</f>
        <v>1210</v>
      </c>
      <c r="E2537" s="71" t="s">
        <v>563</v>
      </c>
      <c r="F2537" s="71"/>
      <c r="G2537" s="73" t="s">
        <v>865</v>
      </c>
    </row>
    <row r="2538" spans="2:7" x14ac:dyDescent="0.15">
      <c r="B2538" s="299"/>
      <c r="C2538" s="69" t="s">
        <v>866</v>
      </c>
      <c r="D2538" s="70">
        <f>VLOOKUP(C2538,基本字段定义!$B$3:$C$3013,2,FALSE)</f>
        <v>671</v>
      </c>
      <c r="E2538" s="71" t="s">
        <v>563</v>
      </c>
      <c r="F2538" s="71" t="s">
        <v>867</v>
      </c>
      <c r="G2538" s="73" t="s">
        <v>868</v>
      </c>
    </row>
    <row r="2539" spans="2:7" x14ac:dyDescent="0.15">
      <c r="B2539" s="299"/>
      <c r="C2539" s="69" t="s">
        <v>869</v>
      </c>
      <c r="D2539" s="70">
        <f>VLOOKUP(C2539,基本字段定义!$B$3:$C$3013,2,FALSE)</f>
        <v>748</v>
      </c>
      <c r="E2539" s="71" t="s">
        <v>563</v>
      </c>
      <c r="F2539" s="71"/>
      <c r="G2539" s="73" t="s">
        <v>870</v>
      </c>
    </row>
    <row r="2540" spans="2:7" x14ac:dyDescent="0.15">
      <c r="B2540" s="299"/>
      <c r="C2540" s="69" t="s">
        <v>871</v>
      </c>
      <c r="D2540" s="70">
        <f>VLOOKUP(C2540,基本字段定义!$B$3:$C$3013,2,FALSE)</f>
        <v>749</v>
      </c>
      <c r="E2540" s="71" t="s">
        <v>563</v>
      </c>
      <c r="F2540" s="71"/>
      <c r="G2540" s="73" t="s">
        <v>872</v>
      </c>
    </row>
    <row r="2541" spans="2:7" ht="14.25" thickBot="1" x14ac:dyDescent="0.2">
      <c r="B2541" s="304"/>
      <c r="C2541" s="75"/>
      <c r="D2541" s="83"/>
      <c r="E2541" s="77"/>
      <c r="F2541" s="77"/>
      <c r="G2541" s="78"/>
    </row>
    <row r="2543" spans="2:7" x14ac:dyDescent="0.15">
      <c r="B2543" s="57" t="s">
        <v>163</v>
      </c>
      <c r="C2543" s="84">
        <v>204956</v>
      </c>
      <c r="D2543" s="85"/>
      <c r="E2543" s="86"/>
      <c r="F2543" s="58" t="s">
        <v>352</v>
      </c>
      <c r="G2543" s="59"/>
    </row>
    <row r="2544" spans="2:7" x14ac:dyDescent="0.15">
      <c r="B2544" s="60" t="s">
        <v>353</v>
      </c>
      <c r="C2544" s="87" t="str">
        <f>VLOOKUP(C2543,功能索引!$C$3:$D$278,2,FALSE)</f>
        <v>校验风险控制指标</v>
      </c>
      <c r="D2544" s="88"/>
      <c r="E2544" s="89"/>
      <c r="F2544" s="61" t="s">
        <v>165</v>
      </c>
      <c r="G2544" s="62">
        <f>VLOOKUP(C2543,功能索引!$C$3:$E2491,3,FALSE)</f>
        <v>0</v>
      </c>
    </row>
    <row r="2545" spans="2:7" ht="13.5" customHeight="1" x14ac:dyDescent="0.15">
      <c r="B2545" s="299" t="s">
        <v>354</v>
      </c>
      <c r="C2545" s="136" t="s">
        <v>1477</v>
      </c>
      <c r="D2545" s="137"/>
      <c r="E2545" s="137"/>
      <c r="F2545" s="137"/>
      <c r="G2545" s="138"/>
    </row>
    <row r="2546" spans="2:7" ht="14.25" thickBot="1" x14ac:dyDescent="0.2">
      <c r="B2546" s="304"/>
      <c r="C2546" s="139"/>
      <c r="D2546" s="140"/>
      <c r="E2546" s="140"/>
      <c r="F2546" s="140"/>
      <c r="G2546" s="141"/>
    </row>
    <row r="2547" spans="2:7" x14ac:dyDescent="0.15">
      <c r="B2547" s="298" t="s">
        <v>355</v>
      </c>
      <c r="C2547" s="58" t="s">
        <v>356</v>
      </c>
      <c r="D2547" s="58" t="s">
        <v>357</v>
      </c>
      <c r="E2547" s="58" t="s">
        <v>358</v>
      </c>
      <c r="F2547" s="58" t="s">
        <v>359</v>
      </c>
      <c r="G2547" s="64" t="s">
        <v>360</v>
      </c>
    </row>
    <row r="2548" spans="2:7" x14ac:dyDescent="0.15">
      <c r="B2548" s="299"/>
      <c r="C2548" s="65" t="s">
        <v>428</v>
      </c>
      <c r="D2548" s="66">
        <f>VLOOKUP(C2548,基本字段定义!$B$3:$C$3013,2,FALSE)</f>
        <v>605</v>
      </c>
      <c r="E2548" s="67" t="s">
        <v>429</v>
      </c>
      <c r="F2548" s="67"/>
      <c r="G2548" s="68" t="s">
        <v>430</v>
      </c>
    </row>
    <row r="2549" spans="2:7" x14ac:dyDescent="0.15">
      <c r="B2549" s="299"/>
      <c r="C2549" s="65" t="s">
        <v>1120</v>
      </c>
      <c r="D2549" s="66">
        <f>VLOOKUP(C2549,基本字段定义!$B$3:$C$3013,2,FALSE)</f>
        <v>9132</v>
      </c>
      <c r="E2549" s="67" t="s">
        <v>563</v>
      </c>
      <c r="F2549" s="67" t="s">
        <v>169</v>
      </c>
      <c r="G2549" s="68" t="s">
        <v>1478</v>
      </c>
    </row>
    <row r="2550" spans="2:7" x14ac:dyDescent="0.15">
      <c r="B2550" s="299"/>
      <c r="C2550" s="65" t="s">
        <v>810</v>
      </c>
      <c r="D2550" s="66">
        <v>684</v>
      </c>
      <c r="E2550" s="67" t="s">
        <v>563</v>
      </c>
      <c r="F2550" s="67" t="s">
        <v>169</v>
      </c>
      <c r="G2550" s="68"/>
    </row>
    <row r="2551" spans="2:7" x14ac:dyDescent="0.15">
      <c r="B2551" s="299"/>
      <c r="C2551" s="65" t="s">
        <v>387</v>
      </c>
      <c r="D2551" s="66">
        <f>VLOOKUP(C2551,基本字段定义!$B$3:$C$3013,2,FALSE)</f>
        <v>599</v>
      </c>
      <c r="E2551" s="67" t="s">
        <v>388</v>
      </c>
      <c r="F2551" s="67"/>
      <c r="G2551" s="68" t="s">
        <v>389</v>
      </c>
    </row>
    <row r="2552" spans="2:7" x14ac:dyDescent="0.15">
      <c r="B2552" s="299"/>
      <c r="C2552" s="65" t="s">
        <v>666</v>
      </c>
      <c r="D2552" s="66">
        <f>VLOOKUP(C2552,基本字段定义!$B$3:$C$3013,2,FALSE)</f>
        <v>719</v>
      </c>
      <c r="E2552" s="67" t="s">
        <v>506</v>
      </c>
      <c r="F2552" s="67"/>
      <c r="G2552" s="68" t="s">
        <v>683</v>
      </c>
    </row>
    <row r="2553" spans="2:7" ht="36" customHeight="1" x14ac:dyDescent="0.15">
      <c r="B2553" s="299"/>
      <c r="C2553" s="65" t="s">
        <v>1182</v>
      </c>
      <c r="D2553" s="66">
        <f>VLOOKUP(C2553,基本字段定义!$B$3:$C$3013,2,FALSE)</f>
        <v>1463</v>
      </c>
      <c r="E2553" s="67" t="s">
        <v>363</v>
      </c>
      <c r="F2553" s="67" t="s">
        <v>169</v>
      </c>
      <c r="G2553" s="90" t="s">
        <v>1479</v>
      </c>
    </row>
    <row r="2554" spans="2:7" x14ac:dyDescent="0.15">
      <c r="B2554" s="299" t="s">
        <v>361</v>
      </c>
      <c r="C2554" s="69" t="s">
        <v>362</v>
      </c>
      <c r="D2554" s="70">
        <f>VLOOKUP(C2554,基本字段定义!$B$3:$C$3013,2,FALSE)</f>
        <v>507</v>
      </c>
      <c r="E2554" s="71" t="s">
        <v>363</v>
      </c>
      <c r="F2554" s="71"/>
      <c r="G2554" s="73" t="s">
        <v>1480</v>
      </c>
    </row>
    <row r="2555" spans="2:7" x14ac:dyDescent="0.15">
      <c r="B2555" s="299"/>
      <c r="C2555" s="69" t="s">
        <v>364</v>
      </c>
      <c r="D2555" s="70">
        <f>VLOOKUP(C2555,基本字段定义!$B$3:$C$3013,2,FALSE)</f>
        <v>508</v>
      </c>
      <c r="E2555" s="71" t="s">
        <v>365</v>
      </c>
      <c r="F2555" s="71"/>
      <c r="G2555" s="73" t="s">
        <v>389</v>
      </c>
    </row>
    <row r="2556" spans="2:7" ht="14.25" thickBot="1" x14ac:dyDescent="0.2">
      <c r="B2556" s="304"/>
      <c r="C2556" s="75"/>
      <c r="D2556" s="83"/>
      <c r="E2556" s="77"/>
      <c r="F2556" s="77"/>
      <c r="G2556" s="78"/>
    </row>
    <row r="2558" spans="2:7" x14ac:dyDescent="0.15">
      <c r="B2558" s="57" t="s">
        <v>163</v>
      </c>
      <c r="C2558" s="84">
        <v>404202</v>
      </c>
      <c r="D2558" s="85"/>
      <c r="E2558" s="86"/>
      <c r="F2558" s="58" t="s">
        <v>352</v>
      </c>
      <c r="G2558" s="59"/>
    </row>
    <row r="2559" spans="2:7" x14ac:dyDescent="0.15">
      <c r="B2559" s="60" t="s">
        <v>353</v>
      </c>
      <c r="C2559" s="87" t="str">
        <f>VLOOKUP(C2558,功能索引!$C$3:$D$278,2,FALSE)</f>
        <v>证券历史委托查询</v>
      </c>
      <c r="D2559" s="88"/>
      <c r="E2559" s="89"/>
      <c r="F2559" s="61" t="s">
        <v>165</v>
      </c>
      <c r="G2559" s="62" t="str">
        <f>VLOOKUP(C2558,功能索引!$C$3:$E2392,3,FALSE)</f>
        <v>Y</v>
      </c>
    </row>
    <row r="2560" spans="2:7" x14ac:dyDescent="0.15">
      <c r="B2560" s="299" t="s">
        <v>354</v>
      </c>
      <c r="C2560" s="99" t="s">
        <v>611</v>
      </c>
      <c r="D2560" s="100"/>
      <c r="E2560" s="100"/>
      <c r="F2560" s="100"/>
      <c r="G2560" s="101"/>
    </row>
    <row r="2561" spans="2:7" ht="14.25" thickBot="1" x14ac:dyDescent="0.2">
      <c r="B2561" s="304"/>
      <c r="C2561" s="102"/>
      <c r="D2561" s="103"/>
      <c r="E2561" s="103"/>
      <c r="F2561" s="103"/>
      <c r="G2561" s="104"/>
    </row>
    <row r="2562" spans="2:7" x14ac:dyDescent="0.15">
      <c r="B2562" s="298" t="s">
        <v>355</v>
      </c>
      <c r="C2562" s="58" t="s">
        <v>356</v>
      </c>
      <c r="D2562" s="58" t="s">
        <v>357</v>
      </c>
      <c r="E2562" s="58" t="s">
        <v>358</v>
      </c>
      <c r="F2562" s="58" t="s">
        <v>359</v>
      </c>
      <c r="G2562" s="64" t="s">
        <v>360</v>
      </c>
    </row>
    <row r="2563" spans="2:7" x14ac:dyDescent="0.15">
      <c r="B2563" s="299"/>
      <c r="C2563" s="65" t="s">
        <v>428</v>
      </c>
      <c r="D2563" s="66">
        <f>VLOOKUP(C2563,基本字段定义!$B$3:$C$3013,2,FALSE)</f>
        <v>605</v>
      </c>
      <c r="E2563" s="67" t="s">
        <v>429</v>
      </c>
      <c r="F2563" s="67" t="s">
        <v>169</v>
      </c>
      <c r="G2563" s="68" t="s">
        <v>430</v>
      </c>
    </row>
    <row r="2564" spans="2:7" x14ac:dyDescent="0.15">
      <c r="B2564" s="299"/>
      <c r="C2564" s="65" t="s">
        <v>510</v>
      </c>
      <c r="D2564" s="66">
        <f>VLOOKUP(C2564,基本字段定义!$B$3:$C$3013,2,FALSE)</f>
        <v>618</v>
      </c>
      <c r="E2564" s="67" t="s">
        <v>363</v>
      </c>
      <c r="F2564" s="67" t="s">
        <v>169</v>
      </c>
      <c r="G2564" s="68" t="s">
        <v>1050</v>
      </c>
    </row>
    <row r="2565" spans="2:7" x14ac:dyDescent="0.15">
      <c r="B2565" s="299"/>
      <c r="C2565" s="65" t="s">
        <v>512</v>
      </c>
      <c r="D2565" s="66">
        <f>VLOOKUP(C2565,基本字段定义!$B$3:$C$3013,2,FALSE)</f>
        <v>590</v>
      </c>
      <c r="E2565" s="67" t="s">
        <v>363</v>
      </c>
      <c r="F2565" s="67" t="s">
        <v>169</v>
      </c>
      <c r="G2565" s="68" t="s">
        <v>1155</v>
      </c>
    </row>
    <row r="2566" spans="2:7" x14ac:dyDescent="0.15">
      <c r="B2566" s="299"/>
      <c r="C2566" s="65" t="s">
        <v>387</v>
      </c>
      <c r="D2566" s="66">
        <f>VLOOKUP(C2566,基本字段定义!$B$3:$C$3013,2,FALSE)</f>
        <v>599</v>
      </c>
      <c r="E2566" s="67" t="s">
        <v>388</v>
      </c>
      <c r="F2566" s="67"/>
      <c r="G2566" s="68" t="s">
        <v>389</v>
      </c>
    </row>
    <row r="2567" spans="2:7" x14ac:dyDescent="0.15">
      <c r="B2567" s="299"/>
      <c r="C2567" s="65" t="s">
        <v>666</v>
      </c>
      <c r="D2567" s="66">
        <f>VLOOKUP(C2567,基本字段定义!$B$3:$C$3013,2,FALSE)</f>
        <v>719</v>
      </c>
      <c r="E2567" s="67" t="s">
        <v>506</v>
      </c>
      <c r="F2567" s="67"/>
      <c r="G2567" s="68" t="s">
        <v>683</v>
      </c>
    </row>
    <row r="2568" spans="2:7" x14ac:dyDescent="0.15">
      <c r="B2568" s="299"/>
      <c r="C2568" s="65" t="s">
        <v>616</v>
      </c>
      <c r="D2568" s="66">
        <f>VLOOKUP(C2568,基本字段定义!$B$3:$C$3013,2,FALSE)</f>
        <v>9110</v>
      </c>
      <c r="E2568" s="67" t="s">
        <v>363</v>
      </c>
      <c r="F2568" s="67"/>
      <c r="G2568" s="68" t="s">
        <v>617</v>
      </c>
    </row>
    <row r="2569" spans="2:7" x14ac:dyDescent="0.15">
      <c r="B2569" s="299"/>
      <c r="C2569" s="65" t="s">
        <v>614</v>
      </c>
      <c r="D2569" s="66">
        <f>VLOOKUP(C2569,基本字段定义!$B$3:$C$3013,2,FALSE)</f>
        <v>763</v>
      </c>
      <c r="E2569" s="67" t="s">
        <v>497</v>
      </c>
      <c r="F2569" s="67"/>
      <c r="G2569" s="68" t="s">
        <v>1256</v>
      </c>
    </row>
    <row r="2570" spans="2:7" x14ac:dyDescent="0.15">
      <c r="B2570" s="299"/>
      <c r="C2570" s="65" t="s">
        <v>612</v>
      </c>
      <c r="D2570" s="66">
        <f>VLOOKUP(C2570,基本字段定义!$B$3:$C$3013,2,FALSE)</f>
        <v>9109</v>
      </c>
      <c r="E2570" s="67" t="s">
        <v>363</v>
      </c>
      <c r="F2570" s="67"/>
      <c r="G2570" s="68" t="s">
        <v>1382</v>
      </c>
    </row>
    <row r="2571" spans="2:7" x14ac:dyDescent="0.15">
      <c r="B2571" s="299" t="s">
        <v>361</v>
      </c>
      <c r="C2571" s="69" t="s">
        <v>614</v>
      </c>
      <c r="D2571" s="70">
        <f>VLOOKUP(C2571,基本字段定义!$B$3:$C$3013,2,FALSE)</f>
        <v>763</v>
      </c>
      <c r="E2571" s="71" t="s">
        <v>365</v>
      </c>
      <c r="F2571" s="71"/>
      <c r="G2571" s="72" t="s">
        <v>618</v>
      </c>
    </row>
    <row r="2572" spans="2:7" x14ac:dyDescent="0.15">
      <c r="B2572" s="299"/>
      <c r="C2572" s="69" t="s">
        <v>990</v>
      </c>
      <c r="D2572" s="70">
        <f>VLOOKUP(C2572,基本字段定义!$B$3:$C$3013,2,FALSE)</f>
        <v>1898</v>
      </c>
      <c r="E2572" s="71" t="s">
        <v>363</v>
      </c>
      <c r="F2572" s="71"/>
      <c r="G2572" s="73" t="s">
        <v>991</v>
      </c>
    </row>
    <row r="2573" spans="2:7" x14ac:dyDescent="0.15">
      <c r="B2573" s="299"/>
      <c r="C2573" s="69" t="s">
        <v>387</v>
      </c>
      <c r="D2573" s="70">
        <f>VLOOKUP(C2573,基本字段定义!$B$3:$C$3013,2,FALSE)</f>
        <v>599</v>
      </c>
      <c r="E2573" s="71" t="s">
        <v>365</v>
      </c>
      <c r="F2573" s="71"/>
      <c r="G2573" s="73" t="s">
        <v>389</v>
      </c>
    </row>
    <row r="2574" spans="2:7" x14ac:dyDescent="0.15">
      <c r="B2574" s="299"/>
      <c r="C2574" s="69" t="s">
        <v>431</v>
      </c>
      <c r="D2574" s="70">
        <f>VLOOKUP(C2574,基本字段定义!$B$3:$C$3013,2,FALSE)</f>
        <v>571</v>
      </c>
      <c r="E2574" s="71" t="s">
        <v>365</v>
      </c>
      <c r="F2574" s="71"/>
      <c r="G2574" s="73" t="s">
        <v>433</v>
      </c>
    </row>
    <row r="2575" spans="2:7" x14ac:dyDescent="0.15">
      <c r="B2575" s="299"/>
      <c r="C2575" s="69" t="s">
        <v>916</v>
      </c>
      <c r="D2575" s="70">
        <f>VLOOKUP(C2575,基本字段定义!$B$3:$C$3013,2,FALSE)</f>
        <v>681</v>
      </c>
      <c r="E2575" s="71" t="s">
        <v>365</v>
      </c>
      <c r="F2575" s="71"/>
      <c r="G2575" s="73" t="s">
        <v>918</v>
      </c>
    </row>
    <row r="2576" spans="2:7" x14ac:dyDescent="0.15">
      <c r="B2576" s="299"/>
      <c r="C2576" s="69" t="s">
        <v>806</v>
      </c>
      <c r="D2576" s="70">
        <f>VLOOKUP(C2576,基本字段定义!$B$3:$C$3013,2,FALSE)</f>
        <v>683</v>
      </c>
      <c r="E2576" s="71" t="s">
        <v>363</v>
      </c>
      <c r="F2576" s="71"/>
      <c r="G2576" s="73" t="s">
        <v>930</v>
      </c>
    </row>
    <row r="2577" spans="2:7" x14ac:dyDescent="0.15">
      <c r="B2577" s="299"/>
      <c r="C2577" s="69" t="s">
        <v>933</v>
      </c>
      <c r="D2577" s="70">
        <f>VLOOKUP(C2577,基本字段定义!$B$3:$C$3013,2,FALSE)</f>
        <v>755</v>
      </c>
      <c r="E2577" s="71" t="s">
        <v>365</v>
      </c>
      <c r="F2577" s="71"/>
      <c r="G2577" s="73" t="s">
        <v>939</v>
      </c>
    </row>
    <row r="2578" spans="2:7" x14ac:dyDescent="0.15">
      <c r="B2578" s="299"/>
      <c r="C2578" s="69" t="s">
        <v>666</v>
      </c>
      <c r="D2578" s="70">
        <f>VLOOKUP(C2578,基本字段定义!$B$3:$C$3013,2,FALSE)</f>
        <v>719</v>
      </c>
      <c r="E2578" s="71" t="s">
        <v>365</v>
      </c>
      <c r="F2578" s="71"/>
      <c r="G2578" s="73" t="s">
        <v>683</v>
      </c>
    </row>
    <row r="2579" spans="2:7" x14ac:dyDescent="0.15">
      <c r="B2579" s="299"/>
      <c r="C2579" s="69" t="s">
        <v>685</v>
      </c>
      <c r="D2579" s="70">
        <f>VLOOKUP(C2579,基本字段定义!$B$3:$C$3013,2,FALSE)</f>
        <v>722</v>
      </c>
      <c r="E2579" s="71" t="s">
        <v>365</v>
      </c>
      <c r="F2579" s="71"/>
      <c r="G2579" s="73" t="s">
        <v>686</v>
      </c>
    </row>
    <row r="2580" spans="2:7" x14ac:dyDescent="0.15">
      <c r="B2580" s="299"/>
      <c r="C2580" s="69" t="s">
        <v>893</v>
      </c>
      <c r="D2580" s="70">
        <f>VLOOKUP(C2580,基本字段定义!$B$3:$C$3013,2,FALSE)</f>
        <v>1013</v>
      </c>
      <c r="E2580" s="71" t="s">
        <v>363</v>
      </c>
      <c r="F2580" s="71"/>
      <c r="G2580" s="73" t="s">
        <v>940</v>
      </c>
    </row>
    <row r="2581" spans="2:7" x14ac:dyDescent="0.15">
      <c r="B2581" s="299"/>
      <c r="C2581" s="69" t="s">
        <v>810</v>
      </c>
      <c r="D2581" s="70">
        <f>VLOOKUP(C2581,基本字段定义!$B$3:$C$3013,2,FALSE)</f>
        <v>684</v>
      </c>
      <c r="E2581" s="71" t="s">
        <v>363</v>
      </c>
      <c r="F2581" s="71"/>
      <c r="G2581" s="73" t="s">
        <v>811</v>
      </c>
    </row>
    <row r="2582" spans="2:7" x14ac:dyDescent="0.15">
      <c r="B2582" s="299"/>
      <c r="C2582" s="69" t="s">
        <v>812</v>
      </c>
      <c r="D2582" s="70">
        <f>VLOOKUP(C2582,基本字段定义!$B$3:$C$3013,2,FALSE)</f>
        <v>682</v>
      </c>
      <c r="E2582" s="71" t="s">
        <v>563</v>
      </c>
      <c r="F2582" s="71"/>
      <c r="G2582" s="73" t="s">
        <v>813</v>
      </c>
    </row>
    <row r="2583" spans="2:7" x14ac:dyDescent="0.15">
      <c r="B2583" s="299"/>
      <c r="C2583" s="69" t="s">
        <v>941</v>
      </c>
      <c r="D2583" s="70">
        <f>VLOOKUP(C2583,基本字段定义!$B$3:$C$3013,2,FALSE)</f>
        <v>750</v>
      </c>
      <c r="E2583" s="71" t="s">
        <v>365</v>
      </c>
      <c r="F2583" s="71"/>
      <c r="G2583" s="73" t="s">
        <v>942</v>
      </c>
    </row>
    <row r="2584" spans="2:7" x14ac:dyDescent="0.15">
      <c r="B2584" s="299"/>
      <c r="C2584" s="69" t="s">
        <v>943</v>
      </c>
      <c r="D2584" s="70">
        <f>VLOOKUP(C2584,基本字段定义!$B$3:$C$3013,2,FALSE)</f>
        <v>751</v>
      </c>
      <c r="E2584" s="71" t="s">
        <v>365</v>
      </c>
      <c r="F2584" s="71"/>
      <c r="G2584" s="73" t="s">
        <v>944</v>
      </c>
    </row>
    <row r="2585" spans="2:7" ht="25.5" x14ac:dyDescent="0.15">
      <c r="B2585" s="299"/>
      <c r="C2585" s="69" t="s">
        <v>945</v>
      </c>
      <c r="D2585" s="70">
        <f>VLOOKUP(C2585,基本字段定义!$B$3:$C$3013,2,FALSE)</f>
        <v>753</v>
      </c>
      <c r="E2585" s="71" t="s">
        <v>363</v>
      </c>
      <c r="F2585" s="71"/>
      <c r="G2585" s="74" t="s">
        <v>946</v>
      </c>
    </row>
    <row r="2586" spans="2:7" x14ac:dyDescent="0.15">
      <c r="B2586" s="299"/>
      <c r="C2586" s="69" t="s">
        <v>661</v>
      </c>
      <c r="D2586" s="70">
        <f>VLOOKUP(C2586,基本字段定义!$B$3:$C$3013,2,FALSE)</f>
        <v>830</v>
      </c>
      <c r="E2586" s="71" t="s">
        <v>365</v>
      </c>
      <c r="F2586" s="71"/>
      <c r="G2586" s="73" t="s">
        <v>947</v>
      </c>
    </row>
    <row r="2587" spans="2:7" x14ac:dyDescent="0.15">
      <c r="B2587" s="299"/>
      <c r="C2587" s="69" t="s">
        <v>948</v>
      </c>
      <c r="D2587" s="70">
        <f>VLOOKUP(C2587,基本字段定义!$B$3:$C$3013,2,FALSE)</f>
        <v>886</v>
      </c>
      <c r="E2587" s="71" t="s">
        <v>363</v>
      </c>
      <c r="F2587" s="71"/>
      <c r="G2587" s="73" t="s">
        <v>949</v>
      </c>
    </row>
    <row r="2588" spans="2:7" x14ac:dyDescent="0.15">
      <c r="B2588" s="299"/>
      <c r="C2588" s="69" t="s">
        <v>707</v>
      </c>
      <c r="D2588" s="70">
        <f>VLOOKUP(C2588,基本字段定义!$B$3:$C$3013,2,FALSE)</f>
        <v>528</v>
      </c>
      <c r="E2588" s="71" t="s">
        <v>363</v>
      </c>
      <c r="F2588" s="71"/>
      <c r="G2588" s="73" t="s">
        <v>950</v>
      </c>
    </row>
    <row r="2589" spans="2:7" x14ac:dyDescent="0.15">
      <c r="B2589" s="299"/>
      <c r="C2589" s="69" t="s">
        <v>709</v>
      </c>
      <c r="D2589" s="70">
        <f>VLOOKUP(C2589,基本字段定义!$B$3:$C$3013,2,FALSE)</f>
        <v>524</v>
      </c>
      <c r="E2589" s="71" t="s">
        <v>563</v>
      </c>
      <c r="F2589" s="71"/>
      <c r="G2589" s="73" t="s">
        <v>951</v>
      </c>
    </row>
    <row r="2590" spans="2:7" x14ac:dyDescent="0.15">
      <c r="B2590" s="299"/>
      <c r="C2590" s="69" t="s">
        <v>952</v>
      </c>
      <c r="D2590" s="70">
        <f>VLOOKUP(C2590,基本字段定义!$B$3:$C$3013,2,FALSE)</f>
        <v>525</v>
      </c>
      <c r="E2590" s="71" t="s">
        <v>563</v>
      </c>
      <c r="F2590" s="71"/>
      <c r="G2590" s="73" t="s">
        <v>953</v>
      </c>
    </row>
    <row r="2591" spans="2:7" x14ac:dyDescent="0.15">
      <c r="B2591" s="299"/>
      <c r="C2591" s="69" t="s">
        <v>550</v>
      </c>
      <c r="D2591" s="70">
        <f>VLOOKUP(C2591,基本字段定义!$B$3:$C$3013,2,FALSE)</f>
        <v>511</v>
      </c>
      <c r="E2591" s="71" t="s">
        <v>365</v>
      </c>
      <c r="F2591" s="71"/>
      <c r="G2591" s="73" t="s">
        <v>551</v>
      </c>
    </row>
    <row r="2592" spans="2:7" x14ac:dyDescent="0.15">
      <c r="B2592" s="299"/>
      <c r="C2592" s="69" t="s">
        <v>954</v>
      </c>
      <c r="D2592" s="70">
        <f>VLOOKUP(C2592,基本字段定义!$B$3:$C$3013,2,FALSE)</f>
        <v>647</v>
      </c>
      <c r="E2592" s="71" t="s">
        <v>563</v>
      </c>
      <c r="F2592" s="71"/>
      <c r="G2592" s="73" t="s">
        <v>955</v>
      </c>
    </row>
    <row r="2593" spans="2:7" x14ac:dyDescent="0.15">
      <c r="B2593" s="299"/>
      <c r="C2593" s="69" t="s">
        <v>956</v>
      </c>
      <c r="D2593" s="70">
        <f>VLOOKUP(C2593,基本字段定义!$B$3:$C$3013,2,FALSE)</f>
        <v>641</v>
      </c>
      <c r="E2593" s="71" t="s">
        <v>365</v>
      </c>
      <c r="F2593" s="71"/>
      <c r="G2593" s="73" t="s">
        <v>957</v>
      </c>
    </row>
    <row r="2594" spans="2:7" x14ac:dyDescent="0.15">
      <c r="B2594" s="299"/>
      <c r="C2594" s="69" t="s">
        <v>910</v>
      </c>
      <c r="D2594" s="70">
        <f>VLOOKUP(C2594,基本字段定义!$B$3:$C$3013,2,FALSE)</f>
        <v>1017</v>
      </c>
      <c r="E2594" s="71" t="s">
        <v>365</v>
      </c>
      <c r="F2594" s="71"/>
      <c r="G2594" s="73" t="s">
        <v>911</v>
      </c>
    </row>
    <row r="2595" spans="2:7" ht="14.25" thickBot="1" x14ac:dyDescent="0.2">
      <c r="B2595" s="304"/>
      <c r="C2595" s="75"/>
      <c r="D2595" s="83"/>
      <c r="E2595" s="77"/>
      <c r="F2595" s="77"/>
      <c r="G2595" s="78"/>
    </row>
    <row r="2597" spans="2:7" x14ac:dyDescent="0.15">
      <c r="B2597" s="57" t="s">
        <v>163</v>
      </c>
      <c r="C2597" s="84">
        <v>404201</v>
      </c>
      <c r="D2597" s="85"/>
      <c r="E2597" s="86"/>
      <c r="F2597" s="58" t="s">
        <v>352</v>
      </c>
      <c r="G2597" s="59"/>
    </row>
    <row r="2598" spans="2:7" x14ac:dyDescent="0.15">
      <c r="B2598" s="60" t="s">
        <v>353</v>
      </c>
      <c r="C2598" s="87" t="str">
        <f>VLOOKUP(C2597,功能索引!$C$3:$D$278,2,FALSE)</f>
        <v>证券历史成交查询</v>
      </c>
      <c r="D2598" s="88"/>
      <c r="E2598" s="89"/>
      <c r="F2598" s="61" t="s">
        <v>165</v>
      </c>
      <c r="G2598" s="62" t="str">
        <f>VLOOKUP(C2597,功能索引!$C$3:$E2466,3,FALSE)</f>
        <v>Y</v>
      </c>
    </row>
    <row r="2599" spans="2:7" x14ac:dyDescent="0.15">
      <c r="B2599" s="299" t="s">
        <v>354</v>
      </c>
      <c r="C2599" s="99"/>
      <c r="D2599" s="100"/>
      <c r="E2599" s="100"/>
      <c r="F2599" s="100"/>
      <c r="G2599" s="101"/>
    </row>
    <row r="2600" spans="2:7" ht="14.25" thickBot="1" x14ac:dyDescent="0.2">
      <c r="B2600" s="304"/>
      <c r="C2600" s="102"/>
      <c r="D2600" s="103"/>
      <c r="E2600" s="103"/>
      <c r="F2600" s="103"/>
      <c r="G2600" s="104"/>
    </row>
    <row r="2601" spans="2:7" x14ac:dyDescent="0.15">
      <c r="B2601" s="298" t="s">
        <v>355</v>
      </c>
      <c r="C2601" s="58" t="s">
        <v>356</v>
      </c>
      <c r="D2601" s="58" t="s">
        <v>357</v>
      </c>
      <c r="E2601" s="58" t="s">
        <v>358</v>
      </c>
      <c r="F2601" s="58" t="s">
        <v>359</v>
      </c>
      <c r="G2601" s="64" t="s">
        <v>360</v>
      </c>
    </row>
    <row r="2602" spans="2:7" x14ac:dyDescent="0.15">
      <c r="B2602" s="299"/>
      <c r="C2602" s="65" t="s">
        <v>428</v>
      </c>
      <c r="D2602" s="66">
        <f>VLOOKUP(C2602,基本字段定义!$B$3:$C$3013,2,FALSE)</f>
        <v>605</v>
      </c>
      <c r="E2602" s="67" t="s">
        <v>429</v>
      </c>
      <c r="F2602" s="67" t="s">
        <v>169</v>
      </c>
      <c r="G2602" s="68" t="s">
        <v>430</v>
      </c>
    </row>
    <row r="2603" spans="2:7" x14ac:dyDescent="0.15">
      <c r="B2603" s="299"/>
      <c r="C2603" s="65" t="s">
        <v>510</v>
      </c>
      <c r="D2603" s="66">
        <f>VLOOKUP(C2603,基本字段定义!$B$3:$C$3013,2,FALSE)</f>
        <v>618</v>
      </c>
      <c r="E2603" s="67" t="s">
        <v>363</v>
      </c>
      <c r="F2603" s="67" t="s">
        <v>169</v>
      </c>
      <c r="G2603" s="68" t="s">
        <v>1050</v>
      </c>
    </row>
    <row r="2604" spans="2:7" x14ac:dyDescent="0.15">
      <c r="B2604" s="299"/>
      <c r="C2604" s="65" t="s">
        <v>512</v>
      </c>
      <c r="D2604" s="66">
        <f>VLOOKUP(C2604,基本字段定义!$B$3:$C$3013,2,FALSE)</f>
        <v>590</v>
      </c>
      <c r="E2604" s="67" t="s">
        <v>363</v>
      </c>
      <c r="F2604" s="67" t="s">
        <v>169</v>
      </c>
      <c r="G2604" s="68" t="s">
        <v>1155</v>
      </c>
    </row>
    <row r="2605" spans="2:7" x14ac:dyDescent="0.15">
      <c r="B2605" s="299"/>
      <c r="C2605" s="65" t="s">
        <v>431</v>
      </c>
      <c r="D2605" s="66">
        <f>VLOOKUP(C2605,基本字段定义!$B$3:$C$3013,2,FALSE)</f>
        <v>571</v>
      </c>
      <c r="E2605" s="67" t="s">
        <v>432</v>
      </c>
      <c r="F2605" s="67"/>
      <c r="G2605" s="68" t="s">
        <v>433</v>
      </c>
    </row>
    <row r="2606" spans="2:7" x14ac:dyDescent="0.15">
      <c r="B2606" s="299"/>
      <c r="C2606" s="65" t="s">
        <v>387</v>
      </c>
      <c r="D2606" s="66">
        <f>VLOOKUP(C2606,基本字段定义!$B$3:$C$3013,2,FALSE)</f>
        <v>599</v>
      </c>
      <c r="E2606" s="67" t="s">
        <v>388</v>
      </c>
      <c r="F2606" s="67"/>
      <c r="G2606" s="68" t="s">
        <v>389</v>
      </c>
    </row>
    <row r="2607" spans="2:7" x14ac:dyDescent="0.15">
      <c r="B2607" s="299"/>
      <c r="C2607" s="65" t="s">
        <v>666</v>
      </c>
      <c r="D2607" s="66">
        <f>VLOOKUP(C2607,基本字段定义!$B$3:$C$3013,2,FALSE)</f>
        <v>719</v>
      </c>
      <c r="E2607" s="67" t="s">
        <v>506</v>
      </c>
      <c r="F2607" s="67"/>
      <c r="G2607" s="68" t="s">
        <v>683</v>
      </c>
    </row>
    <row r="2608" spans="2:7" x14ac:dyDescent="0.15">
      <c r="B2608" s="299"/>
      <c r="C2608" s="65" t="s">
        <v>550</v>
      </c>
      <c r="D2608" s="66">
        <f>VLOOKUP(C2608,基本字段定义!$B$3:$C$3013,2,FALSE)</f>
        <v>511</v>
      </c>
      <c r="E2608" s="67" t="s">
        <v>553</v>
      </c>
      <c r="F2608" s="67"/>
      <c r="G2608" s="68" t="s">
        <v>551</v>
      </c>
    </row>
    <row r="2609" spans="2:7" x14ac:dyDescent="0.15">
      <c r="B2609" s="299"/>
      <c r="C2609" s="65" t="s">
        <v>614</v>
      </c>
      <c r="D2609" s="66">
        <f>VLOOKUP(C2609,基本字段定义!$B$3:$C$3013,2,FALSE)</f>
        <v>763</v>
      </c>
      <c r="E2609" s="67" t="s">
        <v>497</v>
      </c>
      <c r="F2609" s="67"/>
      <c r="G2609" s="68" t="s">
        <v>1481</v>
      </c>
    </row>
    <row r="2610" spans="2:7" x14ac:dyDescent="0.15">
      <c r="B2610" s="299"/>
      <c r="C2610" s="65" t="s">
        <v>616</v>
      </c>
      <c r="D2610" s="66">
        <f>VLOOKUP(C2610,基本字段定义!$B$3:$C$3013,2,FALSE)</f>
        <v>9110</v>
      </c>
      <c r="E2610" s="67" t="s">
        <v>363</v>
      </c>
      <c r="F2610" s="67"/>
      <c r="G2610" s="68" t="s">
        <v>937</v>
      </c>
    </row>
    <row r="2611" spans="2:7" x14ac:dyDescent="0.15">
      <c r="B2611" s="299"/>
      <c r="C2611" s="65" t="s">
        <v>612</v>
      </c>
      <c r="D2611" s="66">
        <f>VLOOKUP(C2611,基本字段定义!$B$3:$C$3013,2,FALSE)</f>
        <v>9109</v>
      </c>
      <c r="E2611" s="67" t="s">
        <v>363</v>
      </c>
      <c r="F2611" s="67"/>
      <c r="G2611" s="68" t="s">
        <v>1382</v>
      </c>
    </row>
    <row r="2612" spans="2:7" x14ac:dyDescent="0.15">
      <c r="B2612" s="299" t="s">
        <v>361</v>
      </c>
      <c r="C2612" s="69" t="s">
        <v>614</v>
      </c>
      <c r="D2612" s="70">
        <f>VLOOKUP(C2612,基本字段定义!$B$3:$C$3013,2,FALSE)</f>
        <v>763</v>
      </c>
      <c r="E2612" s="71" t="s">
        <v>365</v>
      </c>
      <c r="F2612" s="71"/>
      <c r="G2612" s="73" t="s">
        <v>618</v>
      </c>
    </row>
    <row r="2613" spans="2:7" x14ac:dyDescent="0.15">
      <c r="B2613" s="299"/>
      <c r="C2613" s="69" t="s">
        <v>767</v>
      </c>
      <c r="D2613" s="70">
        <f>VLOOKUP(C2613,基本字段定义!$B$3:$C$3013,2,FALSE)</f>
        <v>526</v>
      </c>
      <c r="E2613" s="71" t="s">
        <v>363</v>
      </c>
      <c r="F2613" s="71"/>
      <c r="G2613" s="73" t="s">
        <v>974</v>
      </c>
    </row>
    <row r="2614" spans="2:7" x14ac:dyDescent="0.15">
      <c r="B2614" s="299"/>
      <c r="C2614" s="69" t="s">
        <v>387</v>
      </c>
      <c r="D2614" s="70">
        <f>VLOOKUP(C2614,基本字段定义!$B$3:$C$3013,2,FALSE)</f>
        <v>599</v>
      </c>
      <c r="E2614" s="71" t="s">
        <v>365</v>
      </c>
      <c r="F2614" s="71"/>
      <c r="G2614" s="73" t="s">
        <v>389</v>
      </c>
    </row>
    <row r="2615" spans="2:7" x14ac:dyDescent="0.15">
      <c r="B2615" s="299"/>
      <c r="C2615" s="69" t="s">
        <v>431</v>
      </c>
      <c r="D2615" s="70">
        <f>VLOOKUP(C2615,基本字段定义!$B$3:$C$3013,2,FALSE)</f>
        <v>571</v>
      </c>
      <c r="E2615" s="71" t="s">
        <v>365</v>
      </c>
      <c r="F2615" s="71"/>
      <c r="G2615" s="73" t="s">
        <v>433</v>
      </c>
    </row>
    <row r="2616" spans="2:7" x14ac:dyDescent="0.15">
      <c r="B2616" s="299"/>
      <c r="C2616" s="69" t="s">
        <v>550</v>
      </c>
      <c r="D2616" s="70">
        <f>VLOOKUP(C2616,基本字段定义!$B$3:$C$3013,2,FALSE)</f>
        <v>511</v>
      </c>
      <c r="E2616" s="71" t="s">
        <v>365</v>
      </c>
      <c r="F2616" s="71"/>
      <c r="G2616" s="73" t="s">
        <v>551</v>
      </c>
    </row>
    <row r="2617" spans="2:7" x14ac:dyDescent="0.15">
      <c r="B2617" s="299"/>
      <c r="C2617" s="69" t="s">
        <v>916</v>
      </c>
      <c r="D2617" s="70">
        <f>VLOOKUP(C2617,基本字段定义!$B$3:$C$3013,2,FALSE)</f>
        <v>681</v>
      </c>
      <c r="E2617" s="71" t="s">
        <v>363</v>
      </c>
      <c r="F2617" s="71"/>
      <c r="G2617" s="73" t="s">
        <v>918</v>
      </c>
    </row>
    <row r="2618" spans="2:7" x14ac:dyDescent="0.15">
      <c r="B2618" s="299"/>
      <c r="C2618" s="69" t="s">
        <v>806</v>
      </c>
      <c r="D2618" s="70">
        <f>VLOOKUP(C2618,基本字段定义!$B$3:$C$3013,2,FALSE)</f>
        <v>683</v>
      </c>
      <c r="E2618" s="71" t="s">
        <v>363</v>
      </c>
      <c r="F2618" s="71"/>
      <c r="G2618" s="73" t="s">
        <v>930</v>
      </c>
    </row>
    <row r="2619" spans="2:7" x14ac:dyDescent="0.15">
      <c r="B2619" s="299"/>
      <c r="C2619" s="69" t="s">
        <v>666</v>
      </c>
      <c r="D2619" s="70">
        <f>VLOOKUP(C2619,基本字段定义!$B$3:$C$3013,2,FALSE)</f>
        <v>719</v>
      </c>
      <c r="E2619" s="71" t="s">
        <v>365</v>
      </c>
      <c r="F2619" s="71"/>
      <c r="G2619" s="73" t="s">
        <v>683</v>
      </c>
    </row>
    <row r="2620" spans="2:7" x14ac:dyDescent="0.15">
      <c r="B2620" s="299"/>
      <c r="C2620" s="69" t="s">
        <v>685</v>
      </c>
      <c r="D2620" s="70">
        <f>VLOOKUP(C2620,基本字段定义!$B$3:$C$3013,2,FALSE)</f>
        <v>722</v>
      </c>
      <c r="E2620" s="71" t="s">
        <v>365</v>
      </c>
      <c r="F2620" s="71"/>
      <c r="G2620" s="73" t="s">
        <v>686</v>
      </c>
    </row>
    <row r="2621" spans="2:7" x14ac:dyDescent="0.15">
      <c r="B2621" s="299"/>
      <c r="C2621" s="69" t="s">
        <v>970</v>
      </c>
      <c r="D2621" s="70">
        <f>VLOOKUP(C2621,基本字段定义!$B$3:$C$3013,2,FALSE)</f>
        <v>527</v>
      </c>
      <c r="E2621" s="71" t="s">
        <v>365</v>
      </c>
      <c r="F2621" s="71"/>
      <c r="G2621" s="73" t="s">
        <v>971</v>
      </c>
    </row>
    <row r="2622" spans="2:7" x14ac:dyDescent="0.15">
      <c r="B2622" s="299"/>
      <c r="C2622" s="69" t="s">
        <v>707</v>
      </c>
      <c r="D2622" s="70">
        <f>VLOOKUP(C2622,基本字段定义!$B$3:$C$3013,2,FALSE)</f>
        <v>528</v>
      </c>
      <c r="E2622" s="71" t="s">
        <v>363</v>
      </c>
      <c r="F2622" s="71"/>
      <c r="G2622" s="73" t="s">
        <v>950</v>
      </c>
    </row>
    <row r="2623" spans="2:7" x14ac:dyDescent="0.15">
      <c r="B2623" s="299"/>
      <c r="C2623" s="69" t="s">
        <v>952</v>
      </c>
      <c r="D2623" s="70">
        <f>VLOOKUP(C2623,基本字段定义!$B$3:$C$3013,2,FALSE)</f>
        <v>525</v>
      </c>
      <c r="E2623" s="71" t="s">
        <v>563</v>
      </c>
      <c r="F2623" s="71"/>
      <c r="G2623" s="73" t="s">
        <v>965</v>
      </c>
    </row>
    <row r="2624" spans="2:7" x14ac:dyDescent="0.15">
      <c r="B2624" s="299"/>
      <c r="C2624" s="69" t="s">
        <v>1482</v>
      </c>
      <c r="D2624" s="70">
        <f>VLOOKUP(C2624,基本字段定义!$B$3:$C$3013,2,FALSE)</f>
        <v>9118</v>
      </c>
      <c r="E2624" s="71" t="s">
        <v>563</v>
      </c>
      <c r="F2624" s="71"/>
      <c r="G2624" s="73" t="s">
        <v>1483</v>
      </c>
    </row>
    <row r="2625" spans="2:7" x14ac:dyDescent="0.15">
      <c r="B2625" s="299"/>
      <c r="C2625" s="69" t="s">
        <v>709</v>
      </c>
      <c r="D2625" s="70">
        <f>VLOOKUP(C2625,基本字段定义!$B$3:$C$3013,2,FALSE)</f>
        <v>524</v>
      </c>
      <c r="E2625" s="71" t="s">
        <v>563</v>
      </c>
      <c r="F2625" s="71"/>
      <c r="G2625" s="73" t="s">
        <v>951</v>
      </c>
    </row>
    <row r="2626" spans="2:7" x14ac:dyDescent="0.15">
      <c r="B2626" s="299"/>
      <c r="C2626" s="69" t="s">
        <v>1347</v>
      </c>
      <c r="D2626" s="70">
        <f>VLOOKUP(C2626,基本字段定义!$B$3:$C$3013,2,FALSE)</f>
        <v>775</v>
      </c>
      <c r="E2626" s="71" t="s">
        <v>563</v>
      </c>
      <c r="F2626" s="71"/>
      <c r="G2626" s="73" t="s">
        <v>1484</v>
      </c>
    </row>
    <row r="2627" spans="2:7" x14ac:dyDescent="0.15">
      <c r="B2627" s="299"/>
      <c r="C2627" s="69" t="s">
        <v>1337</v>
      </c>
      <c r="D2627" s="70">
        <f>VLOOKUP(C2627,基本字段定义!$B$3:$C$3013,2,FALSE)</f>
        <v>766</v>
      </c>
      <c r="E2627" s="71" t="s">
        <v>563</v>
      </c>
      <c r="F2627" s="71"/>
      <c r="G2627" s="73" t="s">
        <v>1485</v>
      </c>
    </row>
    <row r="2628" spans="2:7" x14ac:dyDescent="0.15">
      <c r="B2628" s="299"/>
      <c r="C2628" s="69" t="s">
        <v>1339</v>
      </c>
      <c r="D2628" s="70">
        <f>VLOOKUP(C2628,基本字段定义!$B$3:$C$3013,2,FALSE)</f>
        <v>767</v>
      </c>
      <c r="E2628" s="71" t="s">
        <v>563</v>
      </c>
      <c r="F2628" s="71"/>
      <c r="G2628" s="73" t="s">
        <v>1486</v>
      </c>
    </row>
    <row r="2629" spans="2:7" x14ac:dyDescent="0.15">
      <c r="B2629" s="299"/>
      <c r="C2629" s="69" t="s">
        <v>1343</v>
      </c>
      <c r="D2629" s="70">
        <f>VLOOKUP(C2629,基本字段定义!$B$3:$C$3013,2,FALSE)</f>
        <v>768</v>
      </c>
      <c r="E2629" s="71" t="s">
        <v>563</v>
      </c>
      <c r="F2629" s="71"/>
      <c r="G2629" s="73" t="s">
        <v>1487</v>
      </c>
    </row>
    <row r="2630" spans="2:7" x14ac:dyDescent="0.15">
      <c r="B2630" s="299"/>
      <c r="C2630" s="69" t="s">
        <v>1345</v>
      </c>
      <c r="D2630" s="70">
        <f>VLOOKUP(C2630,基本字段定义!$B$3:$C$3013,2,FALSE)</f>
        <v>769</v>
      </c>
      <c r="E2630" s="71" t="s">
        <v>563</v>
      </c>
      <c r="F2630" s="71"/>
      <c r="G2630" s="73" t="s">
        <v>1488</v>
      </c>
    </row>
    <row r="2631" spans="2:7" x14ac:dyDescent="0.15">
      <c r="B2631" s="299"/>
      <c r="C2631" s="69" t="s">
        <v>1320</v>
      </c>
      <c r="D2631" s="70">
        <f>VLOOKUP(C2631,基本字段定义!$B$3:$C$3013,2,FALSE)</f>
        <v>770</v>
      </c>
      <c r="E2631" s="71" t="s">
        <v>563</v>
      </c>
      <c r="F2631" s="71"/>
      <c r="G2631" s="73" t="s">
        <v>1489</v>
      </c>
    </row>
    <row r="2632" spans="2:7" x14ac:dyDescent="0.15">
      <c r="B2632" s="299"/>
      <c r="C2632" s="69" t="s">
        <v>1322</v>
      </c>
      <c r="D2632" s="70">
        <f>VLOOKUP(C2632,基本字段定义!$B$3:$C$3013,2,FALSE)</f>
        <v>771</v>
      </c>
      <c r="E2632" s="71" t="s">
        <v>563</v>
      </c>
      <c r="F2632" s="71"/>
      <c r="G2632" s="73" t="s">
        <v>1490</v>
      </c>
    </row>
    <row r="2633" spans="2:7" x14ac:dyDescent="0.15">
      <c r="B2633" s="299"/>
      <c r="C2633" s="69" t="s">
        <v>903</v>
      </c>
      <c r="D2633" s="70">
        <f>VLOOKUP(C2633,基本字段定义!$B$3:$C$3013,2,FALSE)</f>
        <v>522</v>
      </c>
      <c r="E2633" s="71" t="s">
        <v>365</v>
      </c>
      <c r="F2633" s="71"/>
      <c r="G2633" s="73" t="s">
        <v>972</v>
      </c>
    </row>
    <row r="2634" spans="2:7" x14ac:dyDescent="0.15">
      <c r="B2634" s="299"/>
      <c r="C2634" s="69" t="s">
        <v>1491</v>
      </c>
      <c r="D2634" s="70">
        <f>VLOOKUP(C2634,基本字段定义!$B$3:$C$3013,2,FALSE)</f>
        <v>915</v>
      </c>
      <c r="E2634" s="71" t="s">
        <v>363</v>
      </c>
      <c r="F2634" s="71"/>
      <c r="G2634" s="73" t="s">
        <v>1492</v>
      </c>
    </row>
    <row r="2635" spans="2:7" x14ac:dyDescent="0.15">
      <c r="B2635" s="299"/>
      <c r="C2635" s="69" t="s">
        <v>978</v>
      </c>
      <c r="D2635" s="70">
        <f>VLOOKUP(C2635,基本字段定义!$B$3:$C$3013,2,FALSE)</f>
        <v>772</v>
      </c>
      <c r="E2635" s="71" t="s">
        <v>563</v>
      </c>
      <c r="F2635" s="71"/>
      <c r="G2635" s="73" t="s">
        <v>1493</v>
      </c>
    </row>
    <row r="2636" spans="2:7" x14ac:dyDescent="0.15">
      <c r="B2636" s="299"/>
      <c r="C2636" s="69" t="s">
        <v>1494</v>
      </c>
      <c r="D2636" s="70">
        <f>VLOOKUP(C2636,基本字段定义!$B$3:$C$3013,2,FALSE)</f>
        <v>776</v>
      </c>
      <c r="E2636" s="71" t="s">
        <v>363</v>
      </c>
      <c r="F2636" s="71"/>
      <c r="G2636" s="73" t="s">
        <v>1495</v>
      </c>
    </row>
    <row r="2637" spans="2:7" x14ac:dyDescent="0.15">
      <c r="B2637" s="299"/>
      <c r="C2637" s="69" t="s">
        <v>627</v>
      </c>
      <c r="D2637" s="70">
        <f>VLOOKUP(C2637,基本字段定义!$B$3:$C$3013,2,FALSE)</f>
        <v>501</v>
      </c>
      <c r="E2637" s="71" t="s">
        <v>563</v>
      </c>
      <c r="F2637" s="71"/>
      <c r="G2637" s="73" t="s">
        <v>564</v>
      </c>
    </row>
    <row r="2638" spans="2:7" x14ac:dyDescent="0.15">
      <c r="B2638" s="299"/>
      <c r="C2638" s="69" t="s">
        <v>512</v>
      </c>
      <c r="D2638" s="70">
        <f>VLOOKUP(C2638,基本字段定义!$B$3:$C$3013,2,FALSE)</f>
        <v>590</v>
      </c>
      <c r="E2638" s="71" t="s">
        <v>363</v>
      </c>
      <c r="F2638" s="71"/>
      <c r="G2638" s="73" t="s">
        <v>1496</v>
      </c>
    </row>
    <row r="2639" spans="2:7" ht="14.25" thickBot="1" x14ac:dyDescent="0.2">
      <c r="B2639" s="304"/>
      <c r="C2639" s="75"/>
      <c r="D2639" s="83"/>
      <c r="E2639" s="77"/>
      <c r="F2639" s="77"/>
      <c r="G2639" s="78"/>
    </row>
    <row r="2641" spans="2:7" x14ac:dyDescent="0.15">
      <c r="B2641" s="57" t="s">
        <v>163</v>
      </c>
      <c r="C2641" s="84">
        <v>405001</v>
      </c>
      <c r="D2641" s="85"/>
      <c r="E2641" s="86"/>
      <c r="F2641" s="58" t="s">
        <v>352</v>
      </c>
      <c r="G2641" s="59"/>
    </row>
    <row r="2642" spans="2:7" x14ac:dyDescent="0.15">
      <c r="B2642" s="60" t="s">
        <v>353</v>
      </c>
      <c r="C2642" s="87" t="str">
        <f>VLOOKUP(C2641,功能索引!$C$3:$D$278,2,FALSE)</f>
        <v>基金历史委托查询</v>
      </c>
      <c r="D2642" s="88"/>
      <c r="E2642" s="89"/>
      <c r="F2642" s="61" t="s">
        <v>165</v>
      </c>
      <c r="G2642" s="62" t="str">
        <f>VLOOKUP(C2641,功能索引!$C$3:$E2541,3,FALSE)</f>
        <v>Y</v>
      </c>
    </row>
    <row r="2643" spans="2:7" x14ac:dyDescent="0.15">
      <c r="B2643" s="299" t="s">
        <v>354</v>
      </c>
      <c r="C2643" s="99"/>
      <c r="D2643" s="100"/>
      <c r="E2643" s="100"/>
      <c r="F2643" s="100"/>
      <c r="G2643" s="101"/>
    </row>
    <row r="2644" spans="2:7" ht="14.25" thickBot="1" x14ac:dyDescent="0.2">
      <c r="B2644" s="304"/>
      <c r="C2644" s="102"/>
      <c r="D2644" s="103"/>
      <c r="E2644" s="103"/>
      <c r="F2644" s="103"/>
      <c r="G2644" s="104"/>
    </row>
    <row r="2645" spans="2:7" x14ac:dyDescent="0.15">
      <c r="B2645" s="298" t="s">
        <v>355</v>
      </c>
      <c r="C2645" s="58" t="s">
        <v>356</v>
      </c>
      <c r="D2645" s="58" t="s">
        <v>357</v>
      </c>
      <c r="E2645" s="58" t="s">
        <v>358</v>
      </c>
      <c r="F2645" s="58" t="s">
        <v>359</v>
      </c>
      <c r="G2645" s="64" t="s">
        <v>360</v>
      </c>
    </row>
    <row r="2646" spans="2:7" x14ac:dyDescent="0.15">
      <c r="B2646" s="299"/>
      <c r="C2646" s="65" t="s">
        <v>428</v>
      </c>
      <c r="D2646" s="66">
        <f>VLOOKUP(C2646,基本字段定义!$B$3:$C$3013,2,FALSE)</f>
        <v>605</v>
      </c>
      <c r="E2646" s="67" t="s">
        <v>429</v>
      </c>
      <c r="F2646" s="67" t="s">
        <v>169</v>
      </c>
      <c r="G2646" s="68" t="s">
        <v>430</v>
      </c>
    </row>
    <row r="2647" spans="2:7" x14ac:dyDescent="0.15">
      <c r="B2647" s="299"/>
      <c r="C2647" s="65" t="s">
        <v>510</v>
      </c>
      <c r="D2647" s="66">
        <f>VLOOKUP(C2647,基本字段定义!$B$3:$C$3013,2,FALSE)</f>
        <v>618</v>
      </c>
      <c r="E2647" s="67" t="s">
        <v>363</v>
      </c>
      <c r="F2647" s="67" t="s">
        <v>169</v>
      </c>
      <c r="G2647" s="68" t="s">
        <v>1050</v>
      </c>
    </row>
    <row r="2648" spans="2:7" x14ac:dyDescent="0.15">
      <c r="B2648" s="299"/>
      <c r="C2648" s="65" t="s">
        <v>512</v>
      </c>
      <c r="D2648" s="66">
        <f>VLOOKUP(C2648,基本字段定义!$B$3:$C$3013,2,FALSE)</f>
        <v>590</v>
      </c>
      <c r="E2648" s="67" t="s">
        <v>363</v>
      </c>
      <c r="F2648" s="67" t="s">
        <v>169</v>
      </c>
      <c r="G2648" s="68" t="s">
        <v>1155</v>
      </c>
    </row>
    <row r="2649" spans="2:7" x14ac:dyDescent="0.15">
      <c r="B2649" s="299"/>
      <c r="C2649" s="65" t="s">
        <v>1083</v>
      </c>
      <c r="D2649" s="66">
        <f>VLOOKUP(C2649,基本字段定义!$B$3:$C$3013,2,FALSE)</f>
        <v>9198</v>
      </c>
      <c r="E2649" s="67" t="s">
        <v>388</v>
      </c>
      <c r="F2649" s="67"/>
      <c r="G2649" s="68" t="s">
        <v>1084</v>
      </c>
    </row>
    <row r="2650" spans="2:7" x14ac:dyDescent="0.15">
      <c r="B2650" s="299"/>
      <c r="C2650" s="65" t="s">
        <v>614</v>
      </c>
      <c r="D2650" s="66">
        <f>VLOOKUP(C2650,基本字段定义!$B$3:$C$3013,2,FALSE)</f>
        <v>763</v>
      </c>
      <c r="E2650" s="67" t="s">
        <v>497</v>
      </c>
      <c r="F2650" s="67"/>
      <c r="G2650" s="68" t="s">
        <v>1481</v>
      </c>
    </row>
    <row r="2651" spans="2:7" x14ac:dyDescent="0.15">
      <c r="B2651" s="299"/>
      <c r="C2651" s="65" t="s">
        <v>616</v>
      </c>
      <c r="D2651" s="66">
        <f>VLOOKUP(C2651,基本字段定义!$B$3:$C$3013,2,FALSE)</f>
        <v>9110</v>
      </c>
      <c r="E2651" s="67" t="s">
        <v>363</v>
      </c>
      <c r="F2651" s="67"/>
      <c r="G2651" s="68" t="s">
        <v>937</v>
      </c>
    </row>
    <row r="2652" spans="2:7" x14ac:dyDescent="0.15">
      <c r="B2652" s="299"/>
      <c r="C2652" s="65" t="s">
        <v>612</v>
      </c>
      <c r="D2652" s="66">
        <f>VLOOKUP(C2652,基本字段定义!$B$3:$C$3013,2,FALSE)</f>
        <v>9109</v>
      </c>
      <c r="E2652" s="67" t="s">
        <v>363</v>
      </c>
      <c r="F2652" s="67"/>
      <c r="G2652" s="68" t="s">
        <v>1382</v>
      </c>
    </row>
    <row r="2653" spans="2:7" x14ac:dyDescent="0.15">
      <c r="B2653" s="299" t="s">
        <v>361</v>
      </c>
      <c r="C2653" s="69" t="s">
        <v>614</v>
      </c>
      <c r="D2653" s="70">
        <f>VLOOKUP(C2653,基本字段定义!$B$3:$C$3013,2,FALSE)</f>
        <v>763</v>
      </c>
      <c r="E2653" s="71" t="s">
        <v>365</v>
      </c>
      <c r="F2653" s="71"/>
      <c r="G2653" s="73" t="s">
        <v>618</v>
      </c>
    </row>
    <row r="2654" spans="2:7" x14ac:dyDescent="0.15">
      <c r="B2654" s="299"/>
      <c r="C2654" s="69" t="s">
        <v>916</v>
      </c>
      <c r="D2654" s="70">
        <f>VLOOKUP(C2654,基本字段定义!$B$3:$C$3013,2,FALSE)</f>
        <v>681</v>
      </c>
      <c r="E2654" s="71" t="s">
        <v>363</v>
      </c>
      <c r="F2654" s="71"/>
      <c r="G2654" s="73" t="s">
        <v>918</v>
      </c>
    </row>
    <row r="2655" spans="2:7" x14ac:dyDescent="0.15">
      <c r="B2655" s="299"/>
      <c r="C2655" s="69" t="s">
        <v>990</v>
      </c>
      <c r="D2655" s="70">
        <f>VLOOKUP(C2655,基本字段定义!$B$3:$C$3013,2,FALSE)</f>
        <v>1898</v>
      </c>
      <c r="E2655" s="71" t="s">
        <v>363</v>
      </c>
      <c r="F2655" s="71"/>
      <c r="G2655" s="73" t="s">
        <v>991</v>
      </c>
    </row>
    <row r="2656" spans="2:7" x14ac:dyDescent="0.15">
      <c r="B2656" s="299"/>
      <c r="C2656" s="69" t="s">
        <v>941</v>
      </c>
      <c r="D2656" s="70">
        <f>VLOOKUP(C2656,基本字段定义!$B$3:$C$3013,2,FALSE)</f>
        <v>750</v>
      </c>
      <c r="E2656" s="71" t="s">
        <v>365</v>
      </c>
      <c r="F2656" s="71"/>
      <c r="G2656" s="73" t="s">
        <v>942</v>
      </c>
    </row>
    <row r="2657" spans="2:7" x14ac:dyDescent="0.15">
      <c r="B2657" s="299"/>
      <c r="C2657" s="69" t="s">
        <v>1107</v>
      </c>
      <c r="D2657" s="70">
        <f>VLOOKUP(C2657,基本字段定义!$B$3:$C$3013,2,FALSE)</f>
        <v>9228</v>
      </c>
      <c r="E2657" s="71" t="s">
        <v>365</v>
      </c>
      <c r="F2657" s="71"/>
      <c r="G2657" s="73" t="s">
        <v>1108</v>
      </c>
    </row>
    <row r="2658" spans="2:7" x14ac:dyDescent="0.15">
      <c r="B2658" s="299"/>
      <c r="C2658" s="69" t="s">
        <v>1083</v>
      </c>
      <c r="D2658" s="70">
        <f>VLOOKUP(C2658,基本字段定义!$B$3:$C$3013,2,FALSE)</f>
        <v>9198</v>
      </c>
      <c r="E2658" s="71" t="s">
        <v>365</v>
      </c>
      <c r="F2658" s="71"/>
      <c r="G2658" s="73" t="s">
        <v>1084</v>
      </c>
    </row>
    <row r="2659" spans="2:7" x14ac:dyDescent="0.15">
      <c r="B2659" s="299"/>
      <c r="C2659" s="69" t="s">
        <v>773</v>
      </c>
      <c r="D2659" s="70">
        <f>VLOOKUP(C2659,基本字段定义!$B$3:$C$3013,2,FALSE)</f>
        <v>9129</v>
      </c>
      <c r="E2659" s="71" t="s">
        <v>365</v>
      </c>
      <c r="F2659" s="71"/>
      <c r="G2659" s="73" t="s">
        <v>774</v>
      </c>
    </row>
    <row r="2660" spans="2:7" x14ac:dyDescent="0.15">
      <c r="B2660" s="299"/>
      <c r="C2660" s="69" t="s">
        <v>1097</v>
      </c>
      <c r="D2660" s="70">
        <f>VLOOKUP(C2660,基本字段定义!$B$3:$C$3013,2,FALSE)</f>
        <v>874</v>
      </c>
      <c r="E2660" s="71" t="s">
        <v>363</v>
      </c>
      <c r="F2660" s="71"/>
      <c r="G2660" s="73" t="s">
        <v>1119</v>
      </c>
    </row>
    <row r="2661" spans="2:7" x14ac:dyDescent="0.15">
      <c r="B2661" s="299"/>
      <c r="C2661" s="69" t="s">
        <v>1092</v>
      </c>
      <c r="D2661" s="70">
        <f>VLOOKUP(C2661,基本字段定义!$B$3:$C$3013,2,FALSE)</f>
        <v>9202</v>
      </c>
      <c r="E2661" s="71" t="s">
        <v>365</v>
      </c>
      <c r="F2661" s="71"/>
      <c r="G2661" s="73" t="s">
        <v>778</v>
      </c>
    </row>
    <row r="2662" spans="2:7" x14ac:dyDescent="0.15">
      <c r="B2662" s="299"/>
      <c r="C2662" s="69" t="s">
        <v>1046</v>
      </c>
      <c r="D2662" s="70">
        <f>VLOOKUP(C2662,基本字段定义!$B$3:$C$3013,2,FALSE)</f>
        <v>1676</v>
      </c>
      <c r="E2662" s="71" t="s">
        <v>365</v>
      </c>
      <c r="F2662" s="71"/>
      <c r="G2662" s="73" t="s">
        <v>1132</v>
      </c>
    </row>
    <row r="2663" spans="2:7" x14ac:dyDescent="0.15">
      <c r="B2663" s="299"/>
      <c r="C2663" s="69" t="s">
        <v>1125</v>
      </c>
      <c r="D2663" s="70">
        <f>VLOOKUP(C2663,基本字段定义!$B$3:$C$3013,2,FALSE)</f>
        <v>9238</v>
      </c>
      <c r="E2663" s="71" t="s">
        <v>563</v>
      </c>
      <c r="F2663" s="71"/>
      <c r="G2663" s="73" t="s">
        <v>1133</v>
      </c>
    </row>
    <row r="2664" spans="2:7" x14ac:dyDescent="0.15">
      <c r="B2664" s="299"/>
      <c r="C2664" s="69" t="s">
        <v>1120</v>
      </c>
      <c r="D2664" s="70">
        <f>VLOOKUP(C2664,基本字段定义!$B$3:$C$3013,2,FALSE)</f>
        <v>9132</v>
      </c>
      <c r="E2664" s="71" t="s">
        <v>563</v>
      </c>
      <c r="F2664" s="71"/>
      <c r="G2664" s="73" t="s">
        <v>1134</v>
      </c>
    </row>
    <row r="2665" spans="2:7" x14ac:dyDescent="0.15">
      <c r="B2665" s="299"/>
      <c r="C2665" s="69" t="s">
        <v>956</v>
      </c>
      <c r="D2665" s="70">
        <f>VLOOKUP(C2665,基本字段定义!$B$3:$C$3013,2,FALSE)</f>
        <v>641</v>
      </c>
      <c r="E2665" s="71" t="s">
        <v>365</v>
      </c>
      <c r="F2665" s="71"/>
      <c r="G2665" s="73" t="s">
        <v>1000</v>
      </c>
    </row>
    <row r="2666" spans="2:7" x14ac:dyDescent="0.15">
      <c r="B2666" s="299"/>
      <c r="C2666" s="69" t="s">
        <v>945</v>
      </c>
      <c r="D2666" s="70">
        <f>VLOOKUP(C2666,基本字段定义!$B$3:$C$3013,2,FALSE)</f>
        <v>753</v>
      </c>
      <c r="E2666" s="71" t="s">
        <v>363</v>
      </c>
      <c r="F2666" s="71"/>
      <c r="G2666" s="73" t="s">
        <v>1135</v>
      </c>
    </row>
    <row r="2667" spans="2:7" x14ac:dyDescent="0.15">
      <c r="B2667" s="299"/>
      <c r="C2667" s="116" t="s">
        <v>1127</v>
      </c>
      <c r="D2667" s="117">
        <f>VLOOKUP(C2667,基本字段定义!$B$3:$C$3013,2,FALSE)</f>
        <v>9205</v>
      </c>
      <c r="E2667" s="117" t="s">
        <v>365</v>
      </c>
      <c r="F2667" s="117"/>
      <c r="G2667" s="115" t="s">
        <v>1136</v>
      </c>
    </row>
    <row r="2668" spans="2:7" x14ac:dyDescent="0.15">
      <c r="B2668" s="299"/>
      <c r="C2668" s="116" t="s">
        <v>1129</v>
      </c>
      <c r="D2668" s="117">
        <f>VLOOKUP(C2668,基本字段定义!$B$3:$C$3013,2,FALSE)</f>
        <v>9246</v>
      </c>
      <c r="E2668" s="117" t="s">
        <v>363</v>
      </c>
      <c r="F2668" s="117"/>
      <c r="G2668" s="115" t="s">
        <v>1137</v>
      </c>
    </row>
    <row r="2669" spans="2:7" x14ac:dyDescent="0.15">
      <c r="B2669" s="299"/>
      <c r="C2669" s="116" t="s">
        <v>1110</v>
      </c>
      <c r="D2669" s="117">
        <f>VLOOKUP(C2669,基本字段定义!$B$3:$C$3013,2,FALSE)</f>
        <v>1000</v>
      </c>
      <c r="E2669" s="117" t="s">
        <v>363</v>
      </c>
      <c r="F2669" s="117"/>
      <c r="G2669" s="115" t="s">
        <v>1138</v>
      </c>
    </row>
    <row r="2670" spans="2:7" x14ac:dyDescent="0.15">
      <c r="B2670" s="299"/>
      <c r="C2670" s="116" t="s">
        <v>585</v>
      </c>
      <c r="D2670" s="117">
        <f>VLOOKUP(C2670,基本字段定义!$B$3:$C$3013,2,FALSE)</f>
        <v>9020</v>
      </c>
      <c r="E2670" s="117" t="s">
        <v>363</v>
      </c>
      <c r="F2670" s="117"/>
      <c r="G2670" s="115" t="s">
        <v>1139</v>
      </c>
    </row>
    <row r="2671" spans="2:7" ht="14.25" thickBot="1" x14ac:dyDescent="0.2">
      <c r="B2671" s="304"/>
      <c r="C2671" s="75"/>
      <c r="D2671" s="83"/>
      <c r="E2671" s="77"/>
      <c r="F2671" s="77"/>
      <c r="G2671" s="78"/>
    </row>
    <row r="2673" spans="2:7" x14ac:dyDescent="0.15">
      <c r="B2673" s="57" t="s">
        <v>163</v>
      </c>
      <c r="C2673" s="84">
        <v>405003</v>
      </c>
      <c r="D2673" s="85"/>
      <c r="E2673" s="86"/>
      <c r="F2673" s="58" t="s">
        <v>352</v>
      </c>
      <c r="G2673" s="59"/>
    </row>
    <row r="2674" spans="2:7" x14ac:dyDescent="0.15">
      <c r="B2674" s="60" t="s">
        <v>353</v>
      </c>
      <c r="C2674" s="87" t="str">
        <f>VLOOKUP(C2673,功能索引!$C$3:$D$278,2,FALSE)</f>
        <v>基金委托确认查询</v>
      </c>
      <c r="D2674" s="88"/>
      <c r="E2674" s="89"/>
      <c r="F2674" s="61" t="s">
        <v>165</v>
      </c>
      <c r="G2674" s="62" t="str">
        <f>VLOOKUP(C2673,功能索引!$C$3:$E2573,3,FALSE)</f>
        <v>Y</v>
      </c>
    </row>
    <row r="2675" spans="2:7" x14ac:dyDescent="0.15">
      <c r="B2675" s="299" t="s">
        <v>354</v>
      </c>
      <c r="C2675" s="99"/>
      <c r="D2675" s="100"/>
      <c r="E2675" s="100"/>
      <c r="F2675" s="100"/>
      <c r="G2675" s="101"/>
    </row>
    <row r="2676" spans="2:7" ht="14.25" thickBot="1" x14ac:dyDescent="0.2">
      <c r="B2676" s="304"/>
      <c r="C2676" s="102"/>
      <c r="D2676" s="103"/>
      <c r="E2676" s="103"/>
      <c r="F2676" s="103"/>
      <c r="G2676" s="104"/>
    </row>
    <row r="2677" spans="2:7" x14ac:dyDescent="0.15">
      <c r="B2677" s="298" t="s">
        <v>355</v>
      </c>
      <c r="C2677" s="58" t="s">
        <v>356</v>
      </c>
      <c r="D2677" s="58" t="s">
        <v>357</v>
      </c>
      <c r="E2677" s="58" t="s">
        <v>358</v>
      </c>
      <c r="F2677" s="58" t="s">
        <v>359</v>
      </c>
      <c r="G2677" s="64" t="s">
        <v>360</v>
      </c>
    </row>
    <row r="2678" spans="2:7" x14ac:dyDescent="0.15">
      <c r="B2678" s="299"/>
      <c r="C2678" s="65" t="s">
        <v>428</v>
      </c>
      <c r="D2678" s="66">
        <f>VLOOKUP(C2678,基本字段定义!$B$3:$C$3013,2,FALSE)</f>
        <v>605</v>
      </c>
      <c r="E2678" s="67" t="s">
        <v>429</v>
      </c>
      <c r="F2678" s="67" t="s">
        <v>169</v>
      </c>
      <c r="G2678" s="68" t="s">
        <v>430</v>
      </c>
    </row>
    <row r="2679" spans="2:7" x14ac:dyDescent="0.15">
      <c r="B2679" s="299"/>
      <c r="C2679" s="65" t="s">
        <v>510</v>
      </c>
      <c r="D2679" s="66">
        <f>VLOOKUP(C2679,基本字段定义!$B$3:$C$3013,2,FALSE)</f>
        <v>618</v>
      </c>
      <c r="E2679" s="67" t="s">
        <v>363</v>
      </c>
      <c r="F2679" s="67" t="s">
        <v>169</v>
      </c>
      <c r="G2679" s="68" t="s">
        <v>1050</v>
      </c>
    </row>
    <row r="2680" spans="2:7" x14ac:dyDescent="0.15">
      <c r="B2680" s="299"/>
      <c r="C2680" s="65" t="s">
        <v>512</v>
      </c>
      <c r="D2680" s="66">
        <f>VLOOKUP(C2680,基本字段定义!$B$3:$C$3013,2,FALSE)</f>
        <v>590</v>
      </c>
      <c r="E2680" s="67" t="s">
        <v>363</v>
      </c>
      <c r="F2680" s="67" t="s">
        <v>169</v>
      </c>
      <c r="G2680" s="68" t="s">
        <v>1155</v>
      </c>
    </row>
    <row r="2681" spans="2:7" x14ac:dyDescent="0.15">
      <c r="B2681" s="299"/>
      <c r="C2681" s="65" t="s">
        <v>1083</v>
      </c>
      <c r="D2681" s="66">
        <f>VLOOKUP(C2681,基本字段定义!$B$3:$C$3013,2,FALSE)</f>
        <v>9198</v>
      </c>
      <c r="E2681" s="67" t="s">
        <v>388</v>
      </c>
      <c r="F2681" s="67"/>
      <c r="G2681" s="68" t="s">
        <v>1084</v>
      </c>
    </row>
    <row r="2682" spans="2:7" x14ac:dyDescent="0.15">
      <c r="B2682" s="299"/>
      <c r="C2682" s="65" t="s">
        <v>614</v>
      </c>
      <c r="D2682" s="66">
        <f>VLOOKUP(C2682,基本字段定义!$B$3:$C$3013,2,FALSE)</f>
        <v>763</v>
      </c>
      <c r="E2682" s="67" t="s">
        <v>497</v>
      </c>
      <c r="F2682" s="67"/>
      <c r="G2682" s="68" t="s">
        <v>1481</v>
      </c>
    </row>
    <row r="2683" spans="2:7" x14ac:dyDescent="0.15">
      <c r="B2683" s="299"/>
      <c r="C2683" s="65" t="s">
        <v>616</v>
      </c>
      <c r="D2683" s="66">
        <f>VLOOKUP(C2683,基本字段定义!$B$3:$C$3013,2,FALSE)</f>
        <v>9110</v>
      </c>
      <c r="E2683" s="67" t="s">
        <v>363</v>
      </c>
      <c r="F2683" s="67"/>
      <c r="G2683" s="68" t="s">
        <v>937</v>
      </c>
    </row>
    <row r="2684" spans="2:7" x14ac:dyDescent="0.15">
      <c r="B2684" s="299"/>
      <c r="C2684" s="65" t="s">
        <v>1497</v>
      </c>
      <c r="D2684" s="66">
        <v>1160</v>
      </c>
      <c r="E2684" s="67" t="s">
        <v>365</v>
      </c>
      <c r="F2684" s="67"/>
      <c r="G2684" s="68" t="s">
        <v>1498</v>
      </c>
    </row>
    <row r="2685" spans="2:7" x14ac:dyDescent="0.15">
      <c r="B2685" s="299"/>
      <c r="C2685" s="65" t="s">
        <v>612</v>
      </c>
      <c r="D2685" s="66">
        <f>VLOOKUP(C2685,基本字段定义!$B$3:$C$3013,2,FALSE)</f>
        <v>9109</v>
      </c>
      <c r="E2685" s="67" t="s">
        <v>363</v>
      </c>
      <c r="F2685" s="67"/>
      <c r="G2685" s="68" t="s">
        <v>1382</v>
      </c>
    </row>
    <row r="2686" spans="2:7" x14ac:dyDescent="0.15">
      <c r="B2686" s="299" t="s">
        <v>361</v>
      </c>
      <c r="C2686" s="69" t="s">
        <v>614</v>
      </c>
      <c r="D2686" s="70">
        <f>VLOOKUP(C2686,基本字段定义!$B$3:$C$3013,2,FALSE)</f>
        <v>763</v>
      </c>
      <c r="E2686" s="71" t="s">
        <v>365</v>
      </c>
      <c r="F2686" s="71"/>
      <c r="G2686" s="73" t="s">
        <v>618</v>
      </c>
    </row>
    <row r="2687" spans="2:7" x14ac:dyDescent="0.15">
      <c r="B2687" s="299"/>
      <c r="C2687" s="69" t="s">
        <v>916</v>
      </c>
      <c r="D2687" s="70">
        <f>VLOOKUP(C2687,基本字段定义!$B$3:$C$3013,2,FALSE)</f>
        <v>681</v>
      </c>
      <c r="E2687" s="71" t="s">
        <v>363</v>
      </c>
      <c r="F2687" s="71"/>
      <c r="G2687" s="73" t="s">
        <v>918</v>
      </c>
    </row>
    <row r="2688" spans="2:7" x14ac:dyDescent="0.15">
      <c r="B2688" s="299"/>
      <c r="C2688" s="69" t="s">
        <v>990</v>
      </c>
      <c r="D2688" s="70">
        <f>VLOOKUP(C2688,基本字段定义!$B$3:$C$3013,2,FALSE)</f>
        <v>1898</v>
      </c>
      <c r="E2688" s="71" t="s">
        <v>363</v>
      </c>
      <c r="F2688" s="71"/>
      <c r="G2688" s="73" t="s">
        <v>991</v>
      </c>
    </row>
    <row r="2689" spans="2:7" x14ac:dyDescent="0.15">
      <c r="B2689" s="299"/>
      <c r="C2689" s="69" t="s">
        <v>1499</v>
      </c>
      <c r="D2689" s="70">
        <f>VLOOKUP(C2689,基本字段定义!$B$3:$C$3013,2,FALSE)</f>
        <v>9262</v>
      </c>
      <c r="E2689" s="71" t="s">
        <v>363</v>
      </c>
      <c r="F2689" s="71"/>
      <c r="G2689" s="73" t="s">
        <v>534</v>
      </c>
    </row>
    <row r="2690" spans="2:7" x14ac:dyDescent="0.15">
      <c r="B2690" s="299"/>
      <c r="C2690" s="69" t="s">
        <v>1107</v>
      </c>
      <c r="D2690" s="70">
        <f>VLOOKUP(C2690,基本字段定义!$B$3:$C$3013,2,FALSE)</f>
        <v>9228</v>
      </c>
      <c r="E2690" s="71" t="s">
        <v>365</v>
      </c>
      <c r="F2690" s="71"/>
      <c r="G2690" s="73" t="s">
        <v>1108</v>
      </c>
    </row>
    <row r="2691" spans="2:7" x14ac:dyDescent="0.15">
      <c r="B2691" s="299"/>
      <c r="C2691" s="69" t="s">
        <v>1083</v>
      </c>
      <c r="D2691" s="70">
        <f>VLOOKUP(C2691,基本字段定义!$B$3:$C$3013,2,FALSE)</f>
        <v>9198</v>
      </c>
      <c r="E2691" s="71" t="s">
        <v>365</v>
      </c>
      <c r="F2691" s="71"/>
      <c r="G2691" s="73" t="s">
        <v>1084</v>
      </c>
    </row>
    <row r="2692" spans="2:7" x14ac:dyDescent="0.15">
      <c r="B2692" s="299"/>
      <c r="C2692" s="69" t="s">
        <v>773</v>
      </c>
      <c r="D2692" s="70">
        <f>VLOOKUP(C2692,基本字段定义!$B$3:$C$3013,2,FALSE)</f>
        <v>9129</v>
      </c>
      <c r="E2692" s="71" t="s">
        <v>365</v>
      </c>
      <c r="F2692" s="71"/>
      <c r="G2692" s="73" t="s">
        <v>774</v>
      </c>
    </row>
    <row r="2693" spans="2:7" x14ac:dyDescent="0.15">
      <c r="B2693" s="299"/>
      <c r="C2693" s="69" t="s">
        <v>1097</v>
      </c>
      <c r="D2693" s="70">
        <f>VLOOKUP(C2693,基本字段定义!$B$3:$C$3013,2,FALSE)</f>
        <v>874</v>
      </c>
      <c r="E2693" s="71" t="s">
        <v>363</v>
      </c>
      <c r="F2693" s="71"/>
      <c r="G2693" s="73" t="s">
        <v>1119</v>
      </c>
    </row>
    <row r="2694" spans="2:7" x14ac:dyDescent="0.15">
      <c r="B2694" s="299"/>
      <c r="C2694" s="69" t="s">
        <v>1092</v>
      </c>
      <c r="D2694" s="70">
        <f>VLOOKUP(C2694,基本字段定义!$B$3:$C$3013,2,FALSE)</f>
        <v>9202</v>
      </c>
      <c r="E2694" s="71" t="s">
        <v>365</v>
      </c>
      <c r="F2694" s="71"/>
      <c r="G2694" s="73" t="s">
        <v>778</v>
      </c>
    </row>
    <row r="2695" spans="2:7" x14ac:dyDescent="0.15">
      <c r="B2695" s="299"/>
      <c r="C2695" s="69" t="s">
        <v>1046</v>
      </c>
      <c r="D2695" s="70">
        <f>VLOOKUP(C2695,基本字段定义!$B$3:$C$3013,2,FALSE)</f>
        <v>1676</v>
      </c>
      <c r="E2695" s="71" t="s">
        <v>365</v>
      </c>
      <c r="F2695" s="71"/>
      <c r="G2695" s="73" t="s">
        <v>1132</v>
      </c>
    </row>
    <row r="2696" spans="2:7" x14ac:dyDescent="0.15">
      <c r="B2696" s="299"/>
      <c r="C2696" s="69" t="s">
        <v>1125</v>
      </c>
      <c r="D2696" s="70">
        <f>VLOOKUP(C2696,基本字段定义!$B$3:$C$3013,2,FALSE)</f>
        <v>9238</v>
      </c>
      <c r="E2696" s="71" t="s">
        <v>563</v>
      </c>
      <c r="F2696" s="71"/>
      <c r="G2696" s="73" t="s">
        <v>1133</v>
      </c>
    </row>
    <row r="2697" spans="2:7" x14ac:dyDescent="0.15">
      <c r="B2697" s="299"/>
      <c r="C2697" s="69" t="s">
        <v>1500</v>
      </c>
      <c r="D2697" s="70">
        <f>VLOOKUP(C2697,基本字段定义!$B$3:$C$3013,2,FALSE)</f>
        <v>9263</v>
      </c>
      <c r="E2697" s="71" t="s">
        <v>563</v>
      </c>
      <c r="F2697" s="71"/>
      <c r="G2697" s="73" t="s">
        <v>1501</v>
      </c>
    </row>
    <row r="2698" spans="2:7" x14ac:dyDescent="0.15">
      <c r="B2698" s="299"/>
      <c r="C2698" s="69" t="s">
        <v>1120</v>
      </c>
      <c r="D2698" s="70">
        <f>VLOOKUP(C2698,基本字段定义!$B$3:$C$3013,2,FALSE)</f>
        <v>9132</v>
      </c>
      <c r="E2698" s="71" t="s">
        <v>563</v>
      </c>
      <c r="F2698" s="71"/>
      <c r="G2698" s="73" t="s">
        <v>1134</v>
      </c>
    </row>
    <row r="2699" spans="2:7" x14ac:dyDescent="0.15">
      <c r="B2699" s="299"/>
      <c r="C2699" s="69" t="s">
        <v>1502</v>
      </c>
      <c r="D2699" s="70">
        <f>VLOOKUP(C2699,基本字段定义!$B$3:$C$3013,2,FALSE)</f>
        <v>9264</v>
      </c>
      <c r="E2699" s="71" t="s">
        <v>563</v>
      </c>
      <c r="F2699" s="71"/>
      <c r="G2699" s="73" t="s">
        <v>1503</v>
      </c>
    </row>
    <row r="2700" spans="2:7" x14ac:dyDescent="0.15">
      <c r="B2700" s="299"/>
      <c r="C2700" s="69" t="s">
        <v>1504</v>
      </c>
      <c r="D2700" s="70">
        <f>VLOOKUP(C2700,基本字段定义!$B$3:$C$3013,2,FALSE)</f>
        <v>9305</v>
      </c>
      <c r="E2700" s="71" t="s">
        <v>365</v>
      </c>
      <c r="F2700" s="71"/>
      <c r="G2700" s="73" t="s">
        <v>1505</v>
      </c>
    </row>
    <row r="2701" spans="2:7" x14ac:dyDescent="0.15">
      <c r="B2701" s="299"/>
      <c r="C2701" s="69" t="s">
        <v>998</v>
      </c>
      <c r="D2701" s="70">
        <f>VLOOKUP(C2701,基本字段定义!$B$3:$C$3013,2,FALSE)</f>
        <v>1234</v>
      </c>
      <c r="E2701" s="71" t="s">
        <v>363</v>
      </c>
      <c r="F2701" s="71"/>
      <c r="G2701" s="73" t="s">
        <v>999</v>
      </c>
    </row>
    <row r="2702" spans="2:7" x14ac:dyDescent="0.15">
      <c r="B2702" s="299"/>
      <c r="C2702" s="69" t="s">
        <v>1110</v>
      </c>
      <c r="D2702" s="70">
        <f>VLOOKUP(C2702,基本字段定义!$B$3:$C$3013,2,FALSE)</f>
        <v>1000</v>
      </c>
      <c r="E2702" s="71" t="s">
        <v>363</v>
      </c>
      <c r="F2702" s="71"/>
      <c r="G2702" s="73" t="s">
        <v>1138</v>
      </c>
    </row>
    <row r="2703" spans="2:7" x14ac:dyDescent="0.15">
      <c r="B2703" s="299"/>
      <c r="C2703" s="69" t="s">
        <v>1095</v>
      </c>
      <c r="D2703" s="70">
        <f>VLOOKUP(C2703,基本字段定义!$B$3:$C$3013,2,FALSE)</f>
        <v>9204</v>
      </c>
      <c r="E2703" s="71" t="s">
        <v>563</v>
      </c>
      <c r="F2703" s="71"/>
      <c r="G2703" s="73" t="s">
        <v>1096</v>
      </c>
    </row>
    <row r="2704" spans="2:7" ht="14.25" thickBot="1" x14ac:dyDescent="0.2">
      <c r="B2704" s="304"/>
      <c r="C2704" s="75"/>
      <c r="D2704" s="83"/>
      <c r="E2704" s="77"/>
      <c r="F2704" s="77"/>
      <c r="G2704" s="78"/>
    </row>
    <row r="2706" spans="2:7" x14ac:dyDescent="0.15">
      <c r="B2706" s="57" t="s">
        <v>163</v>
      </c>
      <c r="C2706" s="84">
        <v>403201</v>
      </c>
      <c r="D2706" s="85"/>
      <c r="E2706" s="86"/>
      <c r="F2706" s="58" t="s">
        <v>352</v>
      </c>
      <c r="G2706" s="59"/>
    </row>
    <row r="2707" spans="2:7" x14ac:dyDescent="0.15">
      <c r="B2707" s="60" t="s">
        <v>353</v>
      </c>
      <c r="C2707" s="87" t="str">
        <f>VLOOKUP(C2706,功能索引!$C$3:$D$278,2,FALSE)</f>
        <v>资金变动明细查询</v>
      </c>
      <c r="D2707" s="88"/>
      <c r="E2707" s="89"/>
      <c r="F2707" s="61" t="s">
        <v>165</v>
      </c>
      <c r="G2707" s="62" t="str">
        <f>VLOOKUP(C2706,功能索引!$C$3:$E2607,3,FALSE)</f>
        <v>Y</v>
      </c>
    </row>
    <row r="2708" spans="2:7" x14ac:dyDescent="0.15">
      <c r="B2708" s="299" t="s">
        <v>354</v>
      </c>
      <c r="C2708" s="99" t="s">
        <v>611</v>
      </c>
      <c r="D2708" s="100"/>
      <c r="E2708" s="100"/>
      <c r="F2708" s="100"/>
      <c r="G2708" s="101"/>
    </row>
    <row r="2709" spans="2:7" ht="14.25" thickBot="1" x14ac:dyDescent="0.2">
      <c r="B2709" s="304"/>
      <c r="C2709" s="102"/>
      <c r="D2709" s="103"/>
      <c r="E2709" s="103"/>
      <c r="F2709" s="103"/>
      <c r="G2709" s="104"/>
    </row>
    <row r="2710" spans="2:7" x14ac:dyDescent="0.15">
      <c r="B2710" s="298" t="s">
        <v>355</v>
      </c>
      <c r="C2710" s="58" t="s">
        <v>356</v>
      </c>
      <c r="D2710" s="58" t="s">
        <v>357</v>
      </c>
      <c r="E2710" s="58" t="s">
        <v>358</v>
      </c>
      <c r="F2710" s="58" t="s">
        <v>359</v>
      </c>
      <c r="G2710" s="64" t="s">
        <v>360</v>
      </c>
    </row>
    <row r="2711" spans="2:7" x14ac:dyDescent="0.15">
      <c r="B2711" s="299"/>
      <c r="C2711" s="65" t="s">
        <v>428</v>
      </c>
      <c r="D2711" s="66">
        <f>VLOOKUP(C2711,基本字段定义!$B$3:$C$3013,2,FALSE)</f>
        <v>605</v>
      </c>
      <c r="E2711" s="67" t="s">
        <v>429</v>
      </c>
      <c r="F2711" s="67" t="s">
        <v>169</v>
      </c>
      <c r="G2711" s="68" t="s">
        <v>430</v>
      </c>
    </row>
    <row r="2712" spans="2:7" x14ac:dyDescent="0.15">
      <c r="B2712" s="299"/>
      <c r="C2712" s="65" t="s">
        <v>510</v>
      </c>
      <c r="D2712" s="66">
        <f>VLOOKUP(C2712,基本字段定义!$B$3:$C$3013,2,FALSE)</f>
        <v>618</v>
      </c>
      <c r="E2712" s="67" t="s">
        <v>363</v>
      </c>
      <c r="F2712" s="67" t="s">
        <v>169</v>
      </c>
      <c r="G2712" s="68" t="s">
        <v>1050</v>
      </c>
    </row>
    <row r="2713" spans="2:7" x14ac:dyDescent="0.15">
      <c r="B2713" s="299"/>
      <c r="C2713" s="65" t="s">
        <v>512</v>
      </c>
      <c r="D2713" s="66">
        <f>VLOOKUP(C2713,基本字段定义!$B$3:$C$3013,2,FALSE)</f>
        <v>590</v>
      </c>
      <c r="E2713" s="67" t="s">
        <v>363</v>
      </c>
      <c r="F2713" s="67" t="s">
        <v>169</v>
      </c>
      <c r="G2713" s="68" t="s">
        <v>1155</v>
      </c>
    </row>
    <row r="2714" spans="2:7" x14ac:dyDescent="0.15">
      <c r="B2714" s="299"/>
      <c r="C2714" s="65" t="s">
        <v>550</v>
      </c>
      <c r="D2714" s="66">
        <f>VLOOKUP(C2714,基本字段定义!$B$3:$C$3013,2,FALSE)</f>
        <v>511</v>
      </c>
      <c r="E2714" s="67" t="s">
        <v>553</v>
      </c>
      <c r="F2714" s="67"/>
      <c r="G2714" s="68" t="s">
        <v>551</v>
      </c>
    </row>
    <row r="2715" spans="2:7" x14ac:dyDescent="0.15">
      <c r="B2715" s="299"/>
      <c r="C2715" s="65" t="s">
        <v>614</v>
      </c>
      <c r="D2715" s="66">
        <f>VLOOKUP(C2715,基本字段定义!$B$3:$C$3013,2,FALSE)</f>
        <v>763</v>
      </c>
      <c r="E2715" s="67" t="s">
        <v>497</v>
      </c>
      <c r="F2715" s="67"/>
      <c r="G2715" s="68" t="s">
        <v>1506</v>
      </c>
    </row>
    <row r="2716" spans="2:7" x14ac:dyDescent="0.15">
      <c r="B2716" s="299"/>
      <c r="C2716" s="65" t="s">
        <v>616</v>
      </c>
      <c r="D2716" s="66">
        <f>VLOOKUP(C2716,基本字段定义!$B$3:$C$3013,2,FALSE)</f>
        <v>9110</v>
      </c>
      <c r="E2716" s="67" t="s">
        <v>363</v>
      </c>
      <c r="F2716" s="67"/>
      <c r="G2716" s="68" t="s">
        <v>617</v>
      </c>
    </row>
    <row r="2717" spans="2:7" x14ac:dyDescent="0.15">
      <c r="B2717" s="299"/>
      <c r="C2717" s="65" t="s">
        <v>612</v>
      </c>
      <c r="D2717" s="66">
        <f>VLOOKUP(C2717,基本字段定义!$B$3:$C$3013,2,FALSE)</f>
        <v>9109</v>
      </c>
      <c r="E2717" s="67" t="s">
        <v>363</v>
      </c>
      <c r="F2717" s="67"/>
      <c r="G2717" s="68" t="s">
        <v>1507</v>
      </c>
    </row>
    <row r="2718" spans="2:7" x14ac:dyDescent="0.15">
      <c r="B2718" s="299" t="s">
        <v>361</v>
      </c>
      <c r="C2718" s="69" t="s">
        <v>614</v>
      </c>
      <c r="D2718" s="70">
        <f>VLOOKUP(C2718,基本字段定义!$B$3:$C$3013,2,FALSE)</f>
        <v>763</v>
      </c>
      <c r="E2718" s="71" t="s">
        <v>365</v>
      </c>
      <c r="F2718" s="71"/>
      <c r="G2718" s="72" t="s">
        <v>618</v>
      </c>
    </row>
    <row r="2719" spans="2:7" x14ac:dyDescent="0.15">
      <c r="B2719" s="299"/>
      <c r="C2719" s="69" t="s">
        <v>393</v>
      </c>
      <c r="D2719" s="70">
        <f>VLOOKUP(C2719,基本字段定义!$B$3:$C$3013,2,FALSE)</f>
        <v>651</v>
      </c>
      <c r="E2719" s="71" t="s">
        <v>363</v>
      </c>
      <c r="F2719" s="71"/>
      <c r="G2719" s="73" t="s">
        <v>619</v>
      </c>
    </row>
    <row r="2720" spans="2:7" x14ac:dyDescent="0.15">
      <c r="B2720" s="299"/>
      <c r="C2720" s="69" t="s">
        <v>620</v>
      </c>
      <c r="D2720" s="70">
        <f>VLOOKUP(C2720,基本字段定义!$B$3:$C$3013,2,FALSE)</f>
        <v>865</v>
      </c>
      <c r="E2720" s="71" t="s">
        <v>365</v>
      </c>
      <c r="F2720" s="71"/>
      <c r="G2720" s="73" t="s">
        <v>621</v>
      </c>
    </row>
    <row r="2721" spans="2:7" x14ac:dyDescent="0.15">
      <c r="B2721" s="299"/>
      <c r="C2721" s="69" t="s">
        <v>548</v>
      </c>
      <c r="D2721" s="70">
        <f>VLOOKUP(C2721,基本字段定义!$B$3:$C$3013,2,FALSE)</f>
        <v>716</v>
      </c>
      <c r="E2721" s="71" t="s">
        <v>365</v>
      </c>
      <c r="F2721" s="71"/>
      <c r="G2721" s="73" t="s">
        <v>555</v>
      </c>
    </row>
    <row r="2722" spans="2:7" x14ac:dyDescent="0.15">
      <c r="B2722" s="299"/>
      <c r="C2722" s="69" t="s">
        <v>550</v>
      </c>
      <c r="D2722" s="70">
        <f>VLOOKUP(C2722,基本字段定义!$B$3:$C$3013,2,FALSE)</f>
        <v>511</v>
      </c>
      <c r="E2722" s="71" t="s">
        <v>365</v>
      </c>
      <c r="F2722" s="71"/>
      <c r="G2722" s="73" t="s">
        <v>551</v>
      </c>
    </row>
    <row r="2723" spans="2:7" x14ac:dyDescent="0.15">
      <c r="B2723" s="299"/>
      <c r="C2723" s="69" t="s">
        <v>623</v>
      </c>
      <c r="D2723" s="70">
        <f>VLOOKUP(C2723,基本字段定义!$B$3:$C$3013,2,FALSE)</f>
        <v>9115</v>
      </c>
      <c r="E2723" s="71" t="s">
        <v>563</v>
      </c>
      <c r="F2723" s="71"/>
      <c r="G2723" s="73" t="s">
        <v>1508</v>
      </c>
    </row>
    <row r="2724" spans="2:7" x14ac:dyDescent="0.15">
      <c r="B2724" s="299"/>
      <c r="C2724" s="69" t="s">
        <v>625</v>
      </c>
      <c r="D2724" s="70">
        <f>VLOOKUP(C2724,基本字段定义!$B$3:$C$3013,2,FALSE)</f>
        <v>9116</v>
      </c>
      <c r="E2724" s="71" t="s">
        <v>563</v>
      </c>
      <c r="F2724" s="71"/>
      <c r="G2724" s="73" t="s">
        <v>1509</v>
      </c>
    </row>
    <row r="2725" spans="2:7" x14ac:dyDescent="0.15">
      <c r="B2725" s="299"/>
      <c r="C2725" s="69" t="s">
        <v>627</v>
      </c>
      <c r="D2725" s="70">
        <f>VLOOKUP(C2725,基本字段定义!$B$3:$C$3013,2,FALSE)</f>
        <v>501</v>
      </c>
      <c r="E2725" s="71" t="s">
        <v>563</v>
      </c>
      <c r="F2725" s="71"/>
      <c r="G2725" s="73" t="s">
        <v>564</v>
      </c>
    </row>
    <row r="2726" spans="2:7" x14ac:dyDescent="0.15">
      <c r="B2726" s="299"/>
      <c r="C2726" s="69" t="s">
        <v>496</v>
      </c>
      <c r="D2726" s="70">
        <f>VLOOKUP(C2726,基本字段定义!$B$3:$C$3013,2,FALSE)</f>
        <v>730</v>
      </c>
      <c r="E2726" s="71" t="s">
        <v>365</v>
      </c>
      <c r="F2726" s="71"/>
      <c r="G2726" s="73" t="s">
        <v>1475</v>
      </c>
    </row>
    <row r="2727" spans="2:7" ht="14.25" thickBot="1" x14ac:dyDescent="0.2">
      <c r="B2727" s="304"/>
      <c r="C2727" s="75"/>
      <c r="D2727" s="83"/>
      <c r="E2727" s="77"/>
      <c r="F2727" s="77"/>
      <c r="G2727" s="78"/>
    </row>
    <row r="2729" spans="2:7" x14ac:dyDescent="0.15">
      <c r="B2729" s="57" t="s">
        <v>163</v>
      </c>
      <c r="C2729" s="84">
        <v>403204</v>
      </c>
      <c r="D2729" s="85"/>
      <c r="E2729" s="86"/>
      <c r="F2729" s="58" t="s">
        <v>352</v>
      </c>
      <c r="G2729" s="59"/>
    </row>
    <row r="2730" spans="2:7" x14ac:dyDescent="0.15">
      <c r="B2730" s="60" t="s">
        <v>353</v>
      </c>
      <c r="C2730" s="87" t="str">
        <f>VLOOKUP(C2729,功能索引!$C$3:$D$278,2,FALSE)</f>
        <v>三方存管历史申请流水查询</v>
      </c>
      <c r="D2730" s="88"/>
      <c r="E2730" s="89"/>
      <c r="F2730" s="61" t="s">
        <v>165</v>
      </c>
      <c r="G2730" s="62" t="str">
        <f>VLOOKUP(C2729,功能索引!$C$3:$E2663,3,FALSE)</f>
        <v>Y</v>
      </c>
    </row>
    <row r="2731" spans="2:7" x14ac:dyDescent="0.15">
      <c r="B2731" s="299" t="s">
        <v>354</v>
      </c>
      <c r="C2731" s="99" t="s">
        <v>611</v>
      </c>
      <c r="D2731" s="100"/>
      <c r="E2731" s="100"/>
      <c r="F2731" s="100"/>
      <c r="G2731" s="101"/>
    </row>
    <row r="2732" spans="2:7" ht="14.25" thickBot="1" x14ac:dyDescent="0.2">
      <c r="B2732" s="304"/>
      <c r="C2732" s="102"/>
      <c r="D2732" s="103"/>
      <c r="E2732" s="103"/>
      <c r="F2732" s="103"/>
      <c r="G2732" s="104"/>
    </row>
    <row r="2733" spans="2:7" x14ac:dyDescent="0.15">
      <c r="B2733" s="298" t="s">
        <v>355</v>
      </c>
      <c r="C2733" s="58" t="s">
        <v>356</v>
      </c>
      <c r="D2733" s="58" t="s">
        <v>357</v>
      </c>
      <c r="E2733" s="58" t="s">
        <v>358</v>
      </c>
      <c r="F2733" s="58" t="s">
        <v>359</v>
      </c>
      <c r="G2733" s="64" t="s">
        <v>360</v>
      </c>
    </row>
    <row r="2734" spans="2:7" x14ac:dyDescent="0.15">
      <c r="B2734" s="299"/>
      <c r="C2734" s="65" t="s">
        <v>428</v>
      </c>
      <c r="D2734" s="66">
        <f>VLOOKUP(C2734,基本字段定义!$B$3:$C$3013,2,FALSE)</f>
        <v>605</v>
      </c>
      <c r="E2734" s="67" t="s">
        <v>429</v>
      </c>
      <c r="F2734" s="67" t="s">
        <v>169</v>
      </c>
      <c r="G2734" s="68" t="s">
        <v>430</v>
      </c>
    </row>
    <row r="2735" spans="2:7" x14ac:dyDescent="0.15">
      <c r="B2735" s="299"/>
      <c r="C2735" s="65" t="s">
        <v>510</v>
      </c>
      <c r="D2735" s="66">
        <f>VLOOKUP(C2735,基本字段定义!$B$3:$C$3013,2,FALSE)</f>
        <v>618</v>
      </c>
      <c r="E2735" s="67" t="s">
        <v>363</v>
      </c>
      <c r="F2735" s="67" t="s">
        <v>169</v>
      </c>
      <c r="G2735" s="68" t="s">
        <v>1050</v>
      </c>
    </row>
    <row r="2736" spans="2:7" x14ac:dyDescent="0.15">
      <c r="B2736" s="299"/>
      <c r="C2736" s="65" t="s">
        <v>512</v>
      </c>
      <c r="D2736" s="66">
        <f>VLOOKUP(C2736,基本字段定义!$B$3:$C$3013,2,FALSE)</f>
        <v>590</v>
      </c>
      <c r="E2736" s="67" t="s">
        <v>363</v>
      </c>
      <c r="F2736" s="67" t="s">
        <v>169</v>
      </c>
      <c r="G2736" s="68" t="s">
        <v>1155</v>
      </c>
    </row>
    <row r="2737" spans="2:7" x14ac:dyDescent="0.15">
      <c r="B2737" s="299"/>
      <c r="C2737" s="65" t="s">
        <v>614</v>
      </c>
      <c r="D2737" s="66">
        <f>VLOOKUP(C2737,基本字段定义!$B$3:$C$3013,2,FALSE)</f>
        <v>763</v>
      </c>
      <c r="E2737" s="67" t="s">
        <v>497</v>
      </c>
      <c r="F2737" s="67"/>
      <c r="G2737" s="68" t="s">
        <v>1506</v>
      </c>
    </row>
    <row r="2738" spans="2:7" x14ac:dyDescent="0.15">
      <c r="B2738" s="299"/>
      <c r="C2738" s="65" t="s">
        <v>616</v>
      </c>
      <c r="D2738" s="66">
        <f>VLOOKUP(C2738,基本字段定义!$B$3:$C$3013,2,FALSE)</f>
        <v>9110</v>
      </c>
      <c r="E2738" s="67" t="s">
        <v>363</v>
      </c>
      <c r="F2738" s="67"/>
      <c r="G2738" s="68" t="s">
        <v>1510</v>
      </c>
    </row>
    <row r="2739" spans="2:7" x14ac:dyDescent="0.15">
      <c r="B2739" s="299"/>
      <c r="C2739" s="65" t="s">
        <v>640</v>
      </c>
      <c r="D2739" s="66">
        <v>912</v>
      </c>
      <c r="E2739" s="67" t="s">
        <v>363</v>
      </c>
      <c r="F2739" s="67"/>
      <c r="G2739" s="68" t="s">
        <v>641</v>
      </c>
    </row>
    <row r="2740" spans="2:7" x14ac:dyDescent="0.15">
      <c r="B2740" s="299"/>
      <c r="C2740" s="65" t="s">
        <v>612</v>
      </c>
      <c r="D2740" s="66">
        <f>VLOOKUP(C2740,基本字段定义!$B$3:$C$3013,2,FALSE)</f>
        <v>9109</v>
      </c>
      <c r="E2740" s="67" t="s">
        <v>363</v>
      </c>
      <c r="F2740" s="67"/>
      <c r="G2740" s="68" t="s">
        <v>1511</v>
      </c>
    </row>
    <row r="2741" spans="2:7" x14ac:dyDescent="0.15">
      <c r="B2741" s="299" t="s">
        <v>361</v>
      </c>
      <c r="C2741" s="69" t="s">
        <v>614</v>
      </c>
      <c r="D2741" s="70">
        <f>VLOOKUP(C2741,基本字段定义!$B$3:$C$3013,2,FALSE)</f>
        <v>763</v>
      </c>
      <c r="E2741" s="71" t="s">
        <v>365</v>
      </c>
      <c r="F2741" s="71"/>
      <c r="G2741" s="72" t="s">
        <v>618</v>
      </c>
    </row>
    <row r="2742" spans="2:7" x14ac:dyDescent="0.15">
      <c r="B2742" s="299"/>
      <c r="C2742" s="69" t="s">
        <v>678</v>
      </c>
      <c r="D2742" s="70">
        <f>VLOOKUP(C2742,基本字段定义!$B$3:$C$3013,2,FALSE)</f>
        <v>1980</v>
      </c>
      <c r="E2742" s="71" t="s">
        <v>363</v>
      </c>
      <c r="F2742" s="71"/>
      <c r="G2742" s="73" t="s">
        <v>679</v>
      </c>
    </row>
    <row r="2743" spans="2:7" x14ac:dyDescent="0.15">
      <c r="B2743" s="299"/>
      <c r="C2743" s="69" t="s">
        <v>657</v>
      </c>
      <c r="D2743" s="70">
        <f>VLOOKUP(C2743,基本字段定义!$B$3:$C$3013,2,FALSE)</f>
        <v>1981</v>
      </c>
      <c r="E2743" s="71" t="s">
        <v>365</v>
      </c>
      <c r="F2743" s="71"/>
      <c r="G2743" s="73" t="s">
        <v>658</v>
      </c>
    </row>
    <row r="2744" spans="2:7" x14ac:dyDescent="0.15">
      <c r="B2744" s="299"/>
      <c r="C2744" s="69" t="s">
        <v>640</v>
      </c>
      <c r="D2744" s="70">
        <f>VLOOKUP(C2744,基本字段定义!$B$3:$C$3013,2,FALSE)</f>
        <v>912</v>
      </c>
      <c r="E2744" s="71" t="s">
        <v>365</v>
      </c>
      <c r="F2744" s="71"/>
      <c r="G2744" s="72" t="s">
        <v>641</v>
      </c>
    </row>
    <row r="2745" spans="2:7" x14ac:dyDescent="0.15">
      <c r="B2745" s="299"/>
      <c r="C2745" s="69" t="s">
        <v>548</v>
      </c>
      <c r="D2745" s="70">
        <f>VLOOKUP(C2745,基本字段定义!$B$3:$C$3013,2,FALSE)</f>
        <v>716</v>
      </c>
      <c r="E2745" s="71" t="s">
        <v>365</v>
      </c>
      <c r="F2745" s="71"/>
      <c r="G2745" s="73" t="s">
        <v>555</v>
      </c>
    </row>
    <row r="2746" spans="2:7" x14ac:dyDescent="0.15">
      <c r="B2746" s="299"/>
      <c r="C2746" s="116" t="s">
        <v>582</v>
      </c>
      <c r="D2746" s="117">
        <f>VLOOKUP(C2746,基本字段定义!$B$3:$C$3013,2,FALSE)</f>
        <v>692</v>
      </c>
      <c r="E2746" s="117" t="s">
        <v>365</v>
      </c>
      <c r="F2746" s="117"/>
      <c r="G2746" s="115" t="s">
        <v>630</v>
      </c>
    </row>
    <row r="2747" spans="2:7" x14ac:dyDescent="0.15">
      <c r="B2747" s="299"/>
      <c r="C2747" s="116" t="s">
        <v>631</v>
      </c>
      <c r="D2747" s="117">
        <f>VLOOKUP(C2747,基本字段定义!$B$3:$C$3013,2,FALSE)</f>
        <v>693</v>
      </c>
      <c r="E2747" s="117" t="s">
        <v>365</v>
      </c>
      <c r="F2747" s="117"/>
      <c r="G2747" s="115" t="s">
        <v>632</v>
      </c>
    </row>
    <row r="2748" spans="2:7" x14ac:dyDescent="0.15">
      <c r="B2748" s="299"/>
      <c r="C2748" s="69" t="s">
        <v>550</v>
      </c>
      <c r="D2748" s="70">
        <f>VLOOKUP(C2748,基本字段定义!$B$3:$C$3013,2,FALSE)</f>
        <v>511</v>
      </c>
      <c r="E2748" s="71" t="s">
        <v>365</v>
      </c>
      <c r="F2748" s="71"/>
      <c r="G2748" s="73" t="s">
        <v>551</v>
      </c>
    </row>
    <row r="2749" spans="2:7" ht="25.5" x14ac:dyDescent="0.15">
      <c r="B2749" s="299"/>
      <c r="C2749" s="69" t="s">
        <v>654</v>
      </c>
      <c r="D2749" s="70">
        <f>VLOOKUP(C2749,基本字段定义!$B$3:$C$3013,2,FALSE)</f>
        <v>695</v>
      </c>
      <c r="E2749" s="71" t="s">
        <v>363</v>
      </c>
      <c r="F2749" s="71"/>
      <c r="G2749" s="74" t="s">
        <v>655</v>
      </c>
    </row>
    <row r="2750" spans="2:7" x14ac:dyDescent="0.15">
      <c r="B2750" s="299"/>
      <c r="C2750" s="69" t="s">
        <v>608</v>
      </c>
      <c r="D2750" s="70">
        <f>VLOOKUP(C2750,基本字段定义!$B$3:$C$3013,2,FALSE)</f>
        <v>808</v>
      </c>
      <c r="E2750" s="71" t="s">
        <v>563</v>
      </c>
      <c r="F2750" s="71"/>
      <c r="G2750" s="73" t="s">
        <v>642</v>
      </c>
    </row>
    <row r="2751" spans="2:7" x14ac:dyDescent="0.15">
      <c r="B2751" s="299"/>
      <c r="C2751" s="69" t="s">
        <v>627</v>
      </c>
      <c r="D2751" s="70">
        <f>VLOOKUP(C2751,基本字段定义!$B$3:$C$3013,2,FALSE)</f>
        <v>501</v>
      </c>
      <c r="E2751" s="71" t="s">
        <v>563</v>
      </c>
      <c r="F2751" s="71"/>
      <c r="G2751" s="73" t="s">
        <v>656</v>
      </c>
    </row>
    <row r="2752" spans="2:7" x14ac:dyDescent="0.15">
      <c r="B2752" s="299"/>
      <c r="C2752" s="69" t="s">
        <v>659</v>
      </c>
      <c r="D2752" s="70">
        <f>VLOOKUP(C2752,基本字段定义!$B$3:$C$3013,2,FALSE)</f>
        <v>880</v>
      </c>
      <c r="E2752" s="71" t="s">
        <v>363</v>
      </c>
      <c r="F2752" s="71"/>
      <c r="G2752" s="73" t="s">
        <v>660</v>
      </c>
    </row>
    <row r="2753" spans="2:7" x14ac:dyDescent="0.15">
      <c r="B2753" s="299"/>
      <c r="C2753" s="69" t="s">
        <v>661</v>
      </c>
      <c r="D2753" s="70">
        <f>VLOOKUP(C2753,基本字段定义!$B$3:$C$3013,2,FALSE)</f>
        <v>830</v>
      </c>
      <c r="E2753" s="71" t="s">
        <v>365</v>
      </c>
      <c r="F2753" s="71"/>
      <c r="G2753" s="73" t="s">
        <v>662</v>
      </c>
    </row>
    <row r="2754" spans="2:7" x14ac:dyDescent="0.15">
      <c r="B2754" s="299"/>
      <c r="C2754" s="69" t="s">
        <v>663</v>
      </c>
      <c r="D2754" s="70">
        <f>VLOOKUP(C2754,基本字段定义!$B$3:$C$3013,2,FALSE)</f>
        <v>926</v>
      </c>
      <c r="E2754" s="71" t="s">
        <v>363</v>
      </c>
      <c r="F2754" s="71"/>
      <c r="G2754" s="73" t="s">
        <v>664</v>
      </c>
    </row>
    <row r="2755" spans="2:7" ht="14.25" thickBot="1" x14ac:dyDescent="0.2">
      <c r="B2755" s="304"/>
      <c r="C2755" s="75"/>
      <c r="D2755" s="83"/>
      <c r="E2755" s="77"/>
      <c r="F2755" s="77"/>
      <c r="G2755" s="78"/>
    </row>
    <row r="2757" spans="2:7" x14ac:dyDescent="0.15">
      <c r="B2757" s="57" t="s">
        <v>163</v>
      </c>
      <c r="C2757" s="84">
        <v>403251</v>
      </c>
      <c r="D2757" s="85"/>
      <c r="E2757" s="86"/>
      <c r="F2757" s="58" t="s">
        <v>352</v>
      </c>
      <c r="G2757" s="59"/>
    </row>
    <row r="2758" spans="2:7" x14ac:dyDescent="0.15">
      <c r="B2758" s="60" t="s">
        <v>353</v>
      </c>
      <c r="C2758" s="87" t="str">
        <f>VLOOKUP(C2757,功能索引!$C$3:$D$278,2,FALSE)</f>
        <v>证券发起历史资金转账申请查询</v>
      </c>
      <c r="D2758" s="88"/>
      <c r="E2758" s="89"/>
      <c r="F2758" s="61" t="s">
        <v>165</v>
      </c>
      <c r="G2758" s="62" t="str">
        <f>VLOOKUP(C2757,功能索引!$C$3:$E2690,3,FALSE)</f>
        <v>Y</v>
      </c>
    </row>
    <row r="2759" spans="2:7" x14ac:dyDescent="0.15">
      <c r="B2759" s="299" t="s">
        <v>354</v>
      </c>
      <c r="C2759" s="99" t="s">
        <v>1512</v>
      </c>
      <c r="D2759" s="100"/>
      <c r="E2759" s="100"/>
      <c r="F2759" s="100"/>
      <c r="G2759" s="101"/>
    </row>
    <row r="2760" spans="2:7" ht="14.25" thickBot="1" x14ac:dyDescent="0.2">
      <c r="B2760" s="304"/>
      <c r="C2760" s="102"/>
      <c r="D2760" s="103"/>
      <c r="E2760" s="103"/>
      <c r="F2760" s="103"/>
      <c r="G2760" s="104"/>
    </row>
    <row r="2761" spans="2:7" x14ac:dyDescent="0.15">
      <c r="B2761" s="298" t="s">
        <v>355</v>
      </c>
      <c r="C2761" s="58" t="s">
        <v>356</v>
      </c>
      <c r="D2761" s="58" t="s">
        <v>357</v>
      </c>
      <c r="E2761" s="58" t="s">
        <v>358</v>
      </c>
      <c r="F2761" s="58" t="s">
        <v>359</v>
      </c>
      <c r="G2761" s="64" t="s">
        <v>360</v>
      </c>
    </row>
    <row r="2762" spans="2:7" x14ac:dyDescent="0.15">
      <c r="B2762" s="299"/>
      <c r="C2762" s="65" t="s">
        <v>428</v>
      </c>
      <c r="D2762" s="66">
        <f>VLOOKUP(C2762,基本字段定义!$B$3:$C$3013,2,FALSE)</f>
        <v>605</v>
      </c>
      <c r="E2762" s="67" t="s">
        <v>429</v>
      </c>
      <c r="F2762" s="67" t="s">
        <v>169</v>
      </c>
      <c r="G2762" s="68" t="s">
        <v>430</v>
      </c>
    </row>
    <row r="2763" spans="2:7" x14ac:dyDescent="0.15">
      <c r="B2763" s="299"/>
      <c r="C2763" s="65" t="s">
        <v>510</v>
      </c>
      <c r="D2763" s="66">
        <f>VLOOKUP(C2763,基本字段定义!$B$3:$C$3013,2,FALSE)</f>
        <v>618</v>
      </c>
      <c r="E2763" s="67" t="s">
        <v>363</v>
      </c>
      <c r="F2763" s="67" t="s">
        <v>169</v>
      </c>
      <c r="G2763" s="68" t="s">
        <v>1050</v>
      </c>
    </row>
    <row r="2764" spans="2:7" x14ac:dyDescent="0.15">
      <c r="B2764" s="299"/>
      <c r="C2764" s="65" t="s">
        <v>512</v>
      </c>
      <c r="D2764" s="66">
        <f>VLOOKUP(C2764,基本字段定义!$B$3:$C$3013,2,FALSE)</f>
        <v>590</v>
      </c>
      <c r="E2764" s="67" t="s">
        <v>363</v>
      </c>
      <c r="F2764" s="67" t="s">
        <v>169</v>
      </c>
      <c r="G2764" s="68" t="s">
        <v>1155</v>
      </c>
    </row>
    <row r="2765" spans="2:7" x14ac:dyDescent="0.15">
      <c r="B2765" s="299"/>
      <c r="C2765" s="65" t="s">
        <v>614</v>
      </c>
      <c r="D2765" s="66">
        <f>VLOOKUP(C2765,基本字段定义!$B$3:$C$3013,2,FALSE)</f>
        <v>763</v>
      </c>
      <c r="E2765" s="67" t="s">
        <v>497</v>
      </c>
      <c r="F2765" s="67"/>
      <c r="G2765" s="68" t="s">
        <v>1506</v>
      </c>
    </row>
    <row r="2766" spans="2:7" x14ac:dyDescent="0.15">
      <c r="B2766" s="299"/>
      <c r="C2766" s="65" t="s">
        <v>616</v>
      </c>
      <c r="D2766" s="66">
        <f>VLOOKUP(C2766,基本字段定义!$B$3:$C$3013,2,FALSE)</f>
        <v>9110</v>
      </c>
      <c r="E2766" s="67" t="s">
        <v>363</v>
      </c>
      <c r="F2766" s="67"/>
      <c r="G2766" s="68" t="s">
        <v>1510</v>
      </c>
    </row>
    <row r="2767" spans="2:7" x14ac:dyDescent="0.15">
      <c r="B2767" s="299"/>
      <c r="C2767" s="65" t="s">
        <v>612</v>
      </c>
      <c r="D2767" s="66">
        <f>VLOOKUP(C2767,基本字段定义!$B$3:$C$3013,2,FALSE)</f>
        <v>9109</v>
      </c>
      <c r="E2767" s="67" t="s">
        <v>363</v>
      </c>
      <c r="F2767" s="67"/>
      <c r="G2767" s="68" t="s">
        <v>1511</v>
      </c>
    </row>
    <row r="2768" spans="2:7" x14ac:dyDescent="0.15">
      <c r="B2768" s="299" t="s">
        <v>361</v>
      </c>
      <c r="C2768" s="69" t="s">
        <v>614</v>
      </c>
      <c r="D2768" s="70">
        <f>VLOOKUP(C2768,基本字段定义!$B$3:$C$3013,2,FALSE)</f>
        <v>763</v>
      </c>
      <c r="E2768" s="71" t="s">
        <v>365</v>
      </c>
      <c r="F2768" s="71"/>
      <c r="G2768" s="72" t="s">
        <v>618</v>
      </c>
    </row>
    <row r="2769" spans="2:7" x14ac:dyDescent="0.15">
      <c r="B2769" s="299"/>
      <c r="C2769" s="69" t="s">
        <v>678</v>
      </c>
      <c r="D2769" s="70">
        <f>VLOOKUP(C2769,基本字段定义!$B$3:$C$3013,2,FALSE)</f>
        <v>1980</v>
      </c>
      <c r="E2769" s="71" t="s">
        <v>363</v>
      </c>
      <c r="F2769" s="71"/>
      <c r="G2769" s="73" t="s">
        <v>679</v>
      </c>
    </row>
    <row r="2770" spans="2:7" x14ac:dyDescent="0.15">
      <c r="B2770" s="299"/>
      <c r="C2770" s="69" t="s">
        <v>657</v>
      </c>
      <c r="D2770" s="70">
        <f>VLOOKUP(C2770,基本字段定义!$B$3:$C$3013,2,FALSE)</f>
        <v>1981</v>
      </c>
      <c r="E2770" s="71" t="s">
        <v>365</v>
      </c>
      <c r="F2770" s="71"/>
      <c r="G2770" s="73" t="s">
        <v>658</v>
      </c>
    </row>
    <row r="2771" spans="2:7" x14ac:dyDescent="0.15">
      <c r="B2771" s="299"/>
      <c r="C2771" s="69" t="s">
        <v>640</v>
      </c>
      <c r="D2771" s="70">
        <f>VLOOKUP(C2771,基本字段定义!$B$3:$C$3013,2,FALSE)</f>
        <v>912</v>
      </c>
      <c r="E2771" s="71" t="s">
        <v>365</v>
      </c>
      <c r="F2771" s="71"/>
      <c r="G2771" s="72" t="s">
        <v>641</v>
      </c>
    </row>
    <row r="2772" spans="2:7" x14ac:dyDescent="0.15">
      <c r="B2772" s="299"/>
      <c r="C2772" s="69" t="s">
        <v>548</v>
      </c>
      <c r="D2772" s="70">
        <f>VLOOKUP(C2772,基本字段定义!$B$3:$C$3013,2,FALSE)</f>
        <v>716</v>
      </c>
      <c r="E2772" s="71" t="s">
        <v>365</v>
      </c>
      <c r="F2772" s="71"/>
      <c r="G2772" s="73" t="s">
        <v>555</v>
      </c>
    </row>
    <row r="2773" spans="2:7" x14ac:dyDescent="0.15">
      <c r="B2773" s="299"/>
      <c r="C2773" s="116" t="s">
        <v>382</v>
      </c>
      <c r="D2773" s="117">
        <f>VLOOKUP(C2773,基本字段定义!$B$3:$C$3013,2,FALSE)</f>
        <v>1257</v>
      </c>
      <c r="E2773" s="117" t="s">
        <v>365</v>
      </c>
      <c r="F2773" s="117"/>
      <c r="G2773" s="115" t="s">
        <v>630</v>
      </c>
    </row>
    <row r="2774" spans="2:7" x14ac:dyDescent="0.15">
      <c r="B2774" s="299"/>
      <c r="C2774" s="116" t="s">
        <v>653</v>
      </c>
      <c r="D2774" s="117">
        <f>VLOOKUP(C2774,基本字段定义!$B$3:$C$3013,2,FALSE)</f>
        <v>1159</v>
      </c>
      <c r="E2774" s="117" t="s">
        <v>365</v>
      </c>
      <c r="F2774" s="117"/>
      <c r="G2774" s="115" t="s">
        <v>632</v>
      </c>
    </row>
    <row r="2775" spans="2:7" x14ac:dyDescent="0.15">
      <c r="B2775" s="299"/>
      <c r="C2775" s="69" t="s">
        <v>550</v>
      </c>
      <c r="D2775" s="70">
        <f>VLOOKUP(C2775,基本字段定义!$B$3:$C$3013,2,FALSE)</f>
        <v>511</v>
      </c>
      <c r="E2775" s="71" t="s">
        <v>365</v>
      </c>
      <c r="F2775" s="71"/>
      <c r="G2775" s="73" t="s">
        <v>551</v>
      </c>
    </row>
    <row r="2776" spans="2:7" ht="25.5" x14ac:dyDescent="0.15">
      <c r="B2776" s="299"/>
      <c r="C2776" s="69" t="s">
        <v>654</v>
      </c>
      <c r="D2776" s="70">
        <f>VLOOKUP(C2776,基本字段定义!$B$3:$C$3013,2,FALSE)</f>
        <v>695</v>
      </c>
      <c r="E2776" s="71" t="s">
        <v>363</v>
      </c>
      <c r="F2776" s="71"/>
      <c r="G2776" s="74" t="s">
        <v>655</v>
      </c>
    </row>
    <row r="2777" spans="2:7" x14ac:dyDescent="0.15">
      <c r="B2777" s="299"/>
      <c r="C2777" s="69" t="s">
        <v>608</v>
      </c>
      <c r="D2777" s="70">
        <f>VLOOKUP(C2777,基本字段定义!$B$3:$C$3013,2,FALSE)</f>
        <v>808</v>
      </c>
      <c r="E2777" s="71" t="s">
        <v>563</v>
      </c>
      <c r="F2777" s="71"/>
      <c r="G2777" s="73" t="s">
        <v>642</v>
      </c>
    </row>
    <row r="2778" spans="2:7" x14ac:dyDescent="0.15">
      <c r="B2778" s="299"/>
      <c r="C2778" s="69" t="s">
        <v>627</v>
      </c>
      <c r="D2778" s="70">
        <f>VLOOKUP(C2778,基本字段定义!$B$3:$C$3013,2,FALSE)</f>
        <v>501</v>
      </c>
      <c r="E2778" s="71" t="s">
        <v>563</v>
      </c>
      <c r="F2778" s="71"/>
      <c r="G2778" s="73" t="s">
        <v>656</v>
      </c>
    </row>
    <row r="2779" spans="2:7" x14ac:dyDescent="0.15">
      <c r="B2779" s="299"/>
      <c r="C2779" s="69" t="s">
        <v>659</v>
      </c>
      <c r="D2779" s="70">
        <f>VLOOKUP(C2779,基本字段定义!$B$3:$C$3013,2,FALSE)</f>
        <v>880</v>
      </c>
      <c r="E2779" s="71" t="s">
        <v>363</v>
      </c>
      <c r="F2779" s="71"/>
      <c r="G2779" s="73" t="s">
        <v>660</v>
      </c>
    </row>
    <row r="2780" spans="2:7" x14ac:dyDescent="0.15">
      <c r="B2780" s="299"/>
      <c r="C2780" s="69" t="s">
        <v>661</v>
      </c>
      <c r="D2780" s="70">
        <f>VLOOKUP(C2780,基本字段定义!$B$3:$C$3013,2,FALSE)</f>
        <v>830</v>
      </c>
      <c r="E2780" s="71" t="s">
        <v>365</v>
      </c>
      <c r="F2780" s="71"/>
      <c r="G2780" s="73" t="s">
        <v>662</v>
      </c>
    </row>
    <row r="2781" spans="2:7" x14ac:dyDescent="0.15">
      <c r="B2781" s="299"/>
      <c r="C2781" s="69" t="s">
        <v>663</v>
      </c>
      <c r="D2781" s="70">
        <f>VLOOKUP(C2781,基本字段定义!$B$3:$C$3013,2,FALSE)</f>
        <v>926</v>
      </c>
      <c r="E2781" s="71" t="s">
        <v>363</v>
      </c>
      <c r="F2781" s="71"/>
      <c r="G2781" s="73" t="s">
        <v>664</v>
      </c>
    </row>
    <row r="2782" spans="2:7" ht="14.25" thickBot="1" x14ac:dyDescent="0.2">
      <c r="B2782" s="304"/>
      <c r="C2782" s="75"/>
      <c r="D2782" s="83"/>
      <c r="E2782" s="77"/>
      <c r="F2782" s="77"/>
      <c r="G2782" s="78"/>
    </row>
    <row r="2783" spans="2:7" ht="14.25" thickBot="1" x14ac:dyDescent="0.2"/>
    <row r="2784" spans="2:7" x14ac:dyDescent="0.15">
      <c r="B2784" s="57" t="s">
        <v>163</v>
      </c>
      <c r="C2784" s="84">
        <v>403252</v>
      </c>
      <c r="D2784" s="85"/>
      <c r="E2784" s="86"/>
      <c r="F2784" s="58" t="s">
        <v>352</v>
      </c>
      <c r="G2784" s="59"/>
    </row>
    <row r="2785" spans="2:7" x14ac:dyDescent="0.15">
      <c r="B2785" s="60" t="s">
        <v>353</v>
      </c>
      <c r="C2785" s="87" t="str">
        <f>VLOOKUP(C2784,功能索引!$C$3:$D$278,2,FALSE)</f>
        <v>银行发起历史资金转账申请查询</v>
      </c>
      <c r="D2785" s="88"/>
      <c r="E2785" s="89"/>
      <c r="F2785" s="61" t="s">
        <v>165</v>
      </c>
      <c r="G2785" s="62" t="str">
        <f>VLOOKUP(C2784,功能索引!$C$3:$E2737,3,FALSE)</f>
        <v>Y</v>
      </c>
    </row>
    <row r="2786" spans="2:7" x14ac:dyDescent="0.15">
      <c r="B2786" s="299" t="s">
        <v>354</v>
      </c>
      <c r="C2786" s="99" t="s">
        <v>1512</v>
      </c>
      <c r="D2786" s="100"/>
      <c r="E2786" s="100"/>
      <c r="F2786" s="100"/>
      <c r="G2786" s="101"/>
    </row>
    <row r="2787" spans="2:7" ht="14.25" thickBot="1" x14ac:dyDescent="0.2">
      <c r="B2787" s="304"/>
      <c r="C2787" s="102"/>
      <c r="D2787" s="103"/>
      <c r="E2787" s="103"/>
      <c r="F2787" s="103"/>
      <c r="G2787" s="104"/>
    </row>
    <row r="2788" spans="2:7" x14ac:dyDescent="0.15">
      <c r="B2788" s="298" t="s">
        <v>355</v>
      </c>
      <c r="C2788" s="58" t="s">
        <v>356</v>
      </c>
      <c r="D2788" s="58" t="s">
        <v>357</v>
      </c>
      <c r="E2788" s="58" t="s">
        <v>358</v>
      </c>
      <c r="F2788" s="58" t="s">
        <v>359</v>
      </c>
      <c r="G2788" s="64" t="s">
        <v>360</v>
      </c>
    </row>
    <row r="2789" spans="2:7" x14ac:dyDescent="0.15">
      <c r="B2789" s="299"/>
      <c r="C2789" s="65" t="s">
        <v>428</v>
      </c>
      <c r="D2789" s="66">
        <f>VLOOKUP(C2789,基本字段定义!$B$3:$C$3013,2,FALSE)</f>
        <v>605</v>
      </c>
      <c r="E2789" s="67" t="s">
        <v>429</v>
      </c>
      <c r="F2789" s="67" t="s">
        <v>169</v>
      </c>
      <c r="G2789" s="68" t="s">
        <v>430</v>
      </c>
    </row>
    <row r="2790" spans="2:7" x14ac:dyDescent="0.15">
      <c r="B2790" s="299"/>
      <c r="C2790" s="65" t="s">
        <v>510</v>
      </c>
      <c r="D2790" s="66">
        <f>VLOOKUP(C2790,基本字段定义!$B$3:$C$3013,2,FALSE)</f>
        <v>618</v>
      </c>
      <c r="E2790" s="67" t="s">
        <v>363</v>
      </c>
      <c r="F2790" s="67" t="s">
        <v>169</v>
      </c>
      <c r="G2790" s="68" t="s">
        <v>1050</v>
      </c>
    </row>
    <row r="2791" spans="2:7" x14ac:dyDescent="0.15">
      <c r="B2791" s="299"/>
      <c r="C2791" s="65" t="s">
        <v>512</v>
      </c>
      <c r="D2791" s="66">
        <f>VLOOKUP(C2791,基本字段定义!$B$3:$C$3013,2,FALSE)</f>
        <v>590</v>
      </c>
      <c r="E2791" s="67" t="s">
        <v>363</v>
      </c>
      <c r="F2791" s="67" t="s">
        <v>169</v>
      </c>
      <c r="G2791" s="68" t="s">
        <v>1155</v>
      </c>
    </row>
    <row r="2792" spans="2:7" x14ac:dyDescent="0.15">
      <c r="B2792" s="299"/>
      <c r="C2792" s="65" t="s">
        <v>614</v>
      </c>
      <c r="D2792" s="66">
        <f>VLOOKUP(C2792,基本字段定义!$B$3:$C$3013,2,FALSE)</f>
        <v>763</v>
      </c>
      <c r="E2792" s="67" t="s">
        <v>497</v>
      </c>
      <c r="F2792" s="67"/>
      <c r="G2792" s="68" t="s">
        <v>1506</v>
      </c>
    </row>
    <row r="2793" spans="2:7" x14ac:dyDescent="0.15">
      <c r="B2793" s="299"/>
      <c r="C2793" s="65" t="s">
        <v>616</v>
      </c>
      <c r="D2793" s="66">
        <f>VLOOKUP(C2793,基本字段定义!$B$3:$C$3013,2,FALSE)</f>
        <v>9110</v>
      </c>
      <c r="E2793" s="67" t="s">
        <v>363</v>
      </c>
      <c r="F2793" s="67"/>
      <c r="G2793" s="68" t="s">
        <v>1510</v>
      </c>
    </row>
    <row r="2794" spans="2:7" x14ac:dyDescent="0.15">
      <c r="B2794" s="299"/>
      <c r="C2794" s="65" t="s">
        <v>612</v>
      </c>
      <c r="D2794" s="66">
        <f>VLOOKUP(C2794,基本字段定义!$B$3:$C$3013,2,FALSE)</f>
        <v>9109</v>
      </c>
      <c r="E2794" s="67" t="s">
        <v>363</v>
      </c>
      <c r="F2794" s="67"/>
      <c r="G2794" s="68" t="s">
        <v>1511</v>
      </c>
    </row>
    <row r="2795" spans="2:7" x14ac:dyDescent="0.15">
      <c r="B2795" s="299" t="s">
        <v>361</v>
      </c>
      <c r="C2795" s="69" t="s">
        <v>614</v>
      </c>
      <c r="D2795" s="70">
        <f>VLOOKUP(C2795,基本字段定义!$B$3:$C$3013,2,FALSE)</f>
        <v>763</v>
      </c>
      <c r="E2795" s="71" t="s">
        <v>365</v>
      </c>
      <c r="F2795" s="71"/>
      <c r="G2795" s="73" t="s">
        <v>618</v>
      </c>
    </row>
    <row r="2796" spans="2:7" x14ac:dyDescent="0.15">
      <c r="B2796" s="299"/>
      <c r="C2796" s="116" t="s">
        <v>1384</v>
      </c>
      <c r="D2796" s="117">
        <f>VLOOKUP(C2796,基本字段定义!$B$3:$C$3013,2,FALSE)</f>
        <v>9061</v>
      </c>
      <c r="E2796" s="117" t="s">
        <v>363</v>
      </c>
      <c r="F2796" s="117"/>
      <c r="G2796" s="115" t="s">
        <v>619</v>
      </c>
    </row>
    <row r="2797" spans="2:7" x14ac:dyDescent="0.15">
      <c r="B2797" s="299"/>
      <c r="C2797" s="116" t="s">
        <v>620</v>
      </c>
      <c r="D2797" s="117">
        <f>VLOOKUP(C2797,基本字段定义!$B$3:$C$3013,2,FALSE)</f>
        <v>865</v>
      </c>
      <c r="E2797" s="117" t="s">
        <v>365</v>
      </c>
      <c r="F2797" s="117"/>
      <c r="G2797" s="118" t="s">
        <v>621</v>
      </c>
    </row>
    <row r="2798" spans="2:7" x14ac:dyDescent="0.15">
      <c r="B2798" s="299"/>
      <c r="C2798" s="69" t="s">
        <v>640</v>
      </c>
      <c r="D2798" s="70">
        <f>VLOOKUP(C2798,基本字段定义!$B$3:$C$3013,2,FALSE)</f>
        <v>912</v>
      </c>
      <c r="E2798" s="71" t="s">
        <v>365</v>
      </c>
      <c r="F2798" s="71"/>
      <c r="G2798" s="73" t="s">
        <v>641</v>
      </c>
    </row>
    <row r="2799" spans="2:7" x14ac:dyDescent="0.15">
      <c r="B2799" s="299"/>
      <c r="C2799" s="69" t="s">
        <v>548</v>
      </c>
      <c r="D2799" s="70">
        <f>VLOOKUP(C2799,基本字段定义!$B$3:$C$3013,2,FALSE)</f>
        <v>716</v>
      </c>
      <c r="E2799" s="71" t="s">
        <v>365</v>
      </c>
      <c r="F2799" s="71"/>
      <c r="G2799" s="73" t="s">
        <v>555</v>
      </c>
    </row>
    <row r="2800" spans="2:7" x14ac:dyDescent="0.15">
      <c r="B2800" s="299"/>
      <c r="C2800" s="69" t="s">
        <v>382</v>
      </c>
      <c r="D2800" s="70">
        <f>VLOOKUP(C2800,基本字段定义!$B$3:$C$3013,2,FALSE)</f>
        <v>1257</v>
      </c>
      <c r="E2800" s="71" t="s">
        <v>365</v>
      </c>
      <c r="F2800" s="71"/>
      <c r="G2800" s="73" t="s">
        <v>630</v>
      </c>
    </row>
    <row r="2801" spans="2:7" x14ac:dyDescent="0.15">
      <c r="B2801" s="299"/>
      <c r="C2801" s="69" t="s">
        <v>653</v>
      </c>
      <c r="D2801" s="70">
        <f>VLOOKUP(C2801,基本字段定义!$B$3:$C$3013,2,FALSE)</f>
        <v>1159</v>
      </c>
      <c r="E2801" s="71" t="s">
        <v>365</v>
      </c>
      <c r="F2801" s="71"/>
      <c r="G2801" s="73" t="s">
        <v>632</v>
      </c>
    </row>
    <row r="2802" spans="2:7" x14ac:dyDescent="0.15">
      <c r="B2802" s="299"/>
      <c r="C2802" s="69" t="s">
        <v>550</v>
      </c>
      <c r="D2802" s="70">
        <f>VLOOKUP(C2802,基本字段定义!$B$3:$C$3013,2,FALSE)</f>
        <v>511</v>
      </c>
      <c r="E2802" s="71" t="s">
        <v>365</v>
      </c>
      <c r="F2802" s="71"/>
      <c r="G2802" s="73" t="s">
        <v>551</v>
      </c>
    </row>
    <row r="2803" spans="2:7" ht="25.5" x14ac:dyDescent="0.15">
      <c r="B2803" s="299"/>
      <c r="C2803" s="69" t="s">
        <v>654</v>
      </c>
      <c r="D2803" s="70">
        <f>VLOOKUP(C2803,基本字段定义!$B$3:$C$3013,2,FALSE)</f>
        <v>695</v>
      </c>
      <c r="E2803" s="71" t="s">
        <v>363</v>
      </c>
      <c r="F2803" s="71"/>
      <c r="G2803" s="74" t="s">
        <v>655</v>
      </c>
    </row>
    <row r="2804" spans="2:7" x14ac:dyDescent="0.15">
      <c r="B2804" s="299"/>
      <c r="C2804" s="69" t="s">
        <v>608</v>
      </c>
      <c r="D2804" s="70">
        <f>VLOOKUP(C2804,基本字段定义!$B$3:$C$3013,2,FALSE)</f>
        <v>808</v>
      </c>
      <c r="E2804" s="71" t="s">
        <v>563</v>
      </c>
      <c r="F2804" s="71"/>
      <c r="G2804" s="73" t="s">
        <v>642</v>
      </c>
    </row>
    <row r="2805" spans="2:7" x14ac:dyDescent="0.15">
      <c r="B2805" s="299"/>
      <c r="C2805" s="69" t="s">
        <v>659</v>
      </c>
      <c r="D2805" s="70">
        <f>VLOOKUP(C2805,基本字段定义!$B$3:$C$3013,2,FALSE)</f>
        <v>880</v>
      </c>
      <c r="E2805" s="71" t="s">
        <v>363</v>
      </c>
      <c r="F2805" s="71"/>
      <c r="G2805" s="73" t="s">
        <v>660</v>
      </c>
    </row>
    <row r="2806" spans="2:7" x14ac:dyDescent="0.15">
      <c r="B2806" s="299"/>
      <c r="C2806" s="69" t="s">
        <v>661</v>
      </c>
      <c r="D2806" s="70">
        <f>VLOOKUP(C2806,基本字段定义!$B$3:$C$3013,2,FALSE)</f>
        <v>830</v>
      </c>
      <c r="E2806" s="71" t="s">
        <v>365</v>
      </c>
      <c r="F2806" s="71"/>
      <c r="G2806" s="73" t="s">
        <v>947</v>
      </c>
    </row>
    <row r="2807" spans="2:7" ht="14.25" thickBot="1" x14ac:dyDescent="0.2">
      <c r="B2807" s="304"/>
      <c r="C2807" s="75"/>
      <c r="D2807" s="83"/>
      <c r="E2807" s="77"/>
      <c r="F2807" s="77"/>
      <c r="G2807" s="78"/>
    </row>
    <row r="2809" spans="2:7" x14ac:dyDescent="0.15">
      <c r="B2809" s="57" t="s">
        <v>163</v>
      </c>
      <c r="C2809" s="84">
        <v>407003</v>
      </c>
      <c r="D2809" s="85"/>
      <c r="E2809" s="86"/>
      <c r="F2809" s="58" t="s">
        <v>352</v>
      </c>
      <c r="G2809" s="59"/>
    </row>
    <row r="2810" spans="2:7" x14ac:dyDescent="0.15">
      <c r="B2810" s="60" t="s">
        <v>353</v>
      </c>
      <c r="C2810" s="87" t="str">
        <f>VLOOKUP(C2809,功能索引!$C$3:$D$278,2,FALSE)</f>
        <v>信用负债历史情况</v>
      </c>
      <c r="D2810" s="88"/>
      <c r="E2810" s="89"/>
      <c r="F2810" s="61" t="s">
        <v>165</v>
      </c>
      <c r="G2810" s="62" t="str">
        <f>VLOOKUP(C2809,功能索引!$C$3:$E2811,3,FALSE)</f>
        <v>Y</v>
      </c>
    </row>
    <row r="2811" spans="2:7" x14ac:dyDescent="0.15">
      <c r="B2811" s="299" t="s">
        <v>354</v>
      </c>
      <c r="C2811" s="99"/>
      <c r="D2811" s="100"/>
      <c r="E2811" s="100"/>
      <c r="F2811" s="100"/>
      <c r="G2811" s="101"/>
    </row>
    <row r="2812" spans="2:7" ht="14.25" thickBot="1" x14ac:dyDescent="0.2">
      <c r="B2812" s="304"/>
      <c r="C2812" s="102"/>
      <c r="D2812" s="103"/>
      <c r="E2812" s="103"/>
      <c r="F2812" s="103"/>
      <c r="G2812" s="104"/>
    </row>
    <row r="2813" spans="2:7" x14ac:dyDescent="0.15">
      <c r="B2813" s="315" t="s">
        <v>355</v>
      </c>
      <c r="C2813" s="58" t="s">
        <v>356</v>
      </c>
      <c r="D2813" s="58" t="s">
        <v>357</v>
      </c>
      <c r="E2813" s="58" t="s">
        <v>358</v>
      </c>
      <c r="F2813" s="58" t="s">
        <v>359</v>
      </c>
      <c r="G2813" s="64" t="s">
        <v>360</v>
      </c>
    </row>
    <row r="2814" spans="2:7" x14ac:dyDescent="0.15">
      <c r="B2814" s="301"/>
      <c r="C2814" s="65" t="s">
        <v>428</v>
      </c>
      <c r="D2814" s="66">
        <f>VLOOKUP(C2814,基本字段定义!$B$3:$C$3013,2,FALSE)</f>
        <v>605</v>
      </c>
      <c r="E2814" s="67" t="s">
        <v>429</v>
      </c>
      <c r="F2814" s="67" t="s">
        <v>169</v>
      </c>
      <c r="G2814" s="68" t="s">
        <v>430</v>
      </c>
    </row>
    <row r="2815" spans="2:7" x14ac:dyDescent="0.15">
      <c r="B2815" s="301"/>
      <c r="C2815" s="65" t="s">
        <v>510</v>
      </c>
      <c r="D2815" s="66">
        <f>VLOOKUP(C2815,基本字段定义!$B$3:$C$3013,2,FALSE)</f>
        <v>618</v>
      </c>
      <c r="E2815" s="67" t="s">
        <v>363</v>
      </c>
      <c r="F2815" s="67" t="s">
        <v>169</v>
      </c>
      <c r="G2815" s="68" t="s">
        <v>1050</v>
      </c>
    </row>
    <row r="2816" spans="2:7" x14ac:dyDescent="0.15">
      <c r="B2816" s="301"/>
      <c r="C2816" s="65" t="s">
        <v>512</v>
      </c>
      <c r="D2816" s="66">
        <f>VLOOKUP(C2816,基本字段定义!$B$3:$C$3013,2,FALSE)</f>
        <v>590</v>
      </c>
      <c r="E2816" s="67" t="s">
        <v>363</v>
      </c>
      <c r="F2816" s="67" t="s">
        <v>169</v>
      </c>
      <c r="G2816" s="68" t="s">
        <v>1155</v>
      </c>
    </row>
    <row r="2817" spans="2:7" x14ac:dyDescent="0.15">
      <c r="B2817" s="301"/>
      <c r="C2817" s="65" t="s">
        <v>387</v>
      </c>
      <c r="D2817" s="66">
        <f>VLOOKUP(C2817,基本字段定义!$B$3:$C$3013,2,FALSE)</f>
        <v>599</v>
      </c>
      <c r="E2817" s="67" t="s">
        <v>388</v>
      </c>
      <c r="F2817" s="67"/>
      <c r="G2817" s="68" t="s">
        <v>389</v>
      </c>
    </row>
    <row r="2818" spans="2:7" x14ac:dyDescent="0.15">
      <c r="B2818" s="301"/>
      <c r="C2818" s="65" t="s">
        <v>550</v>
      </c>
      <c r="D2818" s="66">
        <f>VLOOKUP(C2818,基本字段定义!$B$3:$C$3013,2,FALSE)</f>
        <v>511</v>
      </c>
      <c r="E2818" s="67" t="s">
        <v>365</v>
      </c>
      <c r="F2818" s="67"/>
      <c r="G2818" s="68" t="s">
        <v>551</v>
      </c>
    </row>
    <row r="2819" spans="2:7" x14ac:dyDescent="0.15">
      <c r="B2819" s="301"/>
      <c r="C2819" s="65" t="s">
        <v>1513</v>
      </c>
      <c r="D2819" s="66">
        <f>VLOOKUP(C2819,基本字段定义!$B$3:$C$3013,2,FALSE)</f>
        <v>841</v>
      </c>
      <c r="E2819" s="67" t="s">
        <v>365</v>
      </c>
      <c r="F2819" s="67"/>
      <c r="G2819" s="68" t="s">
        <v>1048</v>
      </c>
    </row>
    <row r="2820" spans="2:7" x14ac:dyDescent="0.15">
      <c r="B2820" s="301"/>
      <c r="C2820" s="65" t="s">
        <v>666</v>
      </c>
      <c r="D2820" s="66">
        <f>VLOOKUP(C2820,基本字段定义!$B$3:$C$3013,2,FALSE)</f>
        <v>719</v>
      </c>
      <c r="E2820" s="67" t="s">
        <v>506</v>
      </c>
      <c r="F2820" s="67"/>
      <c r="G2820" s="68" t="s">
        <v>683</v>
      </c>
    </row>
    <row r="2821" spans="2:7" x14ac:dyDescent="0.15">
      <c r="B2821" s="301"/>
      <c r="C2821" s="65" t="s">
        <v>529</v>
      </c>
      <c r="D2821" s="66">
        <f>VLOOKUP(C2821,基本字段定义!$B$3:$C$3013,2,FALSE)</f>
        <v>1332</v>
      </c>
      <c r="E2821" s="67" t="s">
        <v>363</v>
      </c>
      <c r="F2821" s="67"/>
      <c r="G2821" s="68" t="s">
        <v>1381</v>
      </c>
    </row>
    <row r="2822" spans="2:7" x14ac:dyDescent="0.15">
      <c r="B2822" s="301"/>
      <c r="C2822" s="65" t="s">
        <v>614</v>
      </c>
      <c r="D2822" s="66">
        <f>VLOOKUP(C2822,基本字段定义!$B$3:$C$3013,2,FALSE)</f>
        <v>763</v>
      </c>
      <c r="E2822" s="67" t="s">
        <v>497</v>
      </c>
      <c r="F2822" s="67"/>
      <c r="G2822" s="68" t="s">
        <v>1506</v>
      </c>
    </row>
    <row r="2823" spans="2:7" x14ac:dyDescent="0.15">
      <c r="B2823" s="301"/>
      <c r="C2823" s="65" t="s">
        <v>616</v>
      </c>
      <c r="D2823" s="66">
        <f>VLOOKUP(C2823,基本字段定义!$B$3:$C$3013,2,FALSE)</f>
        <v>9110</v>
      </c>
      <c r="E2823" s="67" t="s">
        <v>363</v>
      </c>
      <c r="F2823" s="67"/>
      <c r="G2823" s="68" t="s">
        <v>1510</v>
      </c>
    </row>
    <row r="2824" spans="2:7" x14ac:dyDescent="0.15">
      <c r="B2824" s="301"/>
      <c r="C2824" s="65" t="s">
        <v>765</v>
      </c>
      <c r="D2824" s="66">
        <f>VLOOKUP(C2824,基本字段定义!$B$3:$C$3013,2,FALSE)</f>
        <v>9108</v>
      </c>
      <c r="E2824" s="67" t="s">
        <v>365</v>
      </c>
      <c r="F2824" s="67"/>
      <c r="G2824" s="68" t="s">
        <v>1514</v>
      </c>
    </row>
    <row r="2825" spans="2:7" x14ac:dyDescent="0.15">
      <c r="B2825" s="301"/>
      <c r="C2825" s="65" t="s">
        <v>1371</v>
      </c>
      <c r="D2825" s="66">
        <f>VLOOKUP(C2825,基本字段定义!$B$3:$C$3013,2,FALSE)</f>
        <v>557</v>
      </c>
      <c r="E2825" s="67" t="s">
        <v>365</v>
      </c>
      <c r="F2825" s="67"/>
      <c r="G2825" s="68" t="s">
        <v>1515</v>
      </c>
    </row>
    <row r="2826" spans="2:7" x14ac:dyDescent="0.15">
      <c r="B2826" s="301"/>
      <c r="C2826" s="65" t="s">
        <v>1373</v>
      </c>
      <c r="D2826" s="66">
        <f>VLOOKUP(C2826,基本字段定义!$B$3:$C$3013,2,FALSE)</f>
        <v>556</v>
      </c>
      <c r="E2826" s="67" t="s">
        <v>365</v>
      </c>
      <c r="F2826" s="67"/>
      <c r="G2826" s="68" t="s">
        <v>886</v>
      </c>
    </row>
    <row r="2827" spans="2:7" x14ac:dyDescent="0.15">
      <c r="B2827" s="301"/>
      <c r="C2827" s="65" t="s">
        <v>601</v>
      </c>
      <c r="D2827" s="66">
        <f>VLOOKUP(C2827,基本字段定义!$B$3:$C$3013,2,FALSE)</f>
        <v>797</v>
      </c>
      <c r="E2827" s="67" t="s">
        <v>365</v>
      </c>
      <c r="F2827" s="67"/>
      <c r="G2827" s="68" t="s">
        <v>602</v>
      </c>
    </row>
    <row r="2828" spans="2:7" ht="14.25" customHeight="1" x14ac:dyDescent="0.15">
      <c r="B2828" s="306"/>
      <c r="C2828" s="65" t="s">
        <v>612</v>
      </c>
      <c r="D2828" s="66">
        <f>VLOOKUP(C2828,基本字段定义!$B$3:$C$3013,2,FALSE)</f>
        <v>9109</v>
      </c>
      <c r="E2828" s="67" t="s">
        <v>363</v>
      </c>
      <c r="F2828" s="67"/>
      <c r="G2828" s="68" t="s">
        <v>1511</v>
      </c>
    </row>
    <row r="2829" spans="2:7" ht="14.25" customHeight="1" x14ac:dyDescent="0.15">
      <c r="B2829" s="300" t="s">
        <v>361</v>
      </c>
      <c r="C2829" s="142" t="s">
        <v>614</v>
      </c>
      <c r="D2829" s="70">
        <f>VLOOKUP(C2829,基本字段定义!$B$3:$C$3013,2,FALSE)</f>
        <v>763</v>
      </c>
      <c r="E2829" s="71" t="s">
        <v>365</v>
      </c>
      <c r="F2829" s="71"/>
      <c r="G2829" s="73" t="s">
        <v>1516</v>
      </c>
    </row>
    <row r="2830" spans="2:7" x14ac:dyDescent="0.15">
      <c r="B2830" s="301"/>
      <c r="C2830" s="142" t="s">
        <v>393</v>
      </c>
      <c r="D2830" s="70">
        <f>VLOOKUP(C2830,基本字段定义!$B$3:$C$3013,2,FALSE)</f>
        <v>651</v>
      </c>
      <c r="E2830" s="71" t="s">
        <v>363</v>
      </c>
      <c r="F2830" s="71"/>
      <c r="G2830" s="72" t="s">
        <v>1517</v>
      </c>
    </row>
    <row r="2831" spans="2:7" x14ac:dyDescent="0.15">
      <c r="B2831" s="301"/>
      <c r="C2831" s="142" t="s">
        <v>601</v>
      </c>
      <c r="D2831" s="70">
        <f>VLOOKUP(C2831,基本字段定义!$B$3:$C$3013,2,FALSE)</f>
        <v>797</v>
      </c>
      <c r="E2831" s="71" t="s">
        <v>365</v>
      </c>
      <c r="F2831" s="71"/>
      <c r="G2831" s="73" t="s">
        <v>1383</v>
      </c>
    </row>
    <row r="2832" spans="2:7" x14ac:dyDescent="0.15">
      <c r="B2832" s="301"/>
      <c r="C2832" s="142" t="s">
        <v>428</v>
      </c>
      <c r="D2832" s="70">
        <f>VLOOKUP(C2832,基本字段定义!$B$3:$C$3013,2,FALSE)</f>
        <v>605</v>
      </c>
      <c r="E2832" s="71" t="s">
        <v>365</v>
      </c>
      <c r="F2832" s="71"/>
      <c r="G2832" s="73" t="s">
        <v>430</v>
      </c>
    </row>
    <row r="2833" spans="2:7" x14ac:dyDescent="0.15">
      <c r="B2833" s="301"/>
      <c r="C2833" s="142" t="s">
        <v>446</v>
      </c>
      <c r="D2833" s="70">
        <f>VLOOKUP(C2833,基本字段定义!$B$3:$C$3013,2,FALSE)</f>
        <v>613</v>
      </c>
      <c r="E2833" s="71" t="s">
        <v>365</v>
      </c>
      <c r="F2833" s="71"/>
      <c r="G2833" s="73" t="s">
        <v>823</v>
      </c>
    </row>
    <row r="2834" spans="2:7" x14ac:dyDescent="0.15">
      <c r="B2834" s="301"/>
      <c r="C2834" s="142" t="s">
        <v>399</v>
      </c>
      <c r="D2834" s="70">
        <f>VLOOKUP(C2834,基本字段定义!$B$3:$C$3013,2,FALSE)</f>
        <v>697</v>
      </c>
      <c r="E2834" s="71" t="s">
        <v>365</v>
      </c>
      <c r="F2834" s="71"/>
      <c r="G2834" s="73" t="s">
        <v>400</v>
      </c>
    </row>
    <row r="2835" spans="2:7" x14ac:dyDescent="0.15">
      <c r="B2835" s="301"/>
      <c r="C2835" s="142" t="s">
        <v>443</v>
      </c>
      <c r="D2835" s="70">
        <f>VLOOKUP(C2835,基本字段定义!$B$3:$C$3013,2,FALSE)</f>
        <v>610</v>
      </c>
      <c r="E2835" s="71" t="s">
        <v>365</v>
      </c>
      <c r="F2835" s="71"/>
      <c r="G2835" s="73" t="s">
        <v>886</v>
      </c>
    </row>
    <row r="2836" spans="2:7" x14ac:dyDescent="0.15">
      <c r="B2836" s="301"/>
      <c r="C2836" s="142" t="s">
        <v>1384</v>
      </c>
      <c r="D2836" s="70">
        <f>VLOOKUP(C2836,基本字段定义!$B$3:$C$3013,2,FALSE)</f>
        <v>9061</v>
      </c>
      <c r="E2836" s="71" t="s">
        <v>363</v>
      </c>
      <c r="F2836" s="71"/>
      <c r="G2836" s="73" t="s">
        <v>991</v>
      </c>
    </row>
    <row r="2837" spans="2:7" x14ac:dyDescent="0.15">
      <c r="B2837" s="301"/>
      <c r="C2837" s="142" t="s">
        <v>1163</v>
      </c>
      <c r="D2837" s="70">
        <f>VLOOKUP(C2837,基本字段定义!$B$3:$C$3013,2,FALSE)</f>
        <v>1240</v>
      </c>
      <c r="E2837" s="71" t="s">
        <v>363</v>
      </c>
      <c r="F2837" s="71"/>
      <c r="G2837" s="73" t="s">
        <v>975</v>
      </c>
    </row>
    <row r="2838" spans="2:7" x14ac:dyDescent="0.15">
      <c r="B2838" s="301"/>
      <c r="C2838" s="142" t="s">
        <v>916</v>
      </c>
      <c r="D2838" s="70">
        <f>VLOOKUP(C2838,基本字段定义!$B$3:$C$3013,2,FALSE)</f>
        <v>681</v>
      </c>
      <c r="E2838" s="71" t="s">
        <v>363</v>
      </c>
      <c r="F2838" s="71"/>
      <c r="G2838" s="73" t="s">
        <v>918</v>
      </c>
    </row>
    <row r="2839" spans="2:7" x14ac:dyDescent="0.15">
      <c r="B2839" s="301"/>
      <c r="C2839" s="142" t="s">
        <v>875</v>
      </c>
      <c r="D2839" s="70">
        <f>VLOOKUP(C2839,基本字段定义!$B$3:$C$3013,2,FALSE)</f>
        <v>595</v>
      </c>
      <c r="E2839" s="71" t="s">
        <v>363</v>
      </c>
      <c r="F2839" s="71"/>
      <c r="G2839" s="115" t="s">
        <v>1385</v>
      </c>
    </row>
    <row r="2840" spans="2:7" x14ac:dyDescent="0.15">
      <c r="B2840" s="301"/>
      <c r="C2840" s="142" t="s">
        <v>387</v>
      </c>
      <c r="D2840" s="70">
        <f>VLOOKUP(C2840,基本字段定义!$B$3:$C$3013,2,FALSE)</f>
        <v>599</v>
      </c>
      <c r="E2840" s="71" t="s">
        <v>365</v>
      </c>
      <c r="F2840" s="71"/>
      <c r="G2840" s="73" t="s">
        <v>389</v>
      </c>
    </row>
    <row r="2841" spans="2:7" x14ac:dyDescent="0.15">
      <c r="B2841" s="301"/>
      <c r="C2841" s="142" t="s">
        <v>431</v>
      </c>
      <c r="D2841" s="70">
        <f>VLOOKUP(C2841,基本字段定义!$B$3:$C$3013,2,FALSE)</f>
        <v>571</v>
      </c>
      <c r="E2841" s="71" t="s">
        <v>365</v>
      </c>
      <c r="F2841" s="71"/>
      <c r="G2841" s="73" t="s">
        <v>433</v>
      </c>
    </row>
    <row r="2842" spans="2:7" x14ac:dyDescent="0.15">
      <c r="B2842" s="301"/>
      <c r="C2842" s="142" t="s">
        <v>1518</v>
      </c>
      <c r="D2842" s="70">
        <f>VLOOKUP(C2842,基本字段定义!$B$3:$C$3013,2,FALSE)</f>
        <v>795</v>
      </c>
      <c r="E2842" s="71" t="s">
        <v>365</v>
      </c>
      <c r="F2842" s="71"/>
      <c r="G2842" s="73" t="s">
        <v>1519</v>
      </c>
    </row>
    <row r="2843" spans="2:7" x14ac:dyDescent="0.15">
      <c r="B2843" s="301"/>
      <c r="C2843" s="142" t="s">
        <v>666</v>
      </c>
      <c r="D2843" s="70">
        <f>VLOOKUP(C2843,基本字段定义!$B$3:$C$3013,2,FALSE)</f>
        <v>719</v>
      </c>
      <c r="E2843" s="71" t="s">
        <v>365</v>
      </c>
      <c r="F2843" s="71"/>
      <c r="G2843" s="73" t="s">
        <v>683</v>
      </c>
    </row>
    <row r="2844" spans="2:7" x14ac:dyDescent="0.15">
      <c r="B2844" s="301"/>
      <c r="C2844" s="142" t="s">
        <v>685</v>
      </c>
      <c r="D2844" s="70">
        <f>VLOOKUP(C2844,基本字段定义!$B$3:$C$3013,2,FALSE)</f>
        <v>722</v>
      </c>
      <c r="E2844" s="71" t="s">
        <v>365</v>
      </c>
      <c r="F2844" s="71"/>
      <c r="G2844" s="73" t="s">
        <v>686</v>
      </c>
    </row>
    <row r="2845" spans="2:7" x14ac:dyDescent="0.15">
      <c r="B2845" s="301"/>
      <c r="C2845" s="142" t="s">
        <v>759</v>
      </c>
      <c r="D2845" s="70">
        <f>VLOOKUP(C2845,基本字段定义!$B$3:$C$3013,2,FALSE)</f>
        <v>720</v>
      </c>
      <c r="E2845" s="71" t="s">
        <v>365</v>
      </c>
      <c r="F2845" s="71"/>
      <c r="G2845" s="73" t="s">
        <v>760</v>
      </c>
    </row>
    <row r="2846" spans="2:7" x14ac:dyDescent="0.15">
      <c r="B2846" s="301"/>
      <c r="C2846" s="142" t="s">
        <v>550</v>
      </c>
      <c r="D2846" s="70">
        <f>VLOOKUP(C2846,基本字段定义!$B$3:$C$3013,2,FALSE)</f>
        <v>511</v>
      </c>
      <c r="E2846" s="71" t="s">
        <v>365</v>
      </c>
      <c r="F2846" s="71"/>
      <c r="G2846" s="73" t="s">
        <v>551</v>
      </c>
    </row>
    <row r="2847" spans="2:7" x14ac:dyDescent="0.15">
      <c r="B2847" s="301"/>
      <c r="C2847" s="142" t="s">
        <v>1386</v>
      </c>
      <c r="D2847" s="70">
        <f>VLOOKUP(C2847,基本字段定义!$B$3:$C$3013,2,FALSE)</f>
        <v>1825</v>
      </c>
      <c r="E2847" s="71" t="s">
        <v>363</v>
      </c>
      <c r="F2847" s="71"/>
      <c r="G2847" s="73" t="s">
        <v>1387</v>
      </c>
    </row>
    <row r="2848" spans="2:7" x14ac:dyDescent="0.15">
      <c r="B2848" s="301"/>
      <c r="C2848" s="142" t="s">
        <v>1204</v>
      </c>
      <c r="D2848" s="70">
        <f>VLOOKUP(C2848,基本字段定义!$B$3:$C$3013,2,FALSE)</f>
        <v>652</v>
      </c>
      <c r="E2848" s="71" t="s">
        <v>563</v>
      </c>
      <c r="F2848" s="71"/>
      <c r="G2848" s="73" t="s">
        <v>1205</v>
      </c>
    </row>
    <row r="2849" spans="2:7" x14ac:dyDescent="0.15">
      <c r="B2849" s="301"/>
      <c r="C2849" s="142" t="s">
        <v>1388</v>
      </c>
      <c r="D2849" s="70">
        <f>VLOOKUP(C2849,基本字段定义!$B$3:$C$3013,2,FALSE)</f>
        <v>1826</v>
      </c>
      <c r="E2849" s="71" t="s">
        <v>363</v>
      </c>
      <c r="F2849" s="71"/>
      <c r="G2849" s="73" t="s">
        <v>1389</v>
      </c>
    </row>
    <row r="2850" spans="2:7" x14ac:dyDescent="0.15">
      <c r="B2850" s="301"/>
      <c r="C2850" s="142" t="s">
        <v>1206</v>
      </c>
      <c r="D2850" s="70">
        <f>VLOOKUP(C2850,基本字段定义!$B$3:$C$3013,2,FALSE)</f>
        <v>1823</v>
      </c>
      <c r="E2850" s="71" t="s">
        <v>563</v>
      </c>
      <c r="F2850" s="71"/>
      <c r="G2850" s="73" t="s">
        <v>1207</v>
      </c>
    </row>
    <row r="2851" spans="2:7" x14ac:dyDescent="0.15">
      <c r="B2851" s="301"/>
      <c r="C2851" s="142" t="s">
        <v>1404</v>
      </c>
      <c r="D2851" s="70">
        <f>VLOOKUP(C2851,基本字段定义!$B$3:$C$3013,2,FALSE)</f>
        <v>1847</v>
      </c>
      <c r="E2851" s="71" t="s">
        <v>563</v>
      </c>
      <c r="F2851" s="71"/>
      <c r="G2851" s="73" t="s">
        <v>1405</v>
      </c>
    </row>
    <row r="2852" spans="2:7" x14ac:dyDescent="0.15">
      <c r="B2852" s="301"/>
      <c r="C2852" s="142" t="s">
        <v>1406</v>
      </c>
      <c r="D2852" s="70">
        <f>VLOOKUP(C2852,基本字段定义!$B$3:$C$3013,2,FALSE)</f>
        <v>1733</v>
      </c>
      <c r="E2852" s="71" t="s">
        <v>563</v>
      </c>
      <c r="F2852" s="71"/>
      <c r="G2852" s="73" t="s">
        <v>1407</v>
      </c>
    </row>
    <row r="2853" spans="2:7" x14ac:dyDescent="0.15">
      <c r="B2853" s="301"/>
      <c r="C2853" s="142" t="s">
        <v>1408</v>
      </c>
      <c r="D2853" s="70">
        <f>VLOOKUP(C2853,基本字段定义!$B$3:$C$3013,2,FALSE)</f>
        <v>1848</v>
      </c>
      <c r="E2853" s="71" t="s">
        <v>363</v>
      </c>
      <c r="F2853" s="71"/>
      <c r="G2853" s="73" t="s">
        <v>1409</v>
      </c>
    </row>
    <row r="2854" spans="2:7" x14ac:dyDescent="0.15">
      <c r="B2854" s="301"/>
      <c r="C2854" s="142" t="s">
        <v>1410</v>
      </c>
      <c r="D2854" s="70">
        <f>VLOOKUP(C2854,基本字段定义!$B$3:$C$3013,2,FALSE)</f>
        <v>1941</v>
      </c>
      <c r="E2854" s="71" t="s">
        <v>363</v>
      </c>
      <c r="F2854" s="71"/>
      <c r="G2854" s="73" t="s">
        <v>1358</v>
      </c>
    </row>
    <row r="2855" spans="2:7" x14ac:dyDescent="0.15">
      <c r="B2855" s="301"/>
      <c r="C2855" s="142" t="s">
        <v>1310</v>
      </c>
      <c r="D2855" s="70">
        <f>VLOOKUP(C2855,基本字段定义!$B$3:$C$3013,2,FALSE)</f>
        <v>1859</v>
      </c>
      <c r="E2855" s="71" t="s">
        <v>563</v>
      </c>
      <c r="F2855" s="71"/>
      <c r="G2855" s="73" t="s">
        <v>1311</v>
      </c>
    </row>
    <row r="2856" spans="2:7" x14ac:dyDescent="0.15">
      <c r="B2856" s="301"/>
      <c r="C2856" s="142" t="s">
        <v>1312</v>
      </c>
      <c r="D2856" s="70">
        <f>VLOOKUP(C2856,基本字段定义!$B$3:$C$3013,2,FALSE)</f>
        <v>1860</v>
      </c>
      <c r="E2856" s="71" t="s">
        <v>563</v>
      </c>
      <c r="F2856" s="71"/>
      <c r="G2856" s="73" t="s">
        <v>1313</v>
      </c>
    </row>
    <row r="2857" spans="2:7" x14ac:dyDescent="0.15">
      <c r="B2857" s="301"/>
      <c r="C2857" s="142" t="s">
        <v>518</v>
      </c>
      <c r="D2857" s="70">
        <f>VLOOKUP(C2857,基本字段定义!$B$3:$C$3013,2,FALSE)</f>
        <v>981</v>
      </c>
      <c r="E2857" s="71" t="s">
        <v>363</v>
      </c>
      <c r="F2857" s="71"/>
      <c r="G2857" s="73" t="s">
        <v>519</v>
      </c>
    </row>
    <row r="2858" spans="2:7" x14ac:dyDescent="0.15">
      <c r="B2858" s="301"/>
      <c r="C2858" s="142" t="s">
        <v>1520</v>
      </c>
      <c r="D2858" s="70">
        <f>VLOOKUP(C2858,基本字段定义!$B$3:$C$3013,2,FALSE)</f>
        <v>622</v>
      </c>
      <c r="E2858" s="71" t="s">
        <v>563</v>
      </c>
      <c r="F2858" s="71"/>
      <c r="G2858" s="73" t="s">
        <v>1521</v>
      </c>
    </row>
    <row r="2859" spans="2:7" x14ac:dyDescent="0.15">
      <c r="B2859" s="301"/>
      <c r="C2859" s="142" t="s">
        <v>1301</v>
      </c>
      <c r="D2859" s="70">
        <f>VLOOKUP(C2859,基本字段定义!$B$3:$C$3013,2,FALSE)</f>
        <v>621</v>
      </c>
      <c r="E2859" s="71" t="s">
        <v>563</v>
      </c>
      <c r="F2859" s="71"/>
      <c r="G2859" s="73" t="s">
        <v>1419</v>
      </c>
    </row>
    <row r="2860" spans="2:7" x14ac:dyDescent="0.15">
      <c r="B2860" s="301"/>
      <c r="C2860" s="142" t="s">
        <v>1420</v>
      </c>
      <c r="D2860" s="70">
        <f>VLOOKUP(C2860,基本字段定义!$B$3:$C$3013,2,FALSE)</f>
        <v>774</v>
      </c>
      <c r="E2860" s="71" t="s">
        <v>563</v>
      </c>
      <c r="F2860" s="71"/>
      <c r="G2860" s="73" t="s">
        <v>1421</v>
      </c>
    </row>
    <row r="2861" spans="2:7" x14ac:dyDescent="0.15">
      <c r="B2861" s="301"/>
      <c r="C2861" s="142" t="s">
        <v>1423</v>
      </c>
      <c r="D2861" s="70">
        <f>VLOOKUP(C2861,基本字段定义!$B$3:$C$3013,2,FALSE)</f>
        <v>620</v>
      </c>
      <c r="E2861" s="71" t="s">
        <v>563</v>
      </c>
      <c r="F2861" s="71"/>
      <c r="G2861" s="73" t="s">
        <v>1522</v>
      </c>
    </row>
    <row r="2862" spans="2:7" x14ac:dyDescent="0.15">
      <c r="B2862" s="301"/>
      <c r="C2862" s="142" t="s">
        <v>1217</v>
      </c>
      <c r="D2862" s="70">
        <f>VLOOKUP(C2862,基本字段定义!$B$3:$C$3013,2,FALSE)</f>
        <v>1800</v>
      </c>
      <c r="E2862" s="71" t="s">
        <v>363</v>
      </c>
      <c r="F2862" s="71"/>
      <c r="G2862" s="115" t="s">
        <v>1218</v>
      </c>
    </row>
    <row r="2863" spans="2:7" x14ac:dyDescent="0.15">
      <c r="B2863" s="301"/>
      <c r="C2863" s="142" t="s">
        <v>1377</v>
      </c>
      <c r="D2863" s="70">
        <f>VLOOKUP(C2863,基本字段定义!$B$3:$C$3013,2,FALSE)</f>
        <v>1887</v>
      </c>
      <c r="E2863" s="71" t="s">
        <v>363</v>
      </c>
      <c r="F2863" s="71"/>
      <c r="G2863" s="115" t="s">
        <v>1425</v>
      </c>
    </row>
    <row r="2864" spans="2:7" x14ac:dyDescent="0.15">
      <c r="B2864" s="301"/>
      <c r="C2864" s="142" t="s">
        <v>573</v>
      </c>
      <c r="D2864" s="70">
        <f>VLOOKUP(C2864,基本字段定义!$B$3:$C$3013,2,FALSE)</f>
        <v>760</v>
      </c>
      <c r="E2864" s="71" t="s">
        <v>563</v>
      </c>
      <c r="F2864" s="71"/>
      <c r="G2864" s="73" t="s">
        <v>1004</v>
      </c>
    </row>
    <row r="2865" spans="2:7" x14ac:dyDescent="0.15">
      <c r="B2865" s="301"/>
      <c r="C2865" s="143" t="s">
        <v>1028</v>
      </c>
      <c r="D2865" s="70">
        <f>VLOOKUP(C2865,基本字段定义!$B$3:$C$3013,2,FALSE)</f>
        <v>1173</v>
      </c>
      <c r="E2865" s="71" t="s">
        <v>563</v>
      </c>
      <c r="F2865" s="92"/>
      <c r="G2865" s="94" t="s">
        <v>1523</v>
      </c>
    </row>
    <row r="2866" spans="2:7" x14ac:dyDescent="0.15">
      <c r="B2866" s="301"/>
      <c r="C2866" s="143" t="s">
        <v>1524</v>
      </c>
      <c r="D2866" s="70">
        <f>VLOOKUP(C2866,基本字段定义!$B$3:$C$3013,2,FALSE)</f>
        <v>674</v>
      </c>
      <c r="E2866" s="71" t="s">
        <v>563</v>
      </c>
      <c r="F2866" s="92"/>
      <c r="G2866" s="94" t="s">
        <v>1525</v>
      </c>
    </row>
    <row r="2867" spans="2:7" x14ac:dyDescent="0.15">
      <c r="B2867" s="301"/>
      <c r="C2867" s="143" t="s">
        <v>1448</v>
      </c>
      <c r="D2867" s="70">
        <f>VLOOKUP(C2867,基本字段定义!$B$3:$C$3013,2,FALSE)</f>
        <v>799</v>
      </c>
      <c r="E2867" s="71" t="s">
        <v>563</v>
      </c>
      <c r="F2867" s="92"/>
      <c r="G2867" s="94" t="s">
        <v>1449</v>
      </c>
    </row>
    <row r="2868" spans="2:7" x14ac:dyDescent="0.15">
      <c r="B2868" s="301"/>
      <c r="C2868" s="143" t="s">
        <v>1445</v>
      </c>
      <c r="D2868" s="70">
        <f>VLOOKUP(C2868,基本字段定义!$B$3:$C$3013,2,FALSE)</f>
        <v>974</v>
      </c>
      <c r="E2868" s="71" t="s">
        <v>563</v>
      </c>
      <c r="F2868" s="92"/>
      <c r="G2868" s="94" t="s">
        <v>1447</v>
      </c>
    </row>
    <row r="2869" spans="2:7" x14ac:dyDescent="0.15">
      <c r="B2869" s="301"/>
      <c r="C2869" s="143" t="s">
        <v>1152</v>
      </c>
      <c r="D2869" s="70">
        <f>VLOOKUP(C2869,基本字段定义!$B$3:$C$3013,2,FALSE)</f>
        <v>9254</v>
      </c>
      <c r="E2869" s="71" t="s">
        <v>563</v>
      </c>
      <c r="F2869" s="92"/>
      <c r="G2869" s="94" t="s">
        <v>1428</v>
      </c>
    </row>
    <row r="2870" spans="2:7" x14ac:dyDescent="0.15">
      <c r="B2870" s="301"/>
      <c r="C2870" s="143" t="s">
        <v>952</v>
      </c>
      <c r="D2870" s="70">
        <f>VLOOKUP(C2870,基本字段定义!$B$3:$C$3013,2,FALSE)</f>
        <v>525</v>
      </c>
      <c r="E2870" s="71" t="s">
        <v>563</v>
      </c>
      <c r="F2870" s="92"/>
      <c r="G2870" s="94" t="s">
        <v>1526</v>
      </c>
    </row>
    <row r="2871" spans="2:7" x14ac:dyDescent="0.15">
      <c r="B2871" s="301"/>
      <c r="C2871" s="143" t="s">
        <v>765</v>
      </c>
      <c r="D2871" s="70">
        <f>VLOOKUP(C2871,基本字段定义!$B$3:$C$3013,2,FALSE)</f>
        <v>9108</v>
      </c>
      <c r="E2871" s="92" t="s">
        <v>365</v>
      </c>
      <c r="F2871" s="92"/>
      <c r="G2871" s="94" t="s">
        <v>1527</v>
      </c>
    </row>
    <row r="2872" spans="2:7" x14ac:dyDescent="0.15">
      <c r="B2872" s="301"/>
      <c r="C2872" s="143" t="s">
        <v>1337</v>
      </c>
      <c r="D2872" s="70">
        <f>VLOOKUP(C2872,基本字段定义!$B$3:$C$3013,2,FALSE)</f>
        <v>766</v>
      </c>
      <c r="E2872" s="71" t="s">
        <v>563</v>
      </c>
      <c r="F2872" s="92"/>
      <c r="G2872" s="94" t="s">
        <v>1528</v>
      </c>
    </row>
    <row r="2873" spans="2:7" x14ac:dyDescent="0.15">
      <c r="B2873" s="301"/>
      <c r="C2873" s="143" t="s">
        <v>1266</v>
      </c>
      <c r="D2873" s="70">
        <f>VLOOKUP(C2873,基本字段定义!$B$3:$C$3013,2,FALSE)</f>
        <v>1741</v>
      </c>
      <c r="E2873" s="71" t="s">
        <v>563</v>
      </c>
      <c r="F2873" s="92"/>
      <c r="G2873" s="94" t="s">
        <v>1529</v>
      </c>
    </row>
    <row r="2874" spans="2:7" x14ac:dyDescent="0.15">
      <c r="B2874" s="301"/>
      <c r="C2874" s="143" t="s">
        <v>1264</v>
      </c>
      <c r="D2874" s="70">
        <f>VLOOKUP(C2874,基本字段定义!$B$3:$C$3013,2,FALSE)</f>
        <v>1720</v>
      </c>
      <c r="E2874" s="71" t="s">
        <v>563</v>
      </c>
      <c r="F2874" s="92"/>
      <c r="G2874" s="94" t="s">
        <v>1530</v>
      </c>
    </row>
    <row r="2875" spans="2:7" x14ac:dyDescent="0.15">
      <c r="B2875" s="301"/>
      <c r="C2875" s="143" t="s">
        <v>1531</v>
      </c>
      <c r="D2875" s="70">
        <f>VLOOKUP(C2875,基本字段定义!$B$3:$C$3013,2,FALSE)</f>
        <v>1083</v>
      </c>
      <c r="E2875" s="92" t="s">
        <v>363</v>
      </c>
      <c r="F2875" s="92"/>
      <c r="G2875" s="94" t="s">
        <v>1532</v>
      </c>
    </row>
    <row r="2876" spans="2:7" x14ac:dyDescent="0.15">
      <c r="B2876" s="301"/>
      <c r="C2876" s="143" t="s">
        <v>1291</v>
      </c>
      <c r="D2876" s="70">
        <f>VLOOKUP(C2876,基本字段定义!$B$3:$C$3013,2,FALSE)</f>
        <v>517</v>
      </c>
      <c r="E2876" s="71" t="s">
        <v>563</v>
      </c>
      <c r="F2876" s="92"/>
      <c r="G2876" s="94" t="s">
        <v>1533</v>
      </c>
    </row>
    <row r="2877" spans="2:7" x14ac:dyDescent="0.15">
      <c r="B2877" s="301"/>
      <c r="C2877" s="143" t="s">
        <v>1337</v>
      </c>
      <c r="D2877" s="70">
        <f>VLOOKUP(C2877,基本字段定义!$B$3:$C$3013,2,FALSE)</f>
        <v>766</v>
      </c>
      <c r="E2877" s="92" t="s">
        <v>363</v>
      </c>
      <c r="F2877" s="92"/>
      <c r="G2877" s="94" t="s">
        <v>1534</v>
      </c>
    </row>
    <row r="2878" spans="2:7" x14ac:dyDescent="0.15">
      <c r="B2878" s="301"/>
      <c r="C2878" s="143" t="s">
        <v>1339</v>
      </c>
      <c r="D2878" s="70">
        <f>VLOOKUP(C2878,基本字段定义!$B$3:$C$3013,2,FALSE)</f>
        <v>767</v>
      </c>
      <c r="E2878" s="71" t="s">
        <v>563</v>
      </c>
      <c r="F2878" s="92"/>
      <c r="G2878" s="94" t="s">
        <v>1535</v>
      </c>
    </row>
    <row r="2879" spans="2:7" x14ac:dyDescent="0.15">
      <c r="B2879" s="301"/>
      <c r="C2879" s="143" t="s">
        <v>864</v>
      </c>
      <c r="D2879" s="70">
        <f>VLOOKUP(C2879,基本字段定义!$B$3:$C$3013,2,FALSE)</f>
        <v>1210</v>
      </c>
      <c r="E2879" s="71" t="s">
        <v>563</v>
      </c>
      <c r="F2879" s="92"/>
      <c r="G2879" s="94" t="s">
        <v>1536</v>
      </c>
    </row>
    <row r="2880" spans="2:7" x14ac:dyDescent="0.15">
      <c r="B2880" s="301"/>
      <c r="C2880" s="143" t="s">
        <v>899</v>
      </c>
      <c r="D2880" s="70">
        <f>VLOOKUP(C2880,基本字段定义!$B$3:$C$3013,2,FALSE)</f>
        <v>1536</v>
      </c>
      <c r="E2880" s="71" t="s">
        <v>363</v>
      </c>
      <c r="F2880" s="92"/>
      <c r="G2880" s="94" t="s">
        <v>1537</v>
      </c>
    </row>
    <row r="2881" spans="2:7" ht="14.25" thickBot="1" x14ac:dyDescent="0.2">
      <c r="B2881" s="305"/>
      <c r="C2881" s="144" t="s">
        <v>841</v>
      </c>
      <c r="D2881" s="83">
        <f>VLOOKUP(C2881,基本字段定义!$B$3:$C$3013,2,FALSE)</f>
        <v>1235</v>
      </c>
      <c r="E2881" s="77" t="s">
        <v>363</v>
      </c>
      <c r="F2881" s="77"/>
      <c r="G2881" s="78" t="s">
        <v>1538</v>
      </c>
    </row>
    <row r="2883" spans="2:7" x14ac:dyDescent="0.15">
      <c r="B2883" s="57" t="s">
        <v>163</v>
      </c>
      <c r="C2883" s="84">
        <v>407001</v>
      </c>
      <c r="D2883" s="85"/>
      <c r="E2883" s="86"/>
      <c r="F2883" s="58" t="s">
        <v>352</v>
      </c>
      <c r="G2883" s="59"/>
    </row>
    <row r="2884" spans="2:7" x14ac:dyDescent="0.15">
      <c r="B2884" s="60" t="s">
        <v>353</v>
      </c>
      <c r="C2884" s="87" t="str">
        <f>VLOOKUP(C2883,功能索引!$C$3:$D$278,2,FALSE)</f>
        <v>信用负债变动历史查询</v>
      </c>
      <c r="D2884" s="88"/>
      <c r="E2884" s="89"/>
      <c r="F2884" s="61" t="s">
        <v>165</v>
      </c>
      <c r="G2884" s="62" t="str">
        <f>VLOOKUP(C2883,功能索引!$C$3:$E2726,3,FALSE)</f>
        <v>Y</v>
      </c>
    </row>
    <row r="2885" spans="2:7" x14ac:dyDescent="0.15">
      <c r="B2885" s="299" t="s">
        <v>354</v>
      </c>
      <c r="C2885" s="99"/>
      <c r="D2885" s="100"/>
      <c r="E2885" s="100"/>
      <c r="F2885" s="100"/>
      <c r="G2885" s="101"/>
    </row>
    <row r="2886" spans="2:7" ht="14.25" thickBot="1" x14ac:dyDescent="0.2">
      <c r="B2886" s="304"/>
      <c r="C2886" s="102"/>
      <c r="D2886" s="103"/>
      <c r="E2886" s="103"/>
      <c r="F2886" s="103"/>
      <c r="G2886" s="104"/>
    </row>
    <row r="2887" spans="2:7" x14ac:dyDescent="0.15">
      <c r="B2887" s="315" t="s">
        <v>355</v>
      </c>
      <c r="C2887" s="58" t="s">
        <v>356</v>
      </c>
      <c r="D2887" s="58" t="s">
        <v>357</v>
      </c>
      <c r="E2887" s="58" t="s">
        <v>358</v>
      </c>
      <c r="F2887" s="58" t="s">
        <v>359</v>
      </c>
      <c r="G2887" s="64" t="s">
        <v>360</v>
      </c>
    </row>
    <row r="2888" spans="2:7" x14ac:dyDescent="0.15">
      <c r="B2888" s="301"/>
      <c r="C2888" s="65" t="s">
        <v>428</v>
      </c>
      <c r="D2888" s="66">
        <f>VLOOKUP(C2888,基本字段定义!$B$3:$C$3013,2,FALSE)</f>
        <v>605</v>
      </c>
      <c r="E2888" s="67" t="s">
        <v>429</v>
      </c>
      <c r="F2888" s="67" t="s">
        <v>169</v>
      </c>
      <c r="G2888" s="68" t="s">
        <v>430</v>
      </c>
    </row>
    <row r="2889" spans="2:7" x14ac:dyDescent="0.15">
      <c r="B2889" s="301"/>
      <c r="C2889" s="65" t="s">
        <v>510</v>
      </c>
      <c r="D2889" s="66">
        <f>VLOOKUP(C2889,基本字段定义!$B$3:$C$3013,2,FALSE)</f>
        <v>618</v>
      </c>
      <c r="E2889" s="67" t="s">
        <v>363</v>
      </c>
      <c r="F2889" s="67" t="s">
        <v>169</v>
      </c>
      <c r="G2889" s="68" t="s">
        <v>1050</v>
      </c>
    </row>
    <row r="2890" spans="2:7" x14ac:dyDescent="0.15">
      <c r="B2890" s="301"/>
      <c r="C2890" s="65" t="s">
        <v>512</v>
      </c>
      <c r="D2890" s="66">
        <f>VLOOKUP(C2890,基本字段定义!$B$3:$C$3013,2,FALSE)</f>
        <v>590</v>
      </c>
      <c r="E2890" s="67" t="s">
        <v>363</v>
      </c>
      <c r="F2890" s="67" t="s">
        <v>169</v>
      </c>
      <c r="G2890" s="68" t="s">
        <v>1155</v>
      </c>
    </row>
    <row r="2891" spans="2:7" x14ac:dyDescent="0.15">
      <c r="B2891" s="301"/>
      <c r="C2891" s="65" t="s">
        <v>612</v>
      </c>
      <c r="D2891" s="66">
        <f>VLOOKUP(C2891,基本字段定义!$B$3:$C$3013,2,FALSE)</f>
        <v>9109</v>
      </c>
      <c r="E2891" s="67" t="s">
        <v>363</v>
      </c>
      <c r="F2891" s="67"/>
      <c r="G2891" s="68" t="s">
        <v>613</v>
      </c>
    </row>
    <row r="2892" spans="2:7" x14ac:dyDescent="0.15">
      <c r="B2892" s="301"/>
      <c r="C2892" s="65" t="s">
        <v>616</v>
      </c>
      <c r="D2892" s="66">
        <f>VLOOKUP(C2892,基本字段定义!$B$3:$C$3013,2,FALSE)</f>
        <v>9110</v>
      </c>
      <c r="E2892" s="67" t="s">
        <v>363</v>
      </c>
      <c r="F2892" s="67"/>
      <c r="G2892" s="68" t="s">
        <v>937</v>
      </c>
    </row>
    <row r="2893" spans="2:7" x14ac:dyDescent="0.15">
      <c r="B2893" s="306"/>
      <c r="C2893" s="65" t="s">
        <v>614</v>
      </c>
      <c r="D2893" s="66">
        <f>VLOOKUP(C2893,基本字段定义!$B$3:$C$3013,2,FALSE)</f>
        <v>763</v>
      </c>
      <c r="E2893" s="67" t="s">
        <v>497</v>
      </c>
      <c r="F2893" s="67"/>
      <c r="G2893" s="68" t="s">
        <v>938</v>
      </c>
    </row>
    <row r="2894" spans="2:7" x14ac:dyDescent="0.15">
      <c r="B2894" s="301"/>
      <c r="C2894" s="65" t="s">
        <v>585</v>
      </c>
      <c r="D2894" s="66">
        <f>VLOOKUP(C2894,基本字段定义!$B$3:$C$3013,2,FALSE)</f>
        <v>9020</v>
      </c>
      <c r="E2894" s="67" t="s">
        <v>363</v>
      </c>
      <c r="F2894" s="67"/>
      <c r="G2894" s="68" t="s">
        <v>1466</v>
      </c>
    </row>
    <row r="2895" spans="2:7" x14ac:dyDescent="0.15">
      <c r="B2895" s="299" t="s">
        <v>361</v>
      </c>
      <c r="C2895" s="69" t="s">
        <v>601</v>
      </c>
      <c r="D2895" s="70">
        <f>VLOOKUP(C2895,基本字段定义!$B$3:$C$3013,2,FALSE)</f>
        <v>797</v>
      </c>
      <c r="E2895" s="71" t="s">
        <v>365</v>
      </c>
      <c r="F2895" s="71"/>
      <c r="G2895" s="72" t="s">
        <v>1383</v>
      </c>
    </row>
    <row r="2896" spans="2:7" x14ac:dyDescent="0.15">
      <c r="B2896" s="299"/>
      <c r="C2896" s="69" t="s">
        <v>1468</v>
      </c>
      <c r="D2896" s="70">
        <f>VLOOKUP(C2896,基本字段定义!$B$3:$C$3013,2,FALSE)</f>
        <v>871</v>
      </c>
      <c r="E2896" s="71" t="s">
        <v>365</v>
      </c>
      <c r="F2896" s="71"/>
      <c r="G2896" s="73" t="s">
        <v>1469</v>
      </c>
    </row>
    <row r="2897" spans="2:7" x14ac:dyDescent="0.15">
      <c r="B2897" s="299"/>
      <c r="C2897" s="69" t="s">
        <v>431</v>
      </c>
      <c r="D2897" s="70">
        <f>VLOOKUP(C2897,基本字段定义!$B$3:$C$3013,2,FALSE)</f>
        <v>571</v>
      </c>
      <c r="E2897" s="71" t="s">
        <v>365</v>
      </c>
      <c r="F2897" s="71"/>
      <c r="G2897" s="73" t="s">
        <v>433</v>
      </c>
    </row>
    <row r="2898" spans="2:7" x14ac:dyDescent="0.15">
      <c r="B2898" s="299"/>
      <c r="C2898" s="69" t="s">
        <v>387</v>
      </c>
      <c r="D2898" s="70">
        <f>VLOOKUP(C2898,基本字段定义!$B$3:$C$3013,2,FALSE)</f>
        <v>599</v>
      </c>
      <c r="E2898" s="71" t="s">
        <v>365</v>
      </c>
      <c r="F2898" s="71"/>
      <c r="G2898" s="73" t="s">
        <v>389</v>
      </c>
    </row>
    <row r="2899" spans="2:7" x14ac:dyDescent="0.15">
      <c r="B2899" s="299"/>
      <c r="C2899" s="69" t="s">
        <v>666</v>
      </c>
      <c r="D2899" s="70">
        <f>VLOOKUP(C2899,基本字段定义!$B$3:$C$3013,2,FALSE)</f>
        <v>719</v>
      </c>
      <c r="E2899" s="71" t="s">
        <v>365</v>
      </c>
      <c r="F2899" s="71"/>
      <c r="G2899" s="73" t="s">
        <v>683</v>
      </c>
    </row>
    <row r="2900" spans="2:7" x14ac:dyDescent="0.15">
      <c r="B2900" s="299"/>
      <c r="C2900" s="69" t="s">
        <v>875</v>
      </c>
      <c r="D2900" s="70">
        <f>VLOOKUP(C2900,基本字段定义!$B$3:$C$3013,2,FALSE)</f>
        <v>595</v>
      </c>
      <c r="E2900" s="71" t="s">
        <v>363</v>
      </c>
      <c r="F2900" s="71"/>
      <c r="G2900" s="73" t="s">
        <v>930</v>
      </c>
    </row>
    <row r="2901" spans="2:7" x14ac:dyDescent="0.15">
      <c r="B2901" s="299"/>
      <c r="C2901" s="69" t="s">
        <v>1172</v>
      </c>
      <c r="D2901" s="70">
        <f>VLOOKUP(C2901,基本字段定义!$B$3:$C$3013,2,FALSE)</f>
        <v>1109</v>
      </c>
      <c r="E2901" s="71" t="s">
        <v>363</v>
      </c>
      <c r="F2901" s="71"/>
      <c r="G2901" s="73" t="s">
        <v>1539</v>
      </c>
    </row>
    <row r="2902" spans="2:7" x14ac:dyDescent="0.15">
      <c r="B2902" s="299"/>
      <c r="C2902" s="69" t="s">
        <v>608</v>
      </c>
      <c r="D2902" s="70">
        <f>VLOOKUP(C2902,基本字段定义!$B$3:$C$3013,2,FALSE)</f>
        <v>808</v>
      </c>
      <c r="E2902" s="71" t="s">
        <v>563</v>
      </c>
      <c r="F2902" s="71"/>
      <c r="G2902" s="73" t="s">
        <v>1471</v>
      </c>
    </row>
    <row r="2903" spans="2:7" x14ac:dyDescent="0.15">
      <c r="B2903" s="299"/>
      <c r="C2903" s="69" t="s">
        <v>998</v>
      </c>
      <c r="D2903" s="70">
        <f>VLOOKUP(C2903,基本字段定义!$B$3:$C$3013,2,FALSE)</f>
        <v>1234</v>
      </c>
      <c r="E2903" s="71" t="s">
        <v>563</v>
      </c>
      <c r="F2903" s="71"/>
      <c r="G2903" s="73" t="s">
        <v>999</v>
      </c>
    </row>
    <row r="2904" spans="2:7" x14ac:dyDescent="0.15">
      <c r="B2904" s="299"/>
      <c r="C2904" s="69" t="s">
        <v>1472</v>
      </c>
      <c r="D2904" s="70">
        <f>VLOOKUP(C2904,基本字段定义!$B$3:$C$3013,2,FALSE)</f>
        <v>9146</v>
      </c>
      <c r="E2904" s="71" t="s">
        <v>363</v>
      </c>
      <c r="F2904" s="71"/>
      <c r="G2904" s="73" t="s">
        <v>1473</v>
      </c>
    </row>
    <row r="2905" spans="2:7" x14ac:dyDescent="0.15">
      <c r="B2905" s="299"/>
      <c r="C2905" s="69" t="s">
        <v>1384</v>
      </c>
      <c r="D2905" s="70">
        <f>VLOOKUP(C2905,基本字段定义!$B$3:$C$3013,2,FALSE)</f>
        <v>9061</v>
      </c>
      <c r="E2905" s="71" t="s">
        <v>363</v>
      </c>
      <c r="F2905" s="71"/>
      <c r="G2905" s="73" t="s">
        <v>619</v>
      </c>
    </row>
    <row r="2906" spans="2:7" x14ac:dyDescent="0.15">
      <c r="B2906" s="299"/>
      <c r="C2906" s="69" t="s">
        <v>620</v>
      </c>
      <c r="D2906" s="70">
        <f>VLOOKUP(C2906,基本字段定义!$B$3:$C$3013,2,FALSE)</f>
        <v>865</v>
      </c>
      <c r="E2906" s="71" t="s">
        <v>365</v>
      </c>
      <c r="F2906" s="71"/>
      <c r="G2906" s="73" t="s">
        <v>621</v>
      </c>
    </row>
    <row r="2907" spans="2:7" x14ac:dyDescent="0.15">
      <c r="B2907" s="299"/>
      <c r="C2907" s="69" t="s">
        <v>366</v>
      </c>
      <c r="D2907" s="70">
        <f>VLOOKUP(C2907,基本字段定义!$B$3:$C$3013,2,FALSE)</f>
        <v>1137</v>
      </c>
      <c r="E2907" s="71" t="s">
        <v>363</v>
      </c>
      <c r="F2907" s="71"/>
      <c r="G2907" s="73" t="s">
        <v>1474</v>
      </c>
    </row>
    <row r="2908" spans="2:7" x14ac:dyDescent="0.15">
      <c r="B2908" s="299"/>
      <c r="C2908" s="69" t="s">
        <v>916</v>
      </c>
      <c r="D2908" s="70">
        <f>VLOOKUP(C2908,基本字段定义!$B$3:$C$3013,2,FALSE)</f>
        <v>681</v>
      </c>
      <c r="E2908" s="71" t="s">
        <v>363</v>
      </c>
      <c r="F2908" s="71"/>
      <c r="G2908" s="73" t="s">
        <v>918</v>
      </c>
    </row>
    <row r="2909" spans="2:7" x14ac:dyDescent="0.15">
      <c r="B2909" s="299"/>
      <c r="C2909" s="69" t="s">
        <v>496</v>
      </c>
      <c r="D2909" s="70">
        <f>VLOOKUP(C2909,基本字段定义!$B$3:$C$3013,2,FALSE)</f>
        <v>730</v>
      </c>
      <c r="E2909" s="71" t="s">
        <v>365</v>
      </c>
      <c r="F2909" s="71"/>
      <c r="G2909" s="73" t="s">
        <v>1475</v>
      </c>
    </row>
    <row r="2910" spans="2:7" x14ac:dyDescent="0.15">
      <c r="B2910" s="300"/>
      <c r="C2910" s="91" t="s">
        <v>614</v>
      </c>
      <c r="D2910" s="70">
        <f>VLOOKUP(C2910,基本字段定义!$B$3:$C$3013,2,FALSE)</f>
        <v>763</v>
      </c>
      <c r="E2910" s="71" t="s">
        <v>363</v>
      </c>
      <c r="F2910" s="92"/>
      <c r="G2910" s="94" t="s">
        <v>1540</v>
      </c>
    </row>
    <row r="2911" spans="2:7" ht="14.25" thickBot="1" x14ac:dyDescent="0.2">
      <c r="B2911" s="304"/>
      <c r="C2911" s="75"/>
      <c r="D2911" s="83"/>
      <c r="E2911" s="77"/>
      <c r="F2911" s="77"/>
      <c r="G2911" s="78"/>
    </row>
    <row r="2913" spans="2:7" x14ac:dyDescent="0.15">
      <c r="B2913" s="57" t="s">
        <v>163</v>
      </c>
      <c r="C2913" s="84">
        <v>205105</v>
      </c>
      <c r="D2913" s="85"/>
      <c r="E2913" s="86"/>
      <c r="F2913" s="58" t="s">
        <v>352</v>
      </c>
      <c r="G2913" s="59">
        <v>20120525</v>
      </c>
    </row>
    <row r="2914" spans="2:7" x14ac:dyDescent="0.15">
      <c r="B2914" s="60" t="s">
        <v>353</v>
      </c>
      <c r="C2914" s="87" t="str">
        <f>VLOOKUP(C2913,功能索引!$C$3:$D$278,2,FALSE)</f>
        <v>现金宝资金保留额度设置</v>
      </c>
      <c r="D2914" s="88"/>
      <c r="E2914" s="89"/>
      <c r="F2914" s="61" t="s">
        <v>165</v>
      </c>
      <c r="G2914" s="62">
        <v>0</v>
      </c>
    </row>
    <row r="2915" spans="2:7" ht="13.5" customHeight="1" x14ac:dyDescent="0.15">
      <c r="B2915" s="299" t="s">
        <v>354</v>
      </c>
      <c r="C2915" s="99" t="s">
        <v>1541</v>
      </c>
      <c r="D2915" s="100"/>
      <c r="E2915" s="100"/>
      <c r="F2915" s="100"/>
      <c r="G2915" s="101"/>
    </row>
    <row r="2916" spans="2:7" ht="14.25" thickBot="1" x14ac:dyDescent="0.2">
      <c r="B2916" s="304"/>
      <c r="C2916" s="102"/>
      <c r="D2916" s="103"/>
      <c r="E2916" s="103"/>
      <c r="F2916" s="103"/>
      <c r="G2916" s="104"/>
    </row>
    <row r="2917" spans="2:7" x14ac:dyDescent="0.15">
      <c r="B2917" s="299" t="s">
        <v>355</v>
      </c>
      <c r="C2917" s="58" t="s">
        <v>356</v>
      </c>
      <c r="D2917" s="58" t="s">
        <v>357</v>
      </c>
      <c r="E2917" s="58" t="s">
        <v>358</v>
      </c>
      <c r="F2917" s="58" t="s">
        <v>359</v>
      </c>
      <c r="G2917" s="64" t="s">
        <v>360</v>
      </c>
    </row>
    <row r="2918" spans="2:7" x14ac:dyDescent="0.15">
      <c r="B2918" s="299"/>
      <c r="C2918" s="65" t="s">
        <v>916</v>
      </c>
      <c r="D2918" s="66">
        <f>VLOOKUP(C2918,基本字段定义!$B$3:$C$3013,2,FALSE)</f>
        <v>681</v>
      </c>
      <c r="E2918" s="67" t="s">
        <v>363</v>
      </c>
      <c r="F2918" s="67" t="s">
        <v>169</v>
      </c>
      <c r="G2918" s="68" t="s">
        <v>1542</v>
      </c>
    </row>
    <row r="2919" spans="2:7" x14ac:dyDescent="0.15">
      <c r="B2919" s="299"/>
      <c r="C2919" s="65" t="s">
        <v>1163</v>
      </c>
      <c r="D2919" s="66">
        <f>VLOOKUP(C2919,基本字段定义!$B$3:$C$3013,2,FALSE)</f>
        <v>1240</v>
      </c>
      <c r="E2919" s="67" t="s">
        <v>363</v>
      </c>
      <c r="F2919" s="67" t="s">
        <v>169</v>
      </c>
      <c r="G2919" s="68" t="s">
        <v>1543</v>
      </c>
    </row>
    <row r="2920" spans="2:7" x14ac:dyDescent="0.15">
      <c r="B2920" s="299"/>
      <c r="C2920" s="65" t="s">
        <v>1159</v>
      </c>
      <c r="D2920" s="66">
        <f>VLOOKUP(C2920,基本字段定义!$B$3:$C$3013,2,FALSE)</f>
        <v>825</v>
      </c>
      <c r="E2920" s="67" t="s">
        <v>563</v>
      </c>
      <c r="F2920" s="67" t="s">
        <v>169</v>
      </c>
      <c r="G2920" s="68" t="s">
        <v>1544</v>
      </c>
    </row>
    <row r="2921" spans="2:7" x14ac:dyDescent="0.15">
      <c r="B2921" s="299"/>
      <c r="C2921" s="65" t="s">
        <v>428</v>
      </c>
      <c r="D2921" s="66">
        <f>VLOOKUP(C2921,基本字段定义!$B$3:$C$3013,2,FALSE)</f>
        <v>605</v>
      </c>
      <c r="E2921" s="67" t="s">
        <v>429</v>
      </c>
      <c r="F2921" s="67" t="s">
        <v>169</v>
      </c>
      <c r="G2921" s="68" t="s">
        <v>430</v>
      </c>
    </row>
    <row r="2922" spans="2:7" x14ac:dyDescent="0.15">
      <c r="B2922" s="299"/>
      <c r="C2922" s="65" t="s">
        <v>548</v>
      </c>
      <c r="D2922" s="66">
        <f>VLOOKUP(C2922,基本字段定义!$B$3:$C$3013,2,FALSE)</f>
        <v>716</v>
      </c>
      <c r="E2922" s="67" t="s">
        <v>579</v>
      </c>
      <c r="F2922" s="67" t="s">
        <v>169</v>
      </c>
      <c r="G2922" s="68" t="s">
        <v>1545</v>
      </c>
    </row>
    <row r="2923" spans="2:7" ht="14.25" thickBot="1" x14ac:dyDescent="0.2">
      <c r="B2923" s="304"/>
      <c r="C2923" s="65" t="s">
        <v>496</v>
      </c>
      <c r="D2923" s="66">
        <f>VLOOKUP(C2923,基本字段定义!$B$3:$C$3013,2,FALSE)</f>
        <v>730</v>
      </c>
      <c r="E2923" s="67" t="s">
        <v>497</v>
      </c>
      <c r="F2923" s="67" t="s">
        <v>363</v>
      </c>
      <c r="G2923" s="68" t="s">
        <v>1546</v>
      </c>
    </row>
    <row r="2924" spans="2:7" x14ac:dyDescent="0.15">
      <c r="B2924" s="300" t="s">
        <v>361</v>
      </c>
      <c r="C2924" s="69" t="s">
        <v>362</v>
      </c>
      <c r="D2924" s="66">
        <f>VLOOKUP(C2924,基本字段定义!$B$3:$C$3013,2,FALSE)</f>
        <v>507</v>
      </c>
      <c r="E2924" s="71" t="s">
        <v>363</v>
      </c>
      <c r="F2924" s="71"/>
      <c r="G2924" s="72"/>
    </row>
    <row r="2925" spans="2:7" x14ac:dyDescent="0.15">
      <c r="B2925" s="301"/>
      <c r="C2925" s="69" t="s">
        <v>364</v>
      </c>
      <c r="D2925" s="66">
        <f>VLOOKUP(C2925,基本字段定义!$B$3:$C$3013,2,FALSE)</f>
        <v>508</v>
      </c>
      <c r="E2925" s="71" t="s">
        <v>365</v>
      </c>
      <c r="F2925" s="71"/>
      <c r="G2925" s="73"/>
    </row>
    <row r="2926" spans="2:7" ht="14.25" thickBot="1" x14ac:dyDescent="0.2">
      <c r="B2926" s="301"/>
      <c r="C2926" s="75" t="s">
        <v>601</v>
      </c>
      <c r="D2926" s="66">
        <f>VLOOKUP(C2926,基本字段定义!$B$3:$C$3013,2,FALSE)</f>
        <v>797</v>
      </c>
      <c r="E2926" s="77" t="s">
        <v>363</v>
      </c>
      <c r="F2926" s="77"/>
      <c r="G2926" s="78" t="s">
        <v>602</v>
      </c>
    </row>
    <row r="2927" spans="2:7" ht="14.25" thickBot="1" x14ac:dyDescent="0.2">
      <c r="B2927" s="305"/>
      <c r="C2927" s="75"/>
      <c r="D2927" s="83"/>
      <c r="E2927" s="77"/>
      <c r="F2927" s="77"/>
      <c r="G2927" s="78"/>
    </row>
    <row r="2929" spans="2:7" x14ac:dyDescent="0.15">
      <c r="B2929" s="57" t="s">
        <v>163</v>
      </c>
      <c r="C2929" s="84">
        <v>145010</v>
      </c>
      <c r="D2929" s="85"/>
      <c r="E2929" s="86"/>
      <c r="F2929" s="58" t="s">
        <v>352</v>
      </c>
      <c r="G2929" s="59">
        <v>20120525</v>
      </c>
    </row>
    <row r="2930" spans="2:7" x14ac:dyDescent="0.15">
      <c r="B2930" s="60" t="s">
        <v>353</v>
      </c>
      <c r="C2930" s="87" t="str">
        <f>VLOOKUP(C2929,功能索引!$C$3:$D$278,2,FALSE)</f>
        <v>修改理财电子合同协议(现金宝解约)</v>
      </c>
      <c r="D2930" s="88"/>
      <c r="E2930" s="89"/>
      <c r="F2930" s="61" t="s">
        <v>165</v>
      </c>
      <c r="G2930" s="62">
        <v>0</v>
      </c>
    </row>
    <row r="2931" spans="2:7" ht="13.5" customHeight="1" x14ac:dyDescent="0.15">
      <c r="B2931" s="299" t="s">
        <v>354</v>
      </c>
      <c r="C2931" s="99" t="s">
        <v>1547</v>
      </c>
      <c r="D2931" s="100"/>
      <c r="E2931" s="100"/>
      <c r="F2931" s="100"/>
      <c r="G2931" s="101"/>
    </row>
    <row r="2932" spans="2:7" ht="14.25" thickBot="1" x14ac:dyDescent="0.2">
      <c r="B2932" s="304"/>
      <c r="C2932" s="102"/>
      <c r="D2932" s="103"/>
      <c r="E2932" s="103"/>
      <c r="F2932" s="103"/>
      <c r="G2932" s="104"/>
    </row>
    <row r="2933" spans="2:7" x14ac:dyDescent="0.15">
      <c r="B2933" s="299" t="s">
        <v>355</v>
      </c>
      <c r="C2933" s="58" t="s">
        <v>356</v>
      </c>
      <c r="D2933" s="58" t="s">
        <v>357</v>
      </c>
      <c r="E2933" s="58" t="s">
        <v>358</v>
      </c>
      <c r="F2933" s="58" t="s">
        <v>359</v>
      </c>
      <c r="G2933" s="64" t="s">
        <v>360</v>
      </c>
    </row>
    <row r="2934" spans="2:7" x14ac:dyDescent="0.15">
      <c r="B2934" s="299"/>
      <c r="C2934" s="65" t="s">
        <v>428</v>
      </c>
      <c r="D2934" s="66">
        <f>VLOOKUP(C2934,基本字段定义!$B$3:$C$3013,2,FALSE)</f>
        <v>605</v>
      </c>
      <c r="E2934" s="67" t="s">
        <v>429</v>
      </c>
      <c r="F2934" s="67"/>
      <c r="G2934" s="68" t="s">
        <v>430</v>
      </c>
    </row>
    <row r="2935" spans="2:7" x14ac:dyDescent="0.15">
      <c r="B2935" s="299"/>
      <c r="C2935" s="65" t="s">
        <v>916</v>
      </c>
      <c r="D2935" s="66">
        <f>VLOOKUP(C2935,基本字段定义!$B$3:$C$3013,2,FALSE)</f>
        <v>681</v>
      </c>
      <c r="E2935" s="67" t="s">
        <v>363</v>
      </c>
      <c r="F2935" s="67" t="s">
        <v>169</v>
      </c>
      <c r="G2935" s="68" t="s">
        <v>1548</v>
      </c>
    </row>
    <row r="2936" spans="2:7" x14ac:dyDescent="0.15">
      <c r="B2936" s="299"/>
      <c r="C2936" s="65" t="s">
        <v>1165</v>
      </c>
      <c r="D2936" s="66">
        <f>VLOOKUP(C2936,基本字段定义!$B$3:$C$3013,2,FALSE)</f>
        <v>1609</v>
      </c>
      <c r="E2936" s="67" t="s">
        <v>604</v>
      </c>
      <c r="F2936" s="67"/>
      <c r="G2936" s="68" t="s">
        <v>1549</v>
      </c>
    </row>
    <row r="2937" spans="2:7" x14ac:dyDescent="0.15">
      <c r="B2937" s="300" t="s">
        <v>361</v>
      </c>
      <c r="C2937" s="69" t="s">
        <v>362</v>
      </c>
      <c r="D2937" s="66">
        <f>VLOOKUP(C2937,基本字段定义!$B$3:$C$3013,2,FALSE)</f>
        <v>507</v>
      </c>
      <c r="E2937" s="71" t="s">
        <v>363</v>
      </c>
      <c r="F2937" s="71"/>
      <c r="G2937" s="72"/>
    </row>
    <row r="2938" spans="2:7" x14ac:dyDescent="0.15">
      <c r="B2938" s="301"/>
      <c r="C2938" s="69" t="s">
        <v>364</v>
      </c>
      <c r="D2938" s="66">
        <f>VLOOKUP(C2938,基本字段定义!$B$3:$C$3013,2,FALSE)</f>
        <v>508</v>
      </c>
      <c r="E2938" s="71" t="s">
        <v>365</v>
      </c>
      <c r="F2938" s="71"/>
      <c r="G2938" s="73"/>
    </row>
    <row r="2939" spans="2:7" ht="14.25" thickBot="1" x14ac:dyDescent="0.2">
      <c r="B2939" s="301"/>
      <c r="C2939" s="75" t="s">
        <v>601</v>
      </c>
      <c r="D2939" s="66">
        <f>VLOOKUP(C2939,基本字段定义!$B$3:$C$3013,2,FALSE)</f>
        <v>797</v>
      </c>
      <c r="E2939" s="77" t="s">
        <v>363</v>
      </c>
      <c r="F2939" s="77"/>
      <c r="G2939" s="78" t="s">
        <v>602</v>
      </c>
    </row>
    <row r="2940" spans="2:7" ht="14.25" thickBot="1" x14ac:dyDescent="0.2">
      <c r="B2940" s="305"/>
      <c r="C2940" s="75"/>
      <c r="D2940" s="83"/>
      <c r="E2940" s="77"/>
      <c r="F2940" s="77"/>
      <c r="G2940" s="78"/>
    </row>
    <row r="2942" spans="2:7" x14ac:dyDescent="0.15">
      <c r="B2942" s="57" t="s">
        <v>163</v>
      </c>
      <c r="C2942" s="84">
        <v>204551</v>
      </c>
      <c r="D2942" s="85"/>
      <c r="E2942" s="86"/>
      <c r="F2942" s="58" t="s">
        <v>352</v>
      </c>
      <c r="G2942" s="145">
        <v>20120719</v>
      </c>
    </row>
    <row r="2943" spans="2:7" x14ac:dyDescent="0.15">
      <c r="B2943" s="60" t="s">
        <v>353</v>
      </c>
      <c r="C2943" s="87" t="s">
        <v>268</v>
      </c>
      <c r="D2943" s="88"/>
      <c r="E2943" s="89"/>
      <c r="F2943" s="146" t="s">
        <v>165</v>
      </c>
      <c r="G2943" s="62"/>
    </row>
    <row r="2944" spans="2:7" ht="13.5" customHeight="1" x14ac:dyDescent="0.15">
      <c r="B2944" s="300" t="s">
        <v>354</v>
      </c>
      <c r="C2944" s="99" t="s">
        <v>1550</v>
      </c>
      <c r="D2944" s="100"/>
      <c r="E2944" s="100"/>
      <c r="F2944" s="100"/>
      <c r="G2944" s="101"/>
    </row>
    <row r="2945" spans="2:7" ht="40.5" customHeight="1" thickBot="1" x14ac:dyDescent="0.2">
      <c r="B2945" s="301"/>
      <c r="C2945" s="102"/>
      <c r="D2945" s="103"/>
      <c r="E2945" s="103"/>
      <c r="F2945" s="103"/>
      <c r="G2945" s="104"/>
    </row>
    <row r="2946" spans="2:7" x14ac:dyDescent="0.15">
      <c r="B2946" s="315" t="s">
        <v>355</v>
      </c>
      <c r="C2946" s="58" t="s">
        <v>356</v>
      </c>
      <c r="D2946" s="58" t="s">
        <v>357</v>
      </c>
      <c r="E2946" s="58" t="s">
        <v>358</v>
      </c>
      <c r="F2946" s="58" t="s">
        <v>359</v>
      </c>
      <c r="G2946" s="64" t="s">
        <v>360</v>
      </c>
    </row>
    <row r="2947" spans="2:7" x14ac:dyDescent="0.15">
      <c r="B2947" s="301"/>
      <c r="C2947" s="65" t="s">
        <v>1551</v>
      </c>
      <c r="D2947" s="66">
        <f>VLOOKUP(C2947,基本字段定义!$B$3:$C$3013,2,FALSE)</f>
        <v>605</v>
      </c>
      <c r="E2947" s="67" t="s">
        <v>429</v>
      </c>
      <c r="F2947" s="67" t="s">
        <v>169</v>
      </c>
      <c r="G2947" s="68" t="s">
        <v>430</v>
      </c>
    </row>
    <row r="2948" spans="2:7" x14ac:dyDescent="0.15">
      <c r="B2948" s="301"/>
      <c r="C2948" s="65" t="s">
        <v>1552</v>
      </c>
      <c r="D2948" s="66">
        <f>VLOOKUP(C2948,基本字段定义!$B$3:$C$3013,2,FALSE)</f>
        <v>599</v>
      </c>
      <c r="E2948" s="67" t="s">
        <v>388</v>
      </c>
      <c r="F2948" s="67" t="s">
        <v>169</v>
      </c>
      <c r="G2948" s="68" t="s">
        <v>389</v>
      </c>
    </row>
    <row r="2949" spans="2:7" x14ac:dyDescent="0.15">
      <c r="B2949" s="301"/>
      <c r="C2949" s="65" t="s">
        <v>1553</v>
      </c>
      <c r="D2949" s="66">
        <f>VLOOKUP(C2949,基本字段定义!$B$3:$C$3013,2,FALSE)</f>
        <v>571</v>
      </c>
      <c r="E2949" s="67" t="s">
        <v>432</v>
      </c>
      <c r="F2949" s="67" t="s">
        <v>169</v>
      </c>
      <c r="G2949" s="68" t="s">
        <v>433</v>
      </c>
    </row>
    <row r="2950" spans="2:7" x14ac:dyDescent="0.15">
      <c r="B2950" s="301"/>
      <c r="C2950" s="65" t="s">
        <v>1554</v>
      </c>
      <c r="D2950" s="66">
        <f>VLOOKUP(C2950,基本字段定义!$B$3:$C$3013,2,FALSE)</f>
        <v>719</v>
      </c>
      <c r="E2950" s="67" t="s">
        <v>506</v>
      </c>
      <c r="F2950" s="67" t="s">
        <v>169</v>
      </c>
      <c r="G2950" s="68" t="s">
        <v>683</v>
      </c>
    </row>
    <row r="2951" spans="2:7" x14ac:dyDescent="0.15">
      <c r="B2951" s="301"/>
      <c r="C2951" s="65" t="s">
        <v>875</v>
      </c>
      <c r="D2951" s="66">
        <f>VLOOKUP(C2951,基本字段定义!$B$3:$C$3013,2,FALSE)</f>
        <v>595</v>
      </c>
      <c r="E2951" s="67" t="s">
        <v>363</v>
      </c>
      <c r="F2951" s="67" t="s">
        <v>169</v>
      </c>
      <c r="G2951" s="68" t="s">
        <v>1555</v>
      </c>
    </row>
    <row r="2952" spans="2:7" x14ac:dyDescent="0.15">
      <c r="B2952" s="301"/>
      <c r="C2952" s="65" t="s">
        <v>810</v>
      </c>
      <c r="D2952" s="66">
        <f>VLOOKUP(C2952,基本字段定义!$B$3:$C$3013,2,FALSE)</f>
        <v>684</v>
      </c>
      <c r="E2952" s="67" t="s">
        <v>363</v>
      </c>
      <c r="F2952" s="67" t="s">
        <v>169</v>
      </c>
      <c r="G2952" s="68" t="s">
        <v>811</v>
      </c>
    </row>
    <row r="2953" spans="2:7" x14ac:dyDescent="0.15">
      <c r="B2953" s="301"/>
      <c r="C2953" s="65" t="s">
        <v>812</v>
      </c>
      <c r="D2953" s="66">
        <f>VLOOKUP(C2953,基本字段定义!$B$3:$C$3013,2,FALSE)</f>
        <v>682</v>
      </c>
      <c r="E2953" s="67" t="s">
        <v>563</v>
      </c>
      <c r="F2953" s="67" t="s">
        <v>363</v>
      </c>
      <c r="G2953" s="68" t="s">
        <v>1556</v>
      </c>
    </row>
    <row r="2954" spans="2:7" x14ac:dyDescent="0.15">
      <c r="B2954" s="301"/>
      <c r="C2954" s="65" t="s">
        <v>1557</v>
      </c>
      <c r="D2954" s="66">
        <f>VLOOKUP(C2954,基本字段定义!$B$3:$C$3013,2,FALSE)</f>
        <v>1248</v>
      </c>
      <c r="E2954" s="67" t="s">
        <v>563</v>
      </c>
      <c r="F2954" s="67" t="s">
        <v>363</v>
      </c>
      <c r="G2954" s="68" t="s">
        <v>1558</v>
      </c>
    </row>
    <row r="2955" spans="2:7" x14ac:dyDescent="0.15">
      <c r="B2955" s="301"/>
      <c r="C2955" s="65" t="s">
        <v>767</v>
      </c>
      <c r="D2955" s="66">
        <f>VLOOKUP(C2955,基本字段定义!$B$3:$C$3013,2,FALSE)</f>
        <v>526</v>
      </c>
      <c r="E2955" s="67" t="s">
        <v>363</v>
      </c>
      <c r="F2955" s="67" t="s">
        <v>363</v>
      </c>
      <c r="G2955" s="68" t="s">
        <v>1559</v>
      </c>
    </row>
    <row r="2956" spans="2:7" x14ac:dyDescent="0.15">
      <c r="B2956" s="301"/>
      <c r="C2956" s="65" t="s">
        <v>903</v>
      </c>
      <c r="D2956" s="66">
        <f>VLOOKUP(C2956,基本字段定义!$B$3:$C$3013,2,FALSE)</f>
        <v>522</v>
      </c>
      <c r="E2956" s="67" t="s">
        <v>365</v>
      </c>
      <c r="F2956" s="67" t="s">
        <v>363</v>
      </c>
      <c r="G2956" s="68" t="s">
        <v>1560</v>
      </c>
    </row>
    <row r="2957" spans="2:7" x14ac:dyDescent="0.15">
      <c r="B2957" s="301"/>
      <c r="C2957" s="65" t="s">
        <v>1561</v>
      </c>
      <c r="D2957" s="66">
        <v>2741</v>
      </c>
      <c r="E2957" s="67" t="s">
        <v>363</v>
      </c>
      <c r="F2957" s="67" t="s">
        <v>363</v>
      </c>
      <c r="G2957" s="68" t="s">
        <v>1562</v>
      </c>
    </row>
    <row r="2958" spans="2:7" x14ac:dyDescent="0.15">
      <c r="B2958" s="301"/>
      <c r="C2958" s="65" t="s">
        <v>908</v>
      </c>
      <c r="D2958" s="66">
        <v>1936</v>
      </c>
      <c r="E2958" s="67" t="s">
        <v>432</v>
      </c>
      <c r="F2958" s="67" t="s">
        <v>363</v>
      </c>
      <c r="G2958" s="68" t="s">
        <v>1563</v>
      </c>
    </row>
    <row r="2959" spans="2:7" x14ac:dyDescent="0.15">
      <c r="B2959" s="301"/>
      <c r="C2959" s="65" t="s">
        <v>906</v>
      </c>
      <c r="D2959" s="66">
        <v>1935</v>
      </c>
      <c r="E2959" s="67" t="s">
        <v>365</v>
      </c>
      <c r="F2959" s="67" t="s">
        <v>363</v>
      </c>
      <c r="G2959" s="68" t="s">
        <v>1564</v>
      </c>
    </row>
    <row r="2960" spans="2:7" x14ac:dyDescent="0.15">
      <c r="B2960" s="306"/>
      <c r="C2960" s="65" t="s">
        <v>899</v>
      </c>
      <c r="D2960" s="66">
        <f>VLOOKUP(C2960,基本字段定义!$B$3:$C$3013,2,FALSE)</f>
        <v>1536</v>
      </c>
      <c r="E2960" s="67" t="s">
        <v>363</v>
      </c>
      <c r="F2960" s="67" t="s">
        <v>363</v>
      </c>
      <c r="G2960" s="68" t="s">
        <v>1565</v>
      </c>
    </row>
    <row r="2961" spans="2:7" x14ac:dyDescent="0.15">
      <c r="B2961" s="300" t="s">
        <v>361</v>
      </c>
      <c r="C2961" s="69" t="s">
        <v>362</v>
      </c>
      <c r="D2961" s="66">
        <f>VLOOKUP(C2961,基本字段定义!$B$3:$C$3013,2,FALSE)</f>
        <v>507</v>
      </c>
      <c r="E2961" s="71" t="s">
        <v>363</v>
      </c>
      <c r="F2961" s="70"/>
      <c r="G2961" s="73"/>
    </row>
    <row r="2962" spans="2:7" x14ac:dyDescent="0.15">
      <c r="B2962" s="301"/>
      <c r="C2962" s="69" t="s">
        <v>364</v>
      </c>
      <c r="D2962" s="66">
        <f>VLOOKUP(C2962,基本字段定义!$B$3:$C$3013,2,FALSE)</f>
        <v>508</v>
      </c>
      <c r="E2962" s="71" t="s">
        <v>365</v>
      </c>
      <c r="F2962" s="70"/>
      <c r="G2962" s="73"/>
    </row>
    <row r="2963" spans="2:7" x14ac:dyDescent="0.15">
      <c r="B2963" s="301"/>
      <c r="C2963" s="69" t="s">
        <v>916</v>
      </c>
      <c r="D2963" s="66">
        <f>VLOOKUP(C2963,基本字段定义!$B$3:$C$3013,2,FALSE)</f>
        <v>681</v>
      </c>
      <c r="E2963" s="71" t="s">
        <v>363</v>
      </c>
      <c r="F2963" s="70"/>
      <c r="G2963" s="73"/>
    </row>
    <row r="2964" spans="2:7" ht="14.25" thickBot="1" x14ac:dyDescent="0.2">
      <c r="B2964" s="305"/>
      <c r="C2964" s="75"/>
      <c r="D2964" s="75"/>
      <c r="E2964" s="75"/>
      <c r="F2964" s="75"/>
      <c r="G2964" s="147"/>
    </row>
    <row r="2966" spans="2:7" x14ac:dyDescent="0.15">
      <c r="B2966" s="57" t="s">
        <v>163</v>
      </c>
      <c r="C2966" s="84">
        <v>204552</v>
      </c>
      <c r="D2966" s="85"/>
      <c r="E2966" s="86"/>
      <c r="F2966" s="58" t="s">
        <v>352</v>
      </c>
      <c r="G2966" s="145">
        <v>20120719</v>
      </c>
    </row>
    <row r="2967" spans="2:7" x14ac:dyDescent="0.15">
      <c r="B2967" s="60" t="s">
        <v>353</v>
      </c>
      <c r="C2967" s="87" t="s">
        <v>269</v>
      </c>
      <c r="D2967" s="88"/>
      <c r="E2967" s="89"/>
      <c r="F2967" s="146" t="s">
        <v>165</v>
      </c>
      <c r="G2967" s="62"/>
    </row>
    <row r="2968" spans="2:7" x14ac:dyDescent="0.15">
      <c r="B2968" s="300" t="s">
        <v>354</v>
      </c>
      <c r="C2968" s="99" t="s">
        <v>1566</v>
      </c>
      <c r="D2968" s="100"/>
      <c r="E2968" s="100"/>
      <c r="F2968" s="100"/>
      <c r="G2968" s="101"/>
    </row>
    <row r="2969" spans="2:7" ht="14.25" thickBot="1" x14ac:dyDescent="0.2">
      <c r="B2969" s="301"/>
      <c r="C2969" s="102"/>
      <c r="D2969" s="103"/>
      <c r="E2969" s="103"/>
      <c r="F2969" s="103"/>
      <c r="G2969" s="104"/>
    </row>
    <row r="2970" spans="2:7" x14ac:dyDescent="0.15">
      <c r="B2970" s="315" t="s">
        <v>355</v>
      </c>
      <c r="C2970" s="58" t="s">
        <v>356</v>
      </c>
      <c r="D2970" s="58" t="s">
        <v>357</v>
      </c>
      <c r="E2970" s="58" t="s">
        <v>358</v>
      </c>
      <c r="F2970" s="58" t="s">
        <v>359</v>
      </c>
      <c r="G2970" s="64" t="s">
        <v>360</v>
      </c>
    </row>
    <row r="2971" spans="2:7" x14ac:dyDescent="0.15">
      <c r="B2971" s="301"/>
      <c r="C2971" s="65" t="s">
        <v>428</v>
      </c>
      <c r="D2971" s="66">
        <f>VLOOKUP(C2971,基本字段定义!$B$3:$C$3013,2,FALSE)</f>
        <v>605</v>
      </c>
      <c r="E2971" s="67" t="s">
        <v>429</v>
      </c>
      <c r="F2971" s="67" t="s">
        <v>169</v>
      </c>
      <c r="G2971" s="68" t="s">
        <v>430</v>
      </c>
    </row>
    <row r="2972" spans="2:7" x14ac:dyDescent="0.15">
      <c r="B2972" s="301"/>
      <c r="C2972" s="65" t="s">
        <v>387</v>
      </c>
      <c r="D2972" s="66">
        <f>VLOOKUP(C2972,基本字段定义!$B$3:$C$3013,2,FALSE)</f>
        <v>599</v>
      </c>
      <c r="E2972" s="67" t="s">
        <v>388</v>
      </c>
      <c r="F2972" s="67" t="s">
        <v>169</v>
      </c>
      <c r="G2972" s="68" t="s">
        <v>389</v>
      </c>
    </row>
    <row r="2973" spans="2:7" x14ac:dyDescent="0.15">
      <c r="B2973" s="301"/>
      <c r="C2973" s="65" t="s">
        <v>431</v>
      </c>
      <c r="D2973" s="66">
        <f>VLOOKUP(C2973,基本字段定义!$B$3:$C$3013,2,FALSE)</f>
        <v>571</v>
      </c>
      <c r="E2973" s="67" t="s">
        <v>432</v>
      </c>
      <c r="F2973" s="67" t="s">
        <v>169</v>
      </c>
      <c r="G2973" s="68" t="s">
        <v>433</v>
      </c>
    </row>
    <row r="2974" spans="2:7" x14ac:dyDescent="0.15">
      <c r="B2974" s="301"/>
      <c r="C2974" s="65" t="s">
        <v>916</v>
      </c>
      <c r="D2974" s="66">
        <f>VLOOKUP(C2974,基本字段定义!$B$3:$C$3013,2,FALSE)</f>
        <v>681</v>
      </c>
      <c r="E2974" s="67" t="s">
        <v>363</v>
      </c>
      <c r="F2974" s="67" t="s">
        <v>169</v>
      </c>
      <c r="G2974" s="68" t="s">
        <v>918</v>
      </c>
    </row>
    <row r="2975" spans="2:7" x14ac:dyDescent="0.15">
      <c r="B2975" s="300" t="s">
        <v>361</v>
      </c>
      <c r="C2975" s="69" t="s">
        <v>362</v>
      </c>
      <c r="D2975" s="66">
        <f>VLOOKUP(C2975,基本字段定义!$B$3:$C$3013,2,FALSE)</f>
        <v>507</v>
      </c>
      <c r="E2975" s="71" t="s">
        <v>363</v>
      </c>
      <c r="F2975" s="70"/>
      <c r="G2975" s="73"/>
    </row>
    <row r="2976" spans="2:7" x14ac:dyDescent="0.15">
      <c r="B2976" s="301"/>
      <c r="C2976" s="69" t="s">
        <v>364</v>
      </c>
      <c r="D2976" s="66">
        <f>VLOOKUP(C2976,基本字段定义!$B$3:$C$3013,2,FALSE)</f>
        <v>508</v>
      </c>
      <c r="E2976" s="71" t="s">
        <v>365</v>
      </c>
      <c r="F2976" s="70"/>
      <c r="G2976" s="73"/>
    </row>
    <row r="2977" spans="2:7" ht="14.25" thickBot="1" x14ac:dyDescent="0.2">
      <c r="B2977" s="305"/>
      <c r="C2977" s="75"/>
      <c r="D2977" s="148"/>
      <c r="E2977" s="77"/>
      <c r="F2977" s="83"/>
      <c r="G2977" s="78"/>
    </row>
    <row r="2979" spans="2:7" x14ac:dyDescent="0.15">
      <c r="B2979" s="57" t="s">
        <v>163</v>
      </c>
      <c r="C2979" s="84">
        <v>204556</v>
      </c>
      <c r="D2979" s="85"/>
      <c r="E2979" s="86"/>
      <c r="F2979" s="58" t="s">
        <v>352</v>
      </c>
      <c r="G2979" s="145">
        <v>20120719</v>
      </c>
    </row>
    <row r="2980" spans="2:7" x14ac:dyDescent="0.15">
      <c r="B2980" s="60" t="s">
        <v>353</v>
      </c>
      <c r="C2980" s="87" t="s">
        <v>270</v>
      </c>
      <c r="D2980" s="88"/>
      <c r="E2980" s="89"/>
      <c r="F2980" s="146" t="s">
        <v>165</v>
      </c>
      <c r="G2980" s="62"/>
    </row>
    <row r="2981" spans="2:7" ht="13.5" customHeight="1" x14ac:dyDescent="0.15">
      <c r="B2981" s="300" t="s">
        <v>354</v>
      </c>
      <c r="C2981" s="99" t="s">
        <v>270</v>
      </c>
      <c r="D2981" s="100"/>
      <c r="E2981" s="100"/>
      <c r="F2981" s="100"/>
      <c r="G2981" s="101"/>
    </row>
    <row r="2982" spans="2:7" ht="14.25" thickBot="1" x14ac:dyDescent="0.2">
      <c r="B2982" s="301"/>
      <c r="C2982" s="102"/>
      <c r="D2982" s="103"/>
      <c r="E2982" s="103"/>
      <c r="F2982" s="103"/>
      <c r="G2982" s="104"/>
    </row>
    <row r="2983" spans="2:7" x14ac:dyDescent="0.15">
      <c r="B2983" s="315" t="s">
        <v>355</v>
      </c>
      <c r="C2983" s="58" t="s">
        <v>356</v>
      </c>
      <c r="D2983" s="58" t="s">
        <v>357</v>
      </c>
      <c r="E2983" s="58" t="s">
        <v>358</v>
      </c>
      <c r="F2983" s="58" t="s">
        <v>359</v>
      </c>
      <c r="G2983" s="64" t="s">
        <v>360</v>
      </c>
    </row>
    <row r="2984" spans="2:7" x14ac:dyDescent="0.15">
      <c r="B2984" s="301"/>
      <c r="C2984" s="65" t="s">
        <v>428</v>
      </c>
      <c r="D2984" s="66">
        <f>VLOOKUP(C2984,基本字段定义!$B$3:$C$3013,2,FALSE)</f>
        <v>605</v>
      </c>
      <c r="E2984" s="67" t="s">
        <v>429</v>
      </c>
      <c r="F2984" s="67" t="s">
        <v>169</v>
      </c>
      <c r="G2984" s="68" t="s">
        <v>430</v>
      </c>
    </row>
    <row r="2985" spans="2:7" x14ac:dyDescent="0.15">
      <c r="B2985" s="301"/>
      <c r="C2985" s="65" t="s">
        <v>387</v>
      </c>
      <c r="D2985" s="66">
        <f>VLOOKUP(C2985,基本字段定义!$B$3:$C$3013,2,FALSE)</f>
        <v>599</v>
      </c>
      <c r="E2985" s="67" t="s">
        <v>388</v>
      </c>
      <c r="F2985" s="67" t="s">
        <v>169</v>
      </c>
      <c r="G2985" s="68" t="s">
        <v>389</v>
      </c>
    </row>
    <row r="2986" spans="2:7" x14ac:dyDescent="0.15">
      <c r="B2986" s="301"/>
      <c r="C2986" s="65" t="s">
        <v>431</v>
      </c>
      <c r="D2986" s="66">
        <f>VLOOKUP(C2986,基本字段定义!$B$3:$C$3013,2,FALSE)</f>
        <v>571</v>
      </c>
      <c r="E2986" s="67" t="s">
        <v>432</v>
      </c>
      <c r="F2986" s="67" t="s">
        <v>169</v>
      </c>
      <c r="G2986" s="68" t="s">
        <v>433</v>
      </c>
    </row>
    <row r="2987" spans="2:7" x14ac:dyDescent="0.15">
      <c r="B2987" s="301"/>
      <c r="C2987" s="65" t="s">
        <v>666</v>
      </c>
      <c r="D2987" s="66">
        <f>VLOOKUP(C2987,基本字段定义!$B$3:$C$3013,2,FALSE)</f>
        <v>719</v>
      </c>
      <c r="E2987" s="67" t="s">
        <v>506</v>
      </c>
      <c r="F2987" s="67" t="s">
        <v>169</v>
      </c>
      <c r="G2987" s="68" t="s">
        <v>683</v>
      </c>
    </row>
    <row r="2988" spans="2:7" x14ac:dyDescent="0.15">
      <c r="B2988" s="301"/>
      <c r="C2988" s="65" t="s">
        <v>806</v>
      </c>
      <c r="D2988" s="66">
        <f>VLOOKUP(C2988,基本字段定义!$B$3:$C$3013,2,FALSE)</f>
        <v>683</v>
      </c>
      <c r="E2988" s="67" t="s">
        <v>363</v>
      </c>
      <c r="F2988" s="67" t="s">
        <v>169</v>
      </c>
      <c r="G2988" s="68" t="s">
        <v>1013</v>
      </c>
    </row>
    <row r="2989" spans="2:7" x14ac:dyDescent="0.15">
      <c r="B2989" s="306"/>
      <c r="C2989" s="65" t="s">
        <v>812</v>
      </c>
      <c r="D2989" s="66">
        <f>VLOOKUP(C2989,基本字段定义!$B$3:$C$3013,2,FALSE)</f>
        <v>682</v>
      </c>
      <c r="E2989" s="67" t="s">
        <v>563</v>
      </c>
      <c r="F2989" s="67"/>
      <c r="G2989" s="68" t="s">
        <v>813</v>
      </c>
    </row>
    <row r="2990" spans="2:7" x14ac:dyDescent="0.15">
      <c r="B2990" s="300" t="s">
        <v>361</v>
      </c>
      <c r="C2990" s="69" t="s">
        <v>362</v>
      </c>
      <c r="D2990" s="66">
        <f>VLOOKUP(C2990,基本字段定义!$B$3:$C$3013,2,FALSE)</f>
        <v>507</v>
      </c>
      <c r="E2990" s="71" t="s">
        <v>363</v>
      </c>
      <c r="F2990" s="70"/>
      <c r="G2990" s="73"/>
    </row>
    <row r="2991" spans="2:7" x14ac:dyDescent="0.15">
      <c r="B2991" s="301"/>
      <c r="C2991" s="69" t="s">
        <v>364</v>
      </c>
      <c r="D2991" s="66">
        <f>VLOOKUP(C2991,基本字段定义!$B$3:$C$3013,2,FALSE)</f>
        <v>508</v>
      </c>
      <c r="E2991" s="71" t="s">
        <v>365</v>
      </c>
      <c r="F2991" s="70"/>
      <c r="G2991" s="73"/>
    </row>
    <row r="2992" spans="2:7" x14ac:dyDescent="0.15">
      <c r="B2992" s="301"/>
      <c r="C2992" s="69" t="s">
        <v>810</v>
      </c>
      <c r="D2992" s="66">
        <f>VLOOKUP(C2992,基本字段定义!$B$3:$C$3013,2,FALSE)</f>
        <v>684</v>
      </c>
      <c r="E2992" s="71" t="s">
        <v>363</v>
      </c>
      <c r="F2992" s="70"/>
      <c r="G2992" s="73" t="s">
        <v>1567</v>
      </c>
    </row>
    <row r="2993" spans="2:7" ht="14.25" thickBot="1" x14ac:dyDescent="0.2">
      <c r="B2993" s="305"/>
      <c r="C2993" s="75"/>
      <c r="D2993" s="83"/>
      <c r="E2993" s="77"/>
      <c r="F2993" s="83"/>
      <c r="G2993" s="78"/>
    </row>
    <row r="2995" spans="2:7" x14ac:dyDescent="0.15">
      <c r="B2995" s="57" t="s">
        <v>163</v>
      </c>
      <c r="C2995" s="84">
        <v>204566</v>
      </c>
      <c r="D2995" s="85"/>
      <c r="E2995" s="86"/>
      <c r="F2995" s="58" t="s">
        <v>352</v>
      </c>
      <c r="G2995" s="145">
        <v>20120719</v>
      </c>
    </row>
    <row r="2996" spans="2:7" x14ac:dyDescent="0.15">
      <c r="B2996" s="60" t="s">
        <v>353</v>
      </c>
      <c r="C2996" s="87" t="s">
        <v>1568</v>
      </c>
      <c r="D2996" s="88"/>
      <c r="E2996" s="89"/>
      <c r="F2996" s="146" t="s">
        <v>165</v>
      </c>
      <c r="G2996" s="62" t="s">
        <v>169</v>
      </c>
    </row>
    <row r="2997" spans="2:7" ht="13.5" customHeight="1" x14ac:dyDescent="0.15">
      <c r="B2997" s="300" t="s">
        <v>354</v>
      </c>
      <c r="C2997" s="99" t="s">
        <v>1569</v>
      </c>
      <c r="D2997" s="100"/>
      <c r="E2997" s="100"/>
      <c r="F2997" s="100"/>
      <c r="G2997" s="101"/>
    </row>
    <row r="2998" spans="2:7" ht="14.25" thickBot="1" x14ac:dyDescent="0.2">
      <c r="B2998" s="301"/>
      <c r="C2998" s="102"/>
      <c r="D2998" s="103"/>
      <c r="E2998" s="103"/>
      <c r="F2998" s="103"/>
      <c r="G2998" s="104"/>
    </row>
    <row r="2999" spans="2:7" x14ac:dyDescent="0.15">
      <c r="B2999" s="315" t="s">
        <v>355</v>
      </c>
      <c r="C2999" s="58" t="s">
        <v>356</v>
      </c>
      <c r="D2999" s="58" t="s">
        <v>357</v>
      </c>
      <c r="E2999" s="58" t="s">
        <v>358</v>
      </c>
      <c r="F2999" s="58" t="s">
        <v>359</v>
      </c>
      <c r="G2999" s="64" t="s">
        <v>360</v>
      </c>
    </row>
    <row r="3000" spans="2:7" x14ac:dyDescent="0.15">
      <c r="B3000" s="301"/>
      <c r="C3000" s="65" t="s">
        <v>428</v>
      </c>
      <c r="D3000" s="66">
        <f>VLOOKUP(C3000,基本字段定义!$B$3:$C$3013,2,FALSE)</f>
        <v>605</v>
      </c>
      <c r="E3000" s="67" t="s">
        <v>429</v>
      </c>
      <c r="F3000" s="67" t="s">
        <v>169</v>
      </c>
      <c r="G3000" s="68" t="s">
        <v>430</v>
      </c>
    </row>
    <row r="3001" spans="2:7" x14ac:dyDescent="0.15">
      <c r="B3001" s="301"/>
      <c r="C3001" s="65" t="s">
        <v>387</v>
      </c>
      <c r="D3001" s="66">
        <f>VLOOKUP(C3001,基本字段定义!$B$3:$C$3013,2,FALSE)</f>
        <v>599</v>
      </c>
      <c r="E3001" s="67" t="s">
        <v>388</v>
      </c>
      <c r="F3001" s="67"/>
      <c r="G3001" s="68" t="s">
        <v>389</v>
      </c>
    </row>
    <row r="3002" spans="2:7" x14ac:dyDescent="0.15">
      <c r="B3002" s="301"/>
      <c r="C3002" s="65" t="s">
        <v>431</v>
      </c>
      <c r="D3002" s="66">
        <f>VLOOKUP(C3002,基本字段定义!$B$3:$C$3013,2,FALSE)</f>
        <v>571</v>
      </c>
      <c r="E3002" s="67" t="s">
        <v>432</v>
      </c>
      <c r="F3002" s="67"/>
      <c r="G3002" s="68" t="s">
        <v>433</v>
      </c>
    </row>
    <row r="3003" spans="2:7" x14ac:dyDescent="0.15">
      <c r="B3003" s="301"/>
      <c r="C3003" s="65" t="s">
        <v>806</v>
      </c>
      <c r="D3003" s="66">
        <f>VLOOKUP(C3003,基本字段定义!$B$3:$C$3013,2,FALSE)</f>
        <v>683</v>
      </c>
      <c r="E3003" s="67" t="s">
        <v>363</v>
      </c>
      <c r="F3003" s="67"/>
      <c r="G3003" s="68" t="s">
        <v>930</v>
      </c>
    </row>
    <row r="3004" spans="2:7" x14ac:dyDescent="0.15">
      <c r="B3004" s="301"/>
      <c r="C3004" s="65" t="s">
        <v>933</v>
      </c>
      <c r="D3004" s="66">
        <f>VLOOKUP(C3004,基本字段定义!$B$3:$C$3013,2,FALSE)</f>
        <v>755</v>
      </c>
      <c r="E3004" s="67" t="s">
        <v>604</v>
      </c>
      <c r="F3004" s="67"/>
      <c r="G3004" s="68" t="s">
        <v>934</v>
      </c>
    </row>
    <row r="3005" spans="2:7" x14ac:dyDescent="0.15">
      <c r="B3005" s="301"/>
      <c r="C3005" s="65" t="s">
        <v>666</v>
      </c>
      <c r="D3005" s="66">
        <f>VLOOKUP(C3005,基本字段定义!$B$3:$C$3013,2,FALSE)</f>
        <v>719</v>
      </c>
      <c r="E3005" s="67" t="s">
        <v>506</v>
      </c>
      <c r="F3005" s="67"/>
      <c r="G3005" s="68" t="s">
        <v>683</v>
      </c>
    </row>
    <row r="3006" spans="2:7" x14ac:dyDescent="0.15">
      <c r="B3006" s="301"/>
      <c r="C3006" s="65" t="s">
        <v>585</v>
      </c>
      <c r="D3006" s="66">
        <f>VLOOKUP(C3006,基本字段定义!$B$3:$C$3013,2,FALSE)</f>
        <v>9020</v>
      </c>
      <c r="E3006" s="67" t="s">
        <v>363</v>
      </c>
      <c r="F3006" s="67"/>
      <c r="G3006" s="68" t="s">
        <v>936</v>
      </c>
    </row>
    <row r="3007" spans="2:7" x14ac:dyDescent="0.15">
      <c r="B3007" s="301"/>
      <c r="C3007" s="65" t="s">
        <v>612</v>
      </c>
      <c r="D3007" s="66">
        <f>VLOOKUP(C3007,基本字段定义!$B$3:$C$3013,2,FALSE)</f>
        <v>9109</v>
      </c>
      <c r="E3007" s="67" t="s">
        <v>363</v>
      </c>
      <c r="F3007" s="67"/>
      <c r="G3007" s="68" t="s">
        <v>613</v>
      </c>
    </row>
    <row r="3008" spans="2:7" x14ac:dyDescent="0.15">
      <c r="B3008" s="301"/>
      <c r="C3008" s="65" t="s">
        <v>616</v>
      </c>
      <c r="D3008" s="66">
        <f>VLOOKUP(C3008,基本字段定义!$B$3:$C$3013,2,FALSE)</f>
        <v>9110</v>
      </c>
      <c r="E3008" s="67" t="s">
        <v>363</v>
      </c>
      <c r="F3008" s="67"/>
      <c r="G3008" s="68" t="s">
        <v>937</v>
      </c>
    </row>
    <row r="3009" spans="2:7" x14ac:dyDescent="0.15">
      <c r="B3009" s="306"/>
      <c r="C3009" s="65" t="s">
        <v>614</v>
      </c>
      <c r="D3009" s="66">
        <f>VLOOKUP(C3009,基本字段定义!$B$3:$C$3013,2,FALSE)</f>
        <v>763</v>
      </c>
      <c r="E3009" s="67" t="s">
        <v>497</v>
      </c>
      <c r="F3009" s="67"/>
      <c r="G3009" s="68" t="s">
        <v>938</v>
      </c>
    </row>
    <row r="3010" spans="2:7" x14ac:dyDescent="0.15">
      <c r="B3010" s="300" t="s">
        <v>361</v>
      </c>
      <c r="C3010" s="69" t="s">
        <v>387</v>
      </c>
      <c r="D3010" s="70">
        <f>VLOOKUP(C3010,基本字段定义!$B$3:$C$3013,2,FALSE)</f>
        <v>599</v>
      </c>
      <c r="E3010" s="71" t="s">
        <v>365</v>
      </c>
      <c r="F3010" s="71"/>
      <c r="G3010" s="73" t="s">
        <v>389</v>
      </c>
    </row>
    <row r="3011" spans="2:7" x14ac:dyDescent="0.15">
      <c r="B3011" s="301"/>
      <c r="C3011" s="69" t="s">
        <v>431</v>
      </c>
      <c r="D3011" s="70">
        <f>VLOOKUP(C3011,基本字段定义!$B$3:$C$3013,2,FALSE)</f>
        <v>571</v>
      </c>
      <c r="E3011" s="71" t="s">
        <v>365</v>
      </c>
      <c r="F3011" s="71"/>
      <c r="G3011" s="73" t="s">
        <v>433</v>
      </c>
    </row>
    <row r="3012" spans="2:7" x14ac:dyDescent="0.15">
      <c r="B3012" s="301"/>
      <c r="C3012" s="69" t="s">
        <v>916</v>
      </c>
      <c r="D3012" s="70">
        <f>VLOOKUP(C3012,基本字段定义!$B$3:$C$3013,2,FALSE)</f>
        <v>681</v>
      </c>
      <c r="E3012" s="71" t="s">
        <v>363</v>
      </c>
      <c r="F3012" s="71"/>
      <c r="G3012" s="73" t="s">
        <v>918</v>
      </c>
    </row>
    <row r="3013" spans="2:7" x14ac:dyDescent="0.15">
      <c r="B3013" s="301"/>
      <c r="C3013" s="69" t="s">
        <v>806</v>
      </c>
      <c r="D3013" s="70">
        <f>VLOOKUP(C3013,基本字段定义!$B$3:$C$3013,2,FALSE)</f>
        <v>683</v>
      </c>
      <c r="E3013" s="71" t="s">
        <v>363</v>
      </c>
      <c r="F3013" s="71"/>
      <c r="G3013" s="73" t="s">
        <v>930</v>
      </c>
    </row>
    <row r="3014" spans="2:7" x14ac:dyDescent="0.15">
      <c r="B3014" s="301"/>
      <c r="C3014" s="69" t="s">
        <v>933</v>
      </c>
      <c r="D3014" s="70">
        <f>VLOOKUP(C3014,基本字段定义!$B$3:$C$3013,2,FALSE)</f>
        <v>755</v>
      </c>
      <c r="E3014" s="71" t="s">
        <v>365</v>
      </c>
      <c r="F3014" s="71"/>
      <c r="G3014" s="73" t="s">
        <v>939</v>
      </c>
    </row>
    <row r="3015" spans="2:7" x14ac:dyDescent="0.15">
      <c r="B3015" s="301"/>
      <c r="C3015" s="69" t="s">
        <v>666</v>
      </c>
      <c r="D3015" s="70">
        <f>VLOOKUP(C3015,基本字段定义!$B$3:$C$3013,2,FALSE)</f>
        <v>719</v>
      </c>
      <c r="E3015" s="71" t="s">
        <v>365</v>
      </c>
      <c r="F3015" s="71"/>
      <c r="G3015" s="73" t="s">
        <v>683</v>
      </c>
    </row>
    <row r="3016" spans="2:7" x14ac:dyDescent="0.15">
      <c r="B3016" s="301"/>
      <c r="C3016" s="69" t="s">
        <v>685</v>
      </c>
      <c r="D3016" s="70">
        <f>VLOOKUP(C3016,基本字段定义!$B$3:$C$3013,2,FALSE)</f>
        <v>722</v>
      </c>
      <c r="E3016" s="71" t="s">
        <v>365</v>
      </c>
      <c r="F3016" s="71"/>
      <c r="G3016" s="73" t="s">
        <v>686</v>
      </c>
    </row>
    <row r="3017" spans="2:7" x14ac:dyDescent="0.15">
      <c r="B3017" s="301"/>
      <c r="C3017" s="69" t="s">
        <v>893</v>
      </c>
      <c r="D3017" s="70">
        <f>VLOOKUP(C3017,基本字段定义!$B$3:$C$3013,2,FALSE)</f>
        <v>1013</v>
      </c>
      <c r="E3017" s="71" t="s">
        <v>363</v>
      </c>
      <c r="F3017" s="71"/>
      <c r="G3017" s="73" t="s">
        <v>940</v>
      </c>
    </row>
    <row r="3018" spans="2:7" x14ac:dyDescent="0.15">
      <c r="B3018" s="301"/>
      <c r="C3018" s="69" t="s">
        <v>810</v>
      </c>
      <c r="D3018" s="70">
        <f>VLOOKUP(C3018,基本字段定义!$B$3:$C$3013,2,FALSE)</f>
        <v>684</v>
      </c>
      <c r="E3018" s="71" t="s">
        <v>363</v>
      </c>
      <c r="F3018" s="71"/>
      <c r="G3018" s="73" t="s">
        <v>811</v>
      </c>
    </row>
    <row r="3019" spans="2:7" x14ac:dyDescent="0.15">
      <c r="B3019" s="301"/>
      <c r="C3019" s="116" t="s">
        <v>812</v>
      </c>
      <c r="D3019" s="70">
        <f>VLOOKUP(C3019,基本字段定义!$B$3:$C$3013,2,FALSE)</f>
        <v>682</v>
      </c>
      <c r="E3019" s="71" t="s">
        <v>563</v>
      </c>
      <c r="F3019" s="71"/>
      <c r="G3019" s="73" t="s">
        <v>1570</v>
      </c>
    </row>
    <row r="3020" spans="2:7" x14ac:dyDescent="0.15">
      <c r="B3020" s="301"/>
      <c r="C3020" s="116" t="s">
        <v>1557</v>
      </c>
      <c r="D3020" s="70">
        <f>VLOOKUP(C3020,基本字段定义!$B$3:$C$3013,2,FALSE)</f>
        <v>1248</v>
      </c>
      <c r="E3020" s="71" t="s">
        <v>563</v>
      </c>
      <c r="F3020" s="71"/>
      <c r="G3020" s="73" t="s">
        <v>1571</v>
      </c>
    </row>
    <row r="3021" spans="2:7" x14ac:dyDescent="0.15">
      <c r="B3021" s="301"/>
      <c r="C3021" s="116" t="s">
        <v>1120</v>
      </c>
      <c r="D3021" s="70">
        <f>VLOOKUP(C3021,基本字段定义!$B$3:$C$3013,2,FALSE)</f>
        <v>9132</v>
      </c>
      <c r="E3021" s="71" t="s">
        <v>563</v>
      </c>
      <c r="F3021" s="71"/>
      <c r="G3021" s="73" t="s">
        <v>1572</v>
      </c>
    </row>
    <row r="3022" spans="2:7" x14ac:dyDescent="0.15">
      <c r="B3022" s="301"/>
      <c r="C3022" s="116" t="s">
        <v>1361</v>
      </c>
      <c r="D3022" s="70">
        <f>VLOOKUP(C3022,基本字段定义!$B$3:$C$3013,2,FALSE)</f>
        <v>1430</v>
      </c>
      <c r="E3022" s="71" t="s">
        <v>563</v>
      </c>
      <c r="F3022" s="71"/>
      <c r="G3022" s="73" t="s">
        <v>1573</v>
      </c>
    </row>
    <row r="3023" spans="2:7" x14ac:dyDescent="0.15">
      <c r="B3023" s="301"/>
      <c r="C3023" s="116" t="s">
        <v>767</v>
      </c>
      <c r="D3023" s="70">
        <f>VLOOKUP(C3023,基本字段定义!$B$3:$C$3013,2,FALSE)</f>
        <v>526</v>
      </c>
      <c r="E3023" s="71" t="s">
        <v>363</v>
      </c>
      <c r="F3023" s="71"/>
      <c r="G3023" s="73" t="s">
        <v>1574</v>
      </c>
    </row>
    <row r="3024" spans="2:7" x14ac:dyDescent="0.15">
      <c r="B3024" s="301"/>
      <c r="C3024" s="116" t="s">
        <v>903</v>
      </c>
      <c r="D3024" s="70">
        <f>VLOOKUP(C3024,基本字段定义!$B$3:$C$3013,2,FALSE)</f>
        <v>522</v>
      </c>
      <c r="E3024" s="71" t="s">
        <v>365</v>
      </c>
      <c r="F3024" s="71"/>
      <c r="G3024" s="73" t="s">
        <v>1575</v>
      </c>
    </row>
    <row r="3025" spans="2:7" x14ac:dyDescent="0.15">
      <c r="B3025" s="301"/>
      <c r="C3025" s="69" t="s">
        <v>941</v>
      </c>
      <c r="D3025" s="70">
        <f>VLOOKUP(C3025,基本字段定义!$B$3:$C$3013,2,FALSE)</f>
        <v>750</v>
      </c>
      <c r="E3025" s="71" t="s">
        <v>365</v>
      </c>
      <c r="F3025" s="71"/>
      <c r="G3025" s="73" t="s">
        <v>942</v>
      </c>
    </row>
    <row r="3026" spans="2:7" x14ac:dyDescent="0.15">
      <c r="B3026" s="301"/>
      <c r="C3026" s="69" t="s">
        <v>943</v>
      </c>
      <c r="D3026" s="70">
        <f>VLOOKUP(C3026,基本字段定义!$B$3:$C$3013,2,FALSE)</f>
        <v>751</v>
      </c>
      <c r="E3026" s="71" t="s">
        <v>365</v>
      </c>
      <c r="F3026" s="71"/>
      <c r="G3026" s="73" t="s">
        <v>944</v>
      </c>
    </row>
    <row r="3027" spans="2:7" ht="25.5" x14ac:dyDescent="0.15">
      <c r="B3027" s="301"/>
      <c r="C3027" s="69" t="s">
        <v>945</v>
      </c>
      <c r="D3027" s="70">
        <f>VLOOKUP(C3027,基本字段定义!$B$3:$C$3013,2,FALSE)</f>
        <v>753</v>
      </c>
      <c r="E3027" s="71" t="s">
        <v>363</v>
      </c>
      <c r="F3027" s="71"/>
      <c r="G3027" s="74" t="s">
        <v>1576</v>
      </c>
    </row>
    <row r="3028" spans="2:7" x14ac:dyDescent="0.15">
      <c r="B3028" s="301"/>
      <c r="C3028" s="69" t="s">
        <v>661</v>
      </c>
      <c r="D3028" s="70">
        <f>VLOOKUP(C3028,基本字段定义!$B$3:$C$3013,2,FALSE)</f>
        <v>830</v>
      </c>
      <c r="E3028" s="71" t="s">
        <v>365</v>
      </c>
      <c r="F3028" s="71"/>
      <c r="G3028" s="73" t="s">
        <v>947</v>
      </c>
    </row>
    <row r="3029" spans="2:7" x14ac:dyDescent="0.15">
      <c r="B3029" s="301"/>
      <c r="C3029" s="69" t="s">
        <v>948</v>
      </c>
      <c r="D3029" s="70">
        <f>VLOOKUP(C3029,基本字段定义!$B$3:$C$3013,2,FALSE)</f>
        <v>886</v>
      </c>
      <c r="E3029" s="71" t="s">
        <v>363</v>
      </c>
      <c r="F3029" s="71"/>
      <c r="G3029" s="73" t="s">
        <v>949</v>
      </c>
    </row>
    <row r="3030" spans="2:7" ht="14.25" thickBot="1" x14ac:dyDescent="0.2">
      <c r="B3030" s="305"/>
      <c r="C3030" s="75" t="s">
        <v>550</v>
      </c>
      <c r="D3030" s="70">
        <f>VLOOKUP(C3030,基本字段定义!$B$3:$C$3013,2,FALSE)</f>
        <v>511</v>
      </c>
      <c r="E3030" s="77" t="s">
        <v>365</v>
      </c>
      <c r="F3030" s="77"/>
      <c r="G3030" s="78" t="s">
        <v>551</v>
      </c>
    </row>
    <row r="3032" spans="2:7" x14ac:dyDescent="0.15">
      <c r="B3032" s="57" t="s">
        <v>163</v>
      </c>
      <c r="C3032" s="84">
        <v>204590</v>
      </c>
      <c r="D3032" s="85"/>
      <c r="E3032" s="86"/>
      <c r="F3032" s="58" t="s">
        <v>352</v>
      </c>
      <c r="G3032" s="145">
        <v>20140228</v>
      </c>
    </row>
    <row r="3033" spans="2:7" x14ac:dyDescent="0.15">
      <c r="B3033" s="60" t="s">
        <v>353</v>
      </c>
      <c r="C3033" s="87" t="s">
        <v>272</v>
      </c>
      <c r="D3033" s="88"/>
      <c r="E3033" s="89"/>
      <c r="F3033" s="146" t="s">
        <v>165</v>
      </c>
      <c r="G3033" s="62" t="s">
        <v>169</v>
      </c>
    </row>
    <row r="3034" spans="2:7" ht="13.5" customHeight="1" x14ac:dyDescent="0.15">
      <c r="B3034" s="300" t="s">
        <v>354</v>
      </c>
      <c r="C3034" s="99" t="s">
        <v>272</v>
      </c>
      <c r="D3034" s="100"/>
      <c r="E3034" s="100"/>
      <c r="F3034" s="100"/>
      <c r="G3034" s="101"/>
    </row>
    <row r="3035" spans="2:7" ht="14.25" thickBot="1" x14ac:dyDescent="0.2">
      <c r="B3035" s="301"/>
      <c r="C3035" s="102"/>
      <c r="D3035" s="103"/>
      <c r="E3035" s="103"/>
      <c r="F3035" s="103"/>
      <c r="G3035" s="104"/>
    </row>
    <row r="3036" spans="2:7" x14ac:dyDescent="0.15">
      <c r="B3036" s="315" t="s">
        <v>355</v>
      </c>
      <c r="C3036" s="58" t="s">
        <v>356</v>
      </c>
      <c r="D3036" s="58" t="s">
        <v>357</v>
      </c>
      <c r="E3036" s="58" t="s">
        <v>358</v>
      </c>
      <c r="F3036" s="58" t="s">
        <v>359</v>
      </c>
      <c r="G3036" s="64" t="s">
        <v>360</v>
      </c>
    </row>
    <row r="3037" spans="2:7" x14ac:dyDescent="0.15">
      <c r="B3037" s="301"/>
      <c r="C3037" s="65" t="s">
        <v>1577</v>
      </c>
      <c r="D3037" s="66">
        <f>VLOOKUP(C3037,基本字段定义!$B$3:$C$3013,2,FALSE)</f>
        <v>1950</v>
      </c>
      <c r="E3037" s="67" t="s">
        <v>363</v>
      </c>
      <c r="F3037" s="67" t="s">
        <v>169</v>
      </c>
      <c r="G3037" s="68" t="s">
        <v>1578</v>
      </c>
    </row>
    <row r="3038" spans="2:7" x14ac:dyDescent="0.15">
      <c r="B3038" s="301"/>
      <c r="C3038" s="65" t="s">
        <v>387</v>
      </c>
      <c r="D3038" s="66">
        <f>VLOOKUP(C3038,基本字段定义!$B$3:$C$3013,2,FALSE)</f>
        <v>599</v>
      </c>
      <c r="E3038" s="67" t="s">
        <v>388</v>
      </c>
      <c r="F3038" s="67" t="s">
        <v>169</v>
      </c>
      <c r="G3038" s="68" t="s">
        <v>389</v>
      </c>
    </row>
    <row r="3039" spans="2:7" x14ac:dyDescent="0.15">
      <c r="B3039" s="301"/>
      <c r="C3039" s="65" t="s">
        <v>1579</v>
      </c>
      <c r="D3039" s="66">
        <f>VLOOKUP(C3039,基本字段定义!$B$3:$C$3013,2,FALSE)</f>
        <v>1894</v>
      </c>
      <c r="E3039" s="67" t="s">
        <v>363</v>
      </c>
      <c r="F3039" s="67" t="s">
        <v>169</v>
      </c>
      <c r="G3039" s="68" t="s">
        <v>1580</v>
      </c>
    </row>
    <row r="3040" spans="2:7" x14ac:dyDescent="0.15">
      <c r="B3040" s="301"/>
      <c r="C3040" s="65" t="s">
        <v>666</v>
      </c>
      <c r="D3040" s="66">
        <f>VLOOKUP(C3040,基本字段定义!$B$3:$C$3013,2,FALSE)</f>
        <v>719</v>
      </c>
      <c r="E3040" s="67" t="s">
        <v>363</v>
      </c>
      <c r="F3040" s="67" t="s">
        <v>169</v>
      </c>
      <c r="G3040" s="68" t="s">
        <v>683</v>
      </c>
    </row>
    <row r="3041" spans="2:7" x14ac:dyDescent="0.15">
      <c r="B3041" s="301"/>
      <c r="C3041" s="65" t="s">
        <v>810</v>
      </c>
      <c r="D3041" s="66">
        <f>VLOOKUP(C3041,基本字段定义!$B$3:$C$3013,2,FALSE)</f>
        <v>684</v>
      </c>
      <c r="E3041" s="67" t="s">
        <v>363</v>
      </c>
      <c r="F3041" s="67" t="s">
        <v>169</v>
      </c>
      <c r="G3041" s="68" t="s">
        <v>1581</v>
      </c>
    </row>
    <row r="3042" spans="2:7" x14ac:dyDescent="0.15">
      <c r="B3042" s="301"/>
      <c r="C3042" s="65" t="s">
        <v>1582</v>
      </c>
      <c r="D3042" s="66">
        <f>VLOOKUP(C3042,基本字段定义!$B$3:$C$3013,2,FALSE)</f>
        <v>1252</v>
      </c>
      <c r="E3042" s="67" t="s">
        <v>363</v>
      </c>
      <c r="F3042" s="67"/>
      <c r="G3042" s="68" t="s">
        <v>1583</v>
      </c>
    </row>
    <row r="3043" spans="2:7" x14ac:dyDescent="0.15">
      <c r="B3043" s="301"/>
      <c r="C3043" s="65" t="s">
        <v>812</v>
      </c>
      <c r="D3043" s="66">
        <f>VLOOKUP(C3043,基本字段定义!$B$3:$C$3013,2,FALSE)</f>
        <v>682</v>
      </c>
      <c r="E3043" s="67" t="s">
        <v>563</v>
      </c>
      <c r="F3043" s="67"/>
      <c r="G3043" s="68" t="s">
        <v>1584</v>
      </c>
    </row>
    <row r="3044" spans="2:7" x14ac:dyDescent="0.15">
      <c r="B3044" s="301"/>
      <c r="C3044" s="65" t="s">
        <v>1585</v>
      </c>
      <c r="D3044" s="66">
        <f>VLOOKUP(C3044,基本字段定义!$B$3:$C$3013,2,FALSE)</f>
        <v>1169</v>
      </c>
      <c r="E3044" s="67" t="s">
        <v>363</v>
      </c>
      <c r="F3044" s="67"/>
      <c r="G3044" s="68" t="s">
        <v>1586</v>
      </c>
    </row>
    <row r="3045" spans="2:7" x14ac:dyDescent="0.15">
      <c r="B3045" s="301"/>
      <c r="C3045" s="65" t="s">
        <v>1587</v>
      </c>
      <c r="D3045" s="66">
        <f>VLOOKUP(C3045,基本字段定义!$B$3:$C$3013,2,FALSE)</f>
        <v>3609</v>
      </c>
      <c r="E3045" s="67" t="s">
        <v>363</v>
      </c>
      <c r="F3045" s="67" t="s">
        <v>169</v>
      </c>
      <c r="G3045" s="68" t="s">
        <v>1588</v>
      </c>
    </row>
    <row r="3046" spans="2:7" x14ac:dyDescent="0.15">
      <c r="B3046" s="301"/>
      <c r="C3046" s="65" t="s">
        <v>529</v>
      </c>
      <c r="D3046" s="66">
        <f>VLOOKUP(C3046,基本字段定义!$B$3:$C$3013,2,FALSE)</f>
        <v>1332</v>
      </c>
      <c r="E3046" s="67" t="s">
        <v>363</v>
      </c>
      <c r="F3046" s="67" t="s">
        <v>169</v>
      </c>
      <c r="G3046" s="68" t="s">
        <v>1589</v>
      </c>
    </row>
    <row r="3047" spans="2:7" x14ac:dyDescent="0.15">
      <c r="B3047" s="300" t="s">
        <v>361</v>
      </c>
      <c r="C3047" s="69" t="s">
        <v>1250</v>
      </c>
      <c r="D3047" s="70">
        <f>VLOOKUP(C3047,基本字段定义!$B$3:$C$3013,2,FALSE)</f>
        <v>1619</v>
      </c>
      <c r="E3047" s="71" t="s">
        <v>563</v>
      </c>
      <c r="F3047" s="71"/>
      <c r="G3047" s="73" t="s">
        <v>1590</v>
      </c>
    </row>
    <row r="3048" spans="2:7" x14ac:dyDescent="0.15">
      <c r="B3048" s="301"/>
      <c r="C3048" s="69" t="s">
        <v>1591</v>
      </c>
      <c r="D3048" s="70">
        <f>VLOOKUP(C3048,基本字段定义!$B$3:$C$3013,2,FALSE)</f>
        <v>1805</v>
      </c>
      <c r="E3048" s="71" t="s">
        <v>563</v>
      </c>
      <c r="F3048" s="71"/>
      <c r="G3048" s="73" t="s">
        <v>1592</v>
      </c>
    </row>
    <row r="3049" spans="2:7" x14ac:dyDescent="0.15">
      <c r="B3049" s="301"/>
      <c r="C3049" s="69" t="s">
        <v>1593</v>
      </c>
      <c r="D3049" s="70">
        <f>VLOOKUP(C3049,基本字段定义!$B$3:$C$3013,2,FALSE)</f>
        <v>673</v>
      </c>
      <c r="E3049" s="71" t="s">
        <v>365</v>
      </c>
      <c r="F3049" s="71"/>
      <c r="G3049" s="73" t="s">
        <v>1594</v>
      </c>
    </row>
    <row r="3050" spans="2:7" x14ac:dyDescent="0.15">
      <c r="B3050" s="301"/>
      <c r="C3050" s="69" t="s">
        <v>1595</v>
      </c>
      <c r="D3050" s="70">
        <f>VLOOKUP(C3050,基本字段定义!$B$3:$C$3013,2,FALSE)</f>
        <v>9318</v>
      </c>
      <c r="E3050" s="71" t="s">
        <v>363</v>
      </c>
      <c r="F3050" s="71"/>
      <c r="G3050" s="73" t="s">
        <v>1596</v>
      </c>
    </row>
    <row r="3051" spans="2:7" x14ac:dyDescent="0.15">
      <c r="B3051" s="301"/>
      <c r="C3051" s="69" t="s">
        <v>1240</v>
      </c>
      <c r="D3051" s="70">
        <f>VLOOKUP(C3051,基本字段定义!$B$3:$C$3013,2,FALSE)</f>
        <v>858</v>
      </c>
      <c r="E3051" s="71" t="s">
        <v>563</v>
      </c>
      <c r="F3051" s="71"/>
      <c r="G3051" s="73" t="s">
        <v>1597</v>
      </c>
    </row>
    <row r="3052" spans="2:7" x14ac:dyDescent="0.15">
      <c r="B3052" s="301"/>
      <c r="C3052" s="69" t="s">
        <v>1598</v>
      </c>
      <c r="D3052" s="70">
        <f>VLOOKUP(C3052,基本字段定义!$B$3:$C$3013,2,FALSE)</f>
        <v>1801</v>
      </c>
      <c r="E3052" s="71" t="s">
        <v>563</v>
      </c>
      <c r="F3052" s="71"/>
      <c r="G3052" s="73" t="s">
        <v>1599</v>
      </c>
    </row>
    <row r="3053" spans="2:7" x14ac:dyDescent="0.15">
      <c r="B3053" s="301"/>
      <c r="C3053" s="69" t="s">
        <v>1600</v>
      </c>
      <c r="D3053" s="70">
        <f>VLOOKUP(C3053,基本字段定义!$B$3:$C$3013,2,FALSE)</f>
        <v>9147</v>
      </c>
      <c r="E3053" s="71" t="s">
        <v>563</v>
      </c>
      <c r="F3053" s="71"/>
      <c r="G3053" s="73" t="s">
        <v>1601</v>
      </c>
    </row>
    <row r="3054" spans="2:7" x14ac:dyDescent="0.15">
      <c r="B3054" s="301"/>
      <c r="C3054" s="69" t="s">
        <v>1602</v>
      </c>
      <c r="D3054" s="70">
        <f>VLOOKUP(C3054,基本字段定义!$B$3:$C$3013,2,FALSE)</f>
        <v>4220</v>
      </c>
      <c r="E3054" s="71" t="s">
        <v>563</v>
      </c>
      <c r="F3054" s="71"/>
      <c r="G3054" s="73" t="s">
        <v>1603</v>
      </c>
    </row>
    <row r="3055" spans="2:7" ht="14.25" thickBot="1" x14ac:dyDescent="0.2"/>
    <row r="3056" spans="2:7" x14ac:dyDescent="0.15">
      <c r="B3056" s="57" t="s">
        <v>163</v>
      </c>
      <c r="C3056" s="84">
        <v>304232</v>
      </c>
      <c r="D3056" s="85"/>
      <c r="E3056" s="86"/>
      <c r="F3056" s="58" t="s">
        <v>352</v>
      </c>
      <c r="G3056" s="145"/>
    </row>
    <row r="3057" spans="2:7" x14ac:dyDescent="0.15">
      <c r="B3057" s="60" t="s">
        <v>353</v>
      </c>
      <c r="C3057" s="87" t="s">
        <v>1604</v>
      </c>
      <c r="D3057" s="88"/>
      <c r="E3057" s="89"/>
      <c r="F3057" s="146" t="s">
        <v>165</v>
      </c>
      <c r="G3057" s="62" t="s">
        <v>169</v>
      </c>
    </row>
    <row r="3058" spans="2:7" ht="25.5" x14ac:dyDescent="0.15">
      <c r="B3058" s="300" t="s">
        <v>354</v>
      </c>
      <c r="C3058" s="99" t="s">
        <v>1604</v>
      </c>
      <c r="D3058" s="100"/>
      <c r="E3058" s="100"/>
      <c r="F3058" s="100"/>
      <c r="G3058" s="101"/>
    </row>
    <row r="3059" spans="2:7" ht="14.25" thickBot="1" x14ac:dyDescent="0.2">
      <c r="B3059" s="301"/>
      <c r="C3059" s="102"/>
      <c r="D3059" s="103"/>
      <c r="E3059" s="103"/>
      <c r="F3059" s="103"/>
      <c r="G3059" s="104"/>
    </row>
    <row r="3060" spans="2:7" x14ac:dyDescent="0.15">
      <c r="B3060" s="315" t="s">
        <v>355</v>
      </c>
      <c r="C3060" s="58" t="s">
        <v>356</v>
      </c>
      <c r="D3060" s="58" t="s">
        <v>357</v>
      </c>
      <c r="E3060" s="58" t="s">
        <v>358</v>
      </c>
      <c r="F3060" s="58" t="s">
        <v>359</v>
      </c>
      <c r="G3060" s="64" t="s">
        <v>360</v>
      </c>
    </row>
    <row r="3061" spans="2:7" x14ac:dyDescent="0.15">
      <c r="B3061" s="301"/>
      <c r="C3061" s="65" t="s">
        <v>1605</v>
      </c>
      <c r="D3061" s="70">
        <f>VLOOKUP(C3061,基本字段定义!$B$3:$C$3013,2,FALSE)</f>
        <v>4211</v>
      </c>
      <c r="E3061" s="67" t="s">
        <v>363</v>
      </c>
      <c r="F3061" s="67"/>
      <c r="G3061" s="68" t="s">
        <v>1606</v>
      </c>
    </row>
    <row r="3062" spans="2:7" x14ac:dyDescent="0.15">
      <c r="B3062" s="301"/>
      <c r="C3062" s="65" t="s">
        <v>1587</v>
      </c>
      <c r="D3062" s="70">
        <f>VLOOKUP(C3062,基本字段定义!$B$3:$C$3013,2,FALSE)</f>
        <v>3609</v>
      </c>
      <c r="E3062" s="67" t="s">
        <v>363</v>
      </c>
      <c r="F3062" s="67"/>
      <c r="G3062" s="68" t="s">
        <v>1588</v>
      </c>
    </row>
    <row r="3063" spans="2:7" x14ac:dyDescent="0.15">
      <c r="B3063" s="301"/>
      <c r="C3063" s="65" t="s">
        <v>1607</v>
      </c>
      <c r="D3063" s="70">
        <f>VLOOKUP(C3063,基本字段定义!$B$3:$C$3013,2,FALSE)</f>
        <v>1756</v>
      </c>
      <c r="E3063" s="67" t="s">
        <v>506</v>
      </c>
      <c r="F3063" s="67"/>
      <c r="G3063" s="68" t="s">
        <v>1608</v>
      </c>
    </row>
    <row r="3064" spans="2:7" x14ac:dyDescent="0.15">
      <c r="B3064" s="300" t="s">
        <v>361</v>
      </c>
      <c r="C3064" s="69" t="s">
        <v>1605</v>
      </c>
      <c r="D3064" s="70">
        <f>VLOOKUP(C3064,基本字段定义!$B$3:$C$3013,2,FALSE)</f>
        <v>4211</v>
      </c>
      <c r="E3064" s="71" t="s">
        <v>363</v>
      </c>
      <c r="F3064" s="70"/>
      <c r="G3064" s="73" t="s">
        <v>1606</v>
      </c>
    </row>
    <row r="3065" spans="2:7" x14ac:dyDescent="0.15">
      <c r="B3065" s="301"/>
      <c r="C3065" s="69" t="s">
        <v>1607</v>
      </c>
      <c r="D3065" s="70">
        <f>VLOOKUP(C3065,基本字段定义!$B$3:$C$3013,2,FALSE)</f>
        <v>1756</v>
      </c>
      <c r="E3065" s="71" t="s">
        <v>365</v>
      </c>
      <c r="F3065" s="70"/>
      <c r="G3065" s="73" t="s">
        <v>1608</v>
      </c>
    </row>
    <row r="3066" spans="2:7" x14ac:dyDescent="0.15">
      <c r="B3066" s="301"/>
      <c r="C3066" s="91" t="s">
        <v>1587</v>
      </c>
      <c r="D3066" s="70">
        <f>VLOOKUP(C3066,基本字段定义!$B$3:$C$3013,2,FALSE)</f>
        <v>3609</v>
      </c>
      <c r="E3066" s="92" t="s">
        <v>363</v>
      </c>
      <c r="F3066" s="93"/>
      <c r="G3066" s="94" t="s">
        <v>1588</v>
      </c>
    </row>
    <row r="3067" spans="2:7" x14ac:dyDescent="0.15">
      <c r="B3067" s="301"/>
      <c r="C3067" s="91" t="s">
        <v>1609</v>
      </c>
      <c r="D3067" s="70">
        <f>VLOOKUP(C3067,基本字段定义!$B$3:$C$3013,2,FALSE)</f>
        <v>1757</v>
      </c>
      <c r="E3067" s="92" t="s">
        <v>365</v>
      </c>
      <c r="F3067" s="93"/>
      <c r="G3067" s="94" t="s">
        <v>1610</v>
      </c>
    </row>
    <row r="3068" spans="2:7" x14ac:dyDescent="0.15">
      <c r="B3068" s="301"/>
      <c r="C3068" s="91" t="s">
        <v>1611</v>
      </c>
      <c r="D3068" s="70">
        <f>VLOOKUP(C3068,基本字段定义!$B$3:$C$3013,2,FALSE)</f>
        <v>1951</v>
      </c>
      <c r="E3068" s="71" t="s">
        <v>363</v>
      </c>
      <c r="F3068" s="93"/>
      <c r="G3068" s="94" t="s">
        <v>1612</v>
      </c>
    </row>
    <row r="3069" spans="2:7" x14ac:dyDescent="0.15">
      <c r="B3069" s="301"/>
      <c r="C3069" s="91" t="s">
        <v>1423</v>
      </c>
      <c r="D3069" s="70">
        <f>VLOOKUP(C3069,基本字段定义!$B$3:$C$3013,2,FALSE)</f>
        <v>620</v>
      </c>
      <c r="E3069" s="71" t="s">
        <v>1613</v>
      </c>
      <c r="F3069" s="93"/>
      <c r="G3069" s="94" t="s">
        <v>1590</v>
      </c>
    </row>
    <row r="3070" spans="2:7" x14ac:dyDescent="0.15">
      <c r="B3070" s="301"/>
      <c r="C3070" s="91" t="s">
        <v>1614</v>
      </c>
      <c r="D3070" s="70">
        <f>VLOOKUP(C3070,基本字段定义!$B$3:$C$3013,2,FALSE)</f>
        <v>2304</v>
      </c>
      <c r="E3070" s="71" t="s">
        <v>1615</v>
      </c>
      <c r="F3070" s="93"/>
      <c r="G3070" s="94" t="s">
        <v>1616</v>
      </c>
    </row>
    <row r="3071" spans="2:7" x14ac:dyDescent="0.15">
      <c r="B3071" s="301"/>
      <c r="C3071" s="91" t="s">
        <v>1617</v>
      </c>
      <c r="D3071" s="70">
        <f>VLOOKUP(C3071,基本字段定义!$B$3:$C$3013,2,FALSE)</f>
        <v>2305</v>
      </c>
      <c r="E3071" s="71" t="s">
        <v>1615</v>
      </c>
      <c r="F3071" s="93"/>
      <c r="G3071" s="94" t="s">
        <v>1618</v>
      </c>
    </row>
    <row r="3072" spans="2:7" x14ac:dyDescent="0.15">
      <c r="B3072" s="301"/>
      <c r="C3072" s="91" t="s">
        <v>906</v>
      </c>
      <c r="D3072" s="70">
        <f>VLOOKUP(C3072,基本字段定义!$B$3:$C$3013,2,FALSE)</f>
        <v>1935</v>
      </c>
      <c r="E3072" s="149" t="s">
        <v>506</v>
      </c>
      <c r="F3072" s="93"/>
      <c r="G3072" s="94" t="s">
        <v>1619</v>
      </c>
    </row>
    <row r="3073" spans="2:7" x14ac:dyDescent="0.15">
      <c r="B3073" s="301"/>
      <c r="C3073" s="69" t="s">
        <v>908</v>
      </c>
      <c r="D3073" s="70">
        <f>VLOOKUP(C3073,基本字段定义!$B$3:$C$3013,2,FALSE)</f>
        <v>1936</v>
      </c>
      <c r="E3073" s="71" t="s">
        <v>432</v>
      </c>
      <c r="F3073" s="93"/>
      <c r="G3073" s="94" t="s">
        <v>1620</v>
      </c>
    </row>
    <row r="3074" spans="2:7" x14ac:dyDescent="0.15">
      <c r="B3074" s="301"/>
      <c r="C3074" s="150" t="s">
        <v>1621</v>
      </c>
      <c r="D3074" s="70">
        <f>VLOOKUP(C3074,基本字段定义!$B$3:$C$3013,2,FALSE)</f>
        <v>1937</v>
      </c>
      <c r="E3074" s="92" t="s">
        <v>363</v>
      </c>
      <c r="F3074" s="93"/>
      <c r="G3074" s="94" t="s">
        <v>1622</v>
      </c>
    </row>
    <row r="3075" spans="2:7" x14ac:dyDescent="0.15">
      <c r="B3075" s="301"/>
      <c r="C3075" s="91" t="s">
        <v>1623</v>
      </c>
      <c r="D3075" s="70">
        <f>VLOOKUP(C3075,基本字段定义!$B$3:$C$3013,2,FALSE)</f>
        <v>2505</v>
      </c>
      <c r="E3075" s="71" t="s">
        <v>1175</v>
      </c>
      <c r="F3075" s="93"/>
      <c r="G3075" s="94" t="s">
        <v>1624</v>
      </c>
    </row>
    <row r="3076" spans="2:7" ht="63.75" x14ac:dyDescent="0.15">
      <c r="B3076" s="301"/>
      <c r="C3076" s="91" t="s">
        <v>1625</v>
      </c>
      <c r="D3076" s="70">
        <f>VLOOKUP(C3076,基本字段定义!$B$3:$C$3013,2,FALSE)</f>
        <v>2311</v>
      </c>
      <c r="E3076" s="71" t="s">
        <v>424</v>
      </c>
      <c r="F3076" s="93"/>
      <c r="G3076" s="151" t="s">
        <v>1626</v>
      </c>
    </row>
    <row r="3077" spans="2:7" ht="25.5" x14ac:dyDescent="0.15">
      <c r="B3077" s="301"/>
      <c r="C3077" s="91" t="s">
        <v>1627</v>
      </c>
      <c r="D3077" s="70">
        <f>VLOOKUP(C3077,基本字段定义!$B$3:$C$3013,2,FALSE)</f>
        <v>4194</v>
      </c>
      <c r="E3077" s="71" t="s">
        <v>363</v>
      </c>
      <c r="F3077" s="93"/>
      <c r="G3077" s="151" t="s">
        <v>1628</v>
      </c>
    </row>
    <row r="3078" spans="2:7" ht="63.75" x14ac:dyDescent="0.15">
      <c r="B3078" s="301"/>
      <c r="C3078" s="91" t="s">
        <v>1595</v>
      </c>
      <c r="D3078" s="70">
        <f>VLOOKUP(C3078,基本字段定义!$B$3:$C$3013,2,FALSE)</f>
        <v>9318</v>
      </c>
      <c r="E3078" s="71" t="s">
        <v>363</v>
      </c>
      <c r="F3078" s="93"/>
      <c r="G3078" s="151" t="s">
        <v>1629</v>
      </c>
    </row>
    <row r="3079" spans="2:7" x14ac:dyDescent="0.15">
      <c r="B3079" s="301"/>
      <c r="C3079" s="91" t="s">
        <v>802</v>
      </c>
      <c r="D3079" s="70">
        <f>VLOOKUP(C3079,基本字段定义!$B$3:$C$3013,2,FALSE)</f>
        <v>1603</v>
      </c>
      <c r="E3079" s="71" t="s">
        <v>1613</v>
      </c>
      <c r="F3079" s="93"/>
      <c r="G3079" s="94" t="s">
        <v>1630</v>
      </c>
    </row>
    <row r="3080" spans="2:7" x14ac:dyDescent="0.15">
      <c r="B3080" s="301"/>
      <c r="C3080" s="91" t="s">
        <v>1631</v>
      </c>
      <c r="D3080" s="70">
        <f>VLOOKUP(C3080,基本字段定义!$B$3:$C$3013,2,FALSE)</f>
        <v>1271</v>
      </c>
      <c r="E3080" s="71" t="s">
        <v>1613</v>
      </c>
      <c r="F3080" s="93"/>
      <c r="G3080" s="94" t="s">
        <v>1632</v>
      </c>
    </row>
    <row r="3081" spans="2:7" x14ac:dyDescent="0.15">
      <c r="B3081" s="301"/>
      <c r="C3081" s="91" t="s">
        <v>496</v>
      </c>
      <c r="D3081" s="70">
        <f>VLOOKUP(C3081,基本字段定义!$B$3:$C$3013,2,FALSE)</f>
        <v>730</v>
      </c>
      <c r="E3081" s="71" t="s">
        <v>1175</v>
      </c>
      <c r="F3081" s="93"/>
      <c r="G3081" s="94" t="s">
        <v>1633</v>
      </c>
    </row>
    <row r="3082" spans="2:7" x14ac:dyDescent="0.15">
      <c r="B3082" s="301"/>
      <c r="C3082" s="91" t="s">
        <v>1634</v>
      </c>
      <c r="D3082" s="70">
        <f>VLOOKUP(C3082,基本字段定义!$B$3:$C$3013,2,FALSE)</f>
        <v>3085</v>
      </c>
      <c r="E3082" s="92" t="s">
        <v>363</v>
      </c>
      <c r="F3082" s="93"/>
      <c r="G3082" s="94" t="s">
        <v>1635</v>
      </c>
    </row>
    <row r="3083" spans="2:7" ht="14.25" thickBot="1" x14ac:dyDescent="0.2">
      <c r="B3083" s="305"/>
      <c r="C3083" s="75" t="s">
        <v>1636</v>
      </c>
      <c r="D3083" s="70">
        <v>3086</v>
      </c>
      <c r="E3083" s="77" t="s">
        <v>1615</v>
      </c>
      <c r="F3083" s="83"/>
      <c r="G3083" s="78" t="s">
        <v>1637</v>
      </c>
    </row>
    <row r="3085" spans="2:7" x14ac:dyDescent="0.15">
      <c r="B3085" s="57" t="s">
        <v>163</v>
      </c>
      <c r="C3085" s="84">
        <v>304216</v>
      </c>
      <c r="D3085" s="85"/>
      <c r="E3085" s="86"/>
      <c r="F3085" s="58" t="s">
        <v>352</v>
      </c>
      <c r="G3085" s="145"/>
    </row>
    <row r="3086" spans="2:7" x14ac:dyDescent="0.15">
      <c r="B3086" s="60" t="s">
        <v>353</v>
      </c>
      <c r="C3086" s="87" t="s">
        <v>249</v>
      </c>
      <c r="D3086" s="88"/>
      <c r="E3086" s="89"/>
      <c r="F3086" s="146" t="s">
        <v>165</v>
      </c>
      <c r="G3086" s="62" t="s">
        <v>169</v>
      </c>
    </row>
    <row r="3087" spans="2:7" x14ac:dyDescent="0.15">
      <c r="B3087" s="300" t="s">
        <v>354</v>
      </c>
      <c r="C3087" s="99" t="s">
        <v>1638</v>
      </c>
      <c r="D3087" s="100"/>
      <c r="E3087" s="100"/>
      <c r="F3087" s="100"/>
      <c r="G3087" s="101"/>
    </row>
    <row r="3088" spans="2:7" ht="14.25" thickBot="1" x14ac:dyDescent="0.2">
      <c r="B3088" s="305"/>
      <c r="C3088" s="102"/>
      <c r="D3088" s="103"/>
      <c r="E3088" s="103"/>
      <c r="F3088" s="103"/>
      <c r="G3088" s="104"/>
    </row>
    <row r="3089" spans="2:7" x14ac:dyDescent="0.15">
      <c r="B3089" s="315" t="s">
        <v>355</v>
      </c>
      <c r="C3089" s="58" t="s">
        <v>356</v>
      </c>
      <c r="D3089" s="58" t="s">
        <v>357</v>
      </c>
      <c r="E3089" s="58" t="s">
        <v>358</v>
      </c>
      <c r="F3089" s="58" t="s">
        <v>359</v>
      </c>
      <c r="G3089" s="64" t="s">
        <v>360</v>
      </c>
    </row>
    <row r="3090" spans="2:7" x14ac:dyDescent="0.15">
      <c r="B3090" s="301"/>
      <c r="C3090" s="65" t="s">
        <v>428</v>
      </c>
      <c r="D3090" s="70">
        <f>VLOOKUP(C3090,基本字段定义!$B$3:$C$3013,2,FALSE)</f>
        <v>605</v>
      </c>
      <c r="E3090" s="67" t="s">
        <v>429</v>
      </c>
      <c r="F3090" s="67" t="s">
        <v>169</v>
      </c>
      <c r="G3090" s="68" t="s">
        <v>430</v>
      </c>
    </row>
    <row r="3091" spans="2:7" x14ac:dyDescent="0.15">
      <c r="B3091" s="301"/>
      <c r="C3091" s="65" t="s">
        <v>387</v>
      </c>
      <c r="D3091" s="70">
        <f>VLOOKUP(C3091,基本字段定义!$B$3:$C$3013,2,FALSE)</f>
        <v>599</v>
      </c>
      <c r="E3091" s="67" t="s">
        <v>388</v>
      </c>
      <c r="F3091" s="67"/>
      <c r="G3091" s="68" t="s">
        <v>389</v>
      </c>
    </row>
    <row r="3092" spans="2:7" x14ac:dyDescent="0.15">
      <c r="B3092" s="301"/>
      <c r="C3092" s="65" t="s">
        <v>1373</v>
      </c>
      <c r="D3092" s="70">
        <f>VLOOKUP(C3092,基本字段定义!$B$3:$C$3013,2,FALSE)</f>
        <v>556</v>
      </c>
      <c r="E3092" s="67" t="s">
        <v>365</v>
      </c>
      <c r="F3092" s="67"/>
      <c r="G3092" s="68" t="s">
        <v>1639</v>
      </c>
    </row>
    <row r="3093" spans="2:7" x14ac:dyDescent="0.15">
      <c r="B3093" s="301"/>
      <c r="C3093" s="65" t="s">
        <v>1371</v>
      </c>
      <c r="D3093" s="70">
        <f>VLOOKUP(C3093,基本字段定义!$B$3:$C$3013,2,FALSE)</f>
        <v>557</v>
      </c>
      <c r="E3093" s="67" t="s">
        <v>365</v>
      </c>
      <c r="F3093" s="67" t="s">
        <v>169</v>
      </c>
      <c r="G3093" s="68" t="s">
        <v>1640</v>
      </c>
    </row>
    <row r="3094" spans="2:7" x14ac:dyDescent="0.15">
      <c r="B3094" s="301"/>
      <c r="C3094" s="65" t="s">
        <v>666</v>
      </c>
      <c r="D3094" s="70">
        <f>VLOOKUP(C3094,基本字段定义!$B$3:$C$3013,2,FALSE)</f>
        <v>719</v>
      </c>
      <c r="E3094" s="67" t="s">
        <v>506</v>
      </c>
      <c r="F3094" s="67"/>
      <c r="G3094" s="68" t="s">
        <v>1641</v>
      </c>
    </row>
    <row r="3095" spans="2:7" x14ac:dyDescent="0.15">
      <c r="B3095" s="301"/>
      <c r="C3095" s="65" t="s">
        <v>1642</v>
      </c>
      <c r="D3095" s="70">
        <f>VLOOKUP(C3095,基本字段定义!$B$3:$C$3013,2,FALSE)</f>
        <v>9126</v>
      </c>
      <c r="E3095" s="67" t="s">
        <v>506</v>
      </c>
      <c r="F3095" s="67"/>
      <c r="G3095" s="68" t="s">
        <v>1643</v>
      </c>
    </row>
    <row r="3096" spans="2:7" x14ac:dyDescent="0.15">
      <c r="B3096" s="301"/>
      <c r="C3096" s="65" t="s">
        <v>431</v>
      </c>
      <c r="D3096" s="70">
        <f>VLOOKUP(C3096,基本字段定义!$B$3:$C$3013,2,FALSE)</f>
        <v>571</v>
      </c>
      <c r="E3096" s="67" t="s">
        <v>432</v>
      </c>
      <c r="F3096" s="67" t="s">
        <v>169</v>
      </c>
      <c r="G3096" s="68" t="s">
        <v>433</v>
      </c>
    </row>
    <row r="3097" spans="2:7" x14ac:dyDescent="0.15">
      <c r="B3097" s="306"/>
      <c r="C3097" s="65" t="s">
        <v>1644</v>
      </c>
      <c r="D3097" s="70">
        <f>VLOOKUP(C3097,基本字段定义!$B$3:$C$3013,2,FALSE)</f>
        <v>813</v>
      </c>
      <c r="E3097" s="67" t="s">
        <v>365</v>
      </c>
      <c r="F3097" s="67"/>
      <c r="G3097" s="68" t="s">
        <v>1645</v>
      </c>
    </row>
    <row r="3098" spans="2:7" x14ac:dyDescent="0.15">
      <c r="B3098" s="300" t="s">
        <v>361</v>
      </c>
      <c r="C3098" s="69" t="s">
        <v>362</v>
      </c>
      <c r="D3098" s="70">
        <f>VLOOKUP(C3098,基本字段定义!$B$3:$C$3013,2,FALSE)</f>
        <v>507</v>
      </c>
      <c r="E3098" s="71" t="s">
        <v>363</v>
      </c>
      <c r="F3098" s="70"/>
      <c r="G3098" s="73"/>
    </row>
    <row r="3099" spans="2:7" x14ac:dyDescent="0.15">
      <c r="B3099" s="301"/>
      <c r="C3099" s="69" t="s">
        <v>364</v>
      </c>
      <c r="D3099" s="70">
        <f>VLOOKUP(C3099,基本字段定义!$B$3:$C$3013,2,FALSE)</f>
        <v>508</v>
      </c>
      <c r="E3099" s="71" t="s">
        <v>365</v>
      </c>
      <c r="F3099" s="70"/>
      <c r="G3099" s="73"/>
    </row>
    <row r="3100" spans="2:7" x14ac:dyDescent="0.15">
      <c r="B3100" s="301"/>
      <c r="C3100" s="91" t="s">
        <v>1646</v>
      </c>
      <c r="D3100" s="70">
        <f>VLOOKUP(C3100,基本字段定义!$B$3:$C$3013,2,FALSE)</f>
        <v>1232</v>
      </c>
      <c r="E3100" s="92" t="s">
        <v>365</v>
      </c>
      <c r="F3100" s="93"/>
      <c r="G3100" s="94" t="s">
        <v>1647</v>
      </c>
    </row>
    <row r="3101" spans="2:7" x14ac:dyDescent="0.15">
      <c r="B3101" s="301"/>
      <c r="C3101" s="91" t="s">
        <v>666</v>
      </c>
      <c r="D3101" s="70">
        <f>VLOOKUP(C3101,基本字段定义!$B$3:$C$3013,2,FALSE)</f>
        <v>719</v>
      </c>
      <c r="E3101" s="92" t="s">
        <v>365</v>
      </c>
      <c r="F3101" s="93"/>
      <c r="G3101" s="94" t="s">
        <v>683</v>
      </c>
    </row>
    <row r="3102" spans="2:7" x14ac:dyDescent="0.15">
      <c r="B3102" s="301"/>
      <c r="C3102" s="91" t="s">
        <v>431</v>
      </c>
      <c r="D3102" s="70">
        <f>VLOOKUP(C3102,基本字段定义!$B$3:$C$3013,2,FALSE)</f>
        <v>571</v>
      </c>
      <c r="E3102" s="92" t="s">
        <v>365</v>
      </c>
      <c r="F3102" s="93"/>
      <c r="G3102" s="94" t="s">
        <v>433</v>
      </c>
    </row>
    <row r="3103" spans="2:7" x14ac:dyDescent="0.15">
      <c r="B3103" s="301"/>
      <c r="C3103" s="91" t="s">
        <v>1642</v>
      </c>
      <c r="D3103" s="70">
        <f>VLOOKUP(C3103,基本字段定义!$B$3:$C$3013,2,FALSE)</f>
        <v>9126</v>
      </c>
      <c r="E3103" s="92" t="s">
        <v>365</v>
      </c>
      <c r="F3103" s="93"/>
      <c r="G3103" s="94" t="s">
        <v>1643</v>
      </c>
    </row>
    <row r="3104" spans="2:7" x14ac:dyDescent="0.15">
      <c r="B3104" s="301"/>
      <c r="C3104" s="91" t="s">
        <v>399</v>
      </c>
      <c r="D3104" s="70">
        <f>VLOOKUP(C3104,基本字段定义!$B$3:$C$3013,2,FALSE)</f>
        <v>697</v>
      </c>
      <c r="E3104" s="92" t="s">
        <v>365</v>
      </c>
      <c r="F3104" s="93"/>
      <c r="G3104" s="94" t="s">
        <v>400</v>
      </c>
    </row>
    <row r="3105" spans="2:7" x14ac:dyDescent="0.15">
      <c r="B3105" s="301"/>
      <c r="C3105" s="91" t="s">
        <v>387</v>
      </c>
      <c r="D3105" s="70">
        <f>VLOOKUP(C3105,基本字段定义!$B$3:$C$3013,2,FALSE)</f>
        <v>599</v>
      </c>
      <c r="E3105" s="92" t="s">
        <v>365</v>
      </c>
      <c r="F3105" s="93"/>
      <c r="G3105" s="94" t="s">
        <v>389</v>
      </c>
    </row>
    <row r="3106" spans="2:7" ht="14.25" thickBot="1" x14ac:dyDescent="0.2">
      <c r="B3106" s="305"/>
      <c r="C3106" s="75" t="s">
        <v>428</v>
      </c>
      <c r="D3106" s="70">
        <f>VLOOKUP(C3106,基本字段定义!$B$3:$C$3013,2,FALSE)</f>
        <v>605</v>
      </c>
      <c r="E3106" s="77" t="s">
        <v>365</v>
      </c>
      <c r="F3106" s="83"/>
      <c r="G3106" s="78" t="s">
        <v>430</v>
      </c>
    </row>
    <row r="3108" spans="2:7" x14ac:dyDescent="0.15">
      <c r="B3108" s="57" t="s">
        <v>163</v>
      </c>
      <c r="C3108" s="84">
        <v>404204</v>
      </c>
      <c r="D3108" s="85"/>
      <c r="E3108" s="86"/>
      <c r="F3108" s="58" t="s">
        <v>352</v>
      </c>
      <c r="G3108" s="145">
        <v>20121101</v>
      </c>
    </row>
    <row r="3109" spans="2:7" x14ac:dyDescent="0.15">
      <c r="B3109" s="60" t="s">
        <v>353</v>
      </c>
      <c r="C3109" s="87" t="s">
        <v>350</v>
      </c>
      <c r="D3109" s="88"/>
      <c r="E3109" s="89"/>
      <c r="F3109" s="146" t="s">
        <v>165</v>
      </c>
      <c r="G3109" s="62" t="s">
        <v>169</v>
      </c>
    </row>
    <row r="3110" spans="2:7" ht="25.5" x14ac:dyDescent="0.15">
      <c r="B3110" s="300" t="s">
        <v>354</v>
      </c>
      <c r="C3110" s="99" t="s">
        <v>350</v>
      </c>
      <c r="D3110" s="100"/>
      <c r="E3110" s="100"/>
      <c r="F3110" s="100"/>
      <c r="G3110" s="101"/>
    </row>
    <row r="3111" spans="2:7" ht="14.25" thickBot="1" x14ac:dyDescent="0.2">
      <c r="B3111" s="305"/>
      <c r="C3111" s="102"/>
      <c r="D3111" s="103"/>
      <c r="E3111" s="103"/>
      <c r="F3111" s="103"/>
      <c r="G3111" s="104"/>
    </row>
    <row r="3112" spans="2:7" x14ac:dyDescent="0.15">
      <c r="B3112" s="315" t="s">
        <v>355</v>
      </c>
      <c r="C3112" s="58" t="s">
        <v>356</v>
      </c>
      <c r="D3112" s="58" t="s">
        <v>357</v>
      </c>
      <c r="E3112" s="58" t="s">
        <v>358</v>
      </c>
      <c r="F3112" s="58" t="s">
        <v>359</v>
      </c>
      <c r="G3112" s="64" t="s">
        <v>360</v>
      </c>
    </row>
    <row r="3113" spans="2:7" x14ac:dyDescent="0.15">
      <c r="B3113" s="301"/>
      <c r="C3113" s="65" t="s">
        <v>428</v>
      </c>
      <c r="D3113" s="70">
        <f>VLOOKUP(C3113,基本字段定义!$B$3:$C$3013,2,FALSE)</f>
        <v>605</v>
      </c>
      <c r="E3113" s="67" t="s">
        <v>429</v>
      </c>
      <c r="F3113" s="67" t="s">
        <v>169</v>
      </c>
      <c r="G3113" s="68" t="s">
        <v>430</v>
      </c>
    </row>
    <row r="3114" spans="2:7" x14ac:dyDescent="0.15">
      <c r="B3114" s="301"/>
      <c r="C3114" s="65" t="s">
        <v>614</v>
      </c>
      <c r="D3114" s="70">
        <f>VLOOKUP(C3114,基本字段定义!$B$3:$C$3013,2,FALSE)</f>
        <v>763</v>
      </c>
      <c r="E3114" s="67" t="s">
        <v>497</v>
      </c>
      <c r="F3114" s="67"/>
      <c r="G3114" s="68" t="s">
        <v>1648</v>
      </c>
    </row>
    <row r="3115" spans="2:7" x14ac:dyDescent="0.15">
      <c r="B3115" s="301"/>
      <c r="C3115" s="65" t="s">
        <v>616</v>
      </c>
      <c r="D3115" s="70">
        <f>VLOOKUP(C3115,基本字段定义!$B$3:$C$3013,2,FALSE)</f>
        <v>9110</v>
      </c>
      <c r="E3115" s="67" t="s">
        <v>363</v>
      </c>
      <c r="F3115" s="67"/>
      <c r="G3115" s="68" t="s">
        <v>1649</v>
      </c>
    </row>
    <row r="3116" spans="2:7" x14ac:dyDescent="0.15">
      <c r="B3116" s="301"/>
      <c r="C3116" s="65" t="s">
        <v>512</v>
      </c>
      <c r="D3116" s="70">
        <f>VLOOKUP(C3116,基本字段定义!$B$3:$C$3013,2,FALSE)</f>
        <v>590</v>
      </c>
      <c r="E3116" s="67" t="s">
        <v>506</v>
      </c>
      <c r="F3116" s="67" t="s">
        <v>169</v>
      </c>
      <c r="G3116" s="68" t="s">
        <v>1155</v>
      </c>
    </row>
    <row r="3117" spans="2:7" x14ac:dyDescent="0.15">
      <c r="B3117" s="301"/>
      <c r="C3117" s="65" t="s">
        <v>666</v>
      </c>
      <c r="D3117" s="70">
        <f>VLOOKUP(C3117,基本字段定义!$B$3:$C$3013,2,FALSE)</f>
        <v>719</v>
      </c>
      <c r="E3117" s="67" t="s">
        <v>506</v>
      </c>
      <c r="F3117" s="67"/>
      <c r="G3117" s="68" t="s">
        <v>683</v>
      </c>
    </row>
    <row r="3118" spans="2:7" x14ac:dyDescent="0.15">
      <c r="B3118" s="301"/>
      <c r="C3118" s="65" t="s">
        <v>550</v>
      </c>
      <c r="D3118" s="70">
        <f>VLOOKUP(C3118,基本字段定义!$B$3:$C$3013,2,FALSE)</f>
        <v>511</v>
      </c>
      <c r="E3118" s="67" t="s">
        <v>553</v>
      </c>
      <c r="F3118" s="67"/>
      <c r="G3118" s="68" t="s">
        <v>551</v>
      </c>
    </row>
    <row r="3119" spans="2:7" x14ac:dyDescent="0.15">
      <c r="B3119" s="301"/>
      <c r="C3119" s="65" t="s">
        <v>387</v>
      </c>
      <c r="D3119" s="70">
        <f>VLOOKUP(C3119,基本字段定义!$B$3:$C$3013,2,FALSE)</f>
        <v>599</v>
      </c>
      <c r="E3119" s="67" t="s">
        <v>497</v>
      </c>
      <c r="F3119" s="67"/>
      <c r="G3119" s="68" t="s">
        <v>1650</v>
      </c>
    </row>
    <row r="3120" spans="2:7" x14ac:dyDescent="0.15">
      <c r="B3120" s="306"/>
      <c r="C3120" s="65" t="s">
        <v>510</v>
      </c>
      <c r="D3120" s="70">
        <f>VLOOKUP(C3120,基本字段定义!$B$3:$C$3013,2,FALSE)</f>
        <v>618</v>
      </c>
      <c r="E3120" s="67" t="s">
        <v>506</v>
      </c>
      <c r="F3120" s="67" t="s">
        <v>169</v>
      </c>
      <c r="G3120" s="68" t="s">
        <v>1050</v>
      </c>
    </row>
    <row r="3121" spans="2:7" x14ac:dyDescent="0.15">
      <c r="B3121" s="300" t="s">
        <v>361</v>
      </c>
      <c r="C3121" s="69" t="s">
        <v>428</v>
      </c>
      <c r="D3121" s="70">
        <f>VLOOKUP(C3121,基本字段定义!$B$3:$C$3013,2,FALSE)</f>
        <v>605</v>
      </c>
      <c r="E3121" s="71" t="s">
        <v>365</v>
      </c>
      <c r="F3121" s="70"/>
      <c r="G3121" s="73" t="s">
        <v>430</v>
      </c>
    </row>
    <row r="3122" spans="2:7" x14ac:dyDescent="0.15">
      <c r="B3122" s="301"/>
      <c r="C3122" s="69" t="s">
        <v>362</v>
      </c>
      <c r="D3122" s="70">
        <f>VLOOKUP(C3122,基本字段定义!$B$3:$C$3013,2,FALSE)</f>
        <v>507</v>
      </c>
      <c r="E3122" s="71" t="s">
        <v>365</v>
      </c>
      <c r="F3122" s="70"/>
      <c r="G3122" s="73" t="s">
        <v>1262</v>
      </c>
    </row>
    <row r="3123" spans="2:7" x14ac:dyDescent="0.15">
      <c r="B3123" s="301"/>
      <c r="C3123" s="69" t="s">
        <v>364</v>
      </c>
      <c r="D3123" s="70">
        <f>VLOOKUP(C3123,基本字段定义!$B$3:$C$3013,2,FALSE)</f>
        <v>508</v>
      </c>
      <c r="E3123" s="71" t="s">
        <v>365</v>
      </c>
      <c r="F3123" s="70"/>
      <c r="G3123" s="73" t="s">
        <v>1651</v>
      </c>
    </row>
    <row r="3124" spans="2:7" x14ac:dyDescent="0.15">
      <c r="B3124" s="301"/>
      <c r="C3124" s="69" t="s">
        <v>446</v>
      </c>
      <c r="D3124" s="70">
        <f>VLOOKUP(C3124,基本字段定义!$B$3:$C$3013,2,FALSE)</f>
        <v>613</v>
      </c>
      <c r="E3124" s="71" t="s">
        <v>365</v>
      </c>
      <c r="F3124" s="70"/>
      <c r="G3124" s="73" t="s">
        <v>823</v>
      </c>
    </row>
    <row r="3125" spans="2:7" x14ac:dyDescent="0.15">
      <c r="B3125" s="301"/>
      <c r="C3125" s="91" t="s">
        <v>387</v>
      </c>
      <c r="D3125" s="70">
        <f>VLOOKUP(C3125,基本字段定义!$B$3:$C$3013,2,FALSE)</f>
        <v>599</v>
      </c>
      <c r="E3125" s="92" t="s">
        <v>365</v>
      </c>
      <c r="F3125" s="93"/>
      <c r="G3125" s="94" t="s">
        <v>1650</v>
      </c>
    </row>
    <row r="3126" spans="2:7" x14ac:dyDescent="0.15">
      <c r="B3126" s="301"/>
      <c r="C3126" s="91" t="s">
        <v>431</v>
      </c>
      <c r="D3126" s="70">
        <f>VLOOKUP(C3126,基本字段定义!$B$3:$C$3013,2,FALSE)</f>
        <v>571</v>
      </c>
      <c r="E3126" s="92" t="s">
        <v>365</v>
      </c>
      <c r="F3126" s="93"/>
      <c r="G3126" s="94" t="s">
        <v>433</v>
      </c>
    </row>
    <row r="3127" spans="2:7" x14ac:dyDescent="0.15">
      <c r="B3127" s="301"/>
      <c r="C3127" s="91" t="s">
        <v>666</v>
      </c>
      <c r="D3127" s="70">
        <f>VLOOKUP(C3127,基本字段定义!$B$3:$C$3013,2,FALSE)</f>
        <v>719</v>
      </c>
      <c r="E3127" s="92" t="s">
        <v>365</v>
      </c>
      <c r="F3127" s="93"/>
      <c r="G3127" s="94" t="s">
        <v>683</v>
      </c>
    </row>
    <row r="3128" spans="2:7" x14ac:dyDescent="0.15">
      <c r="B3128" s="301"/>
      <c r="C3128" s="91" t="s">
        <v>685</v>
      </c>
      <c r="D3128" s="70">
        <f>VLOOKUP(C3128,基本字段定义!$B$3:$C$3013,2,FALSE)</f>
        <v>722</v>
      </c>
      <c r="E3128" s="92" t="s">
        <v>365</v>
      </c>
      <c r="F3128" s="93"/>
      <c r="G3128" s="94" t="s">
        <v>686</v>
      </c>
    </row>
    <row r="3129" spans="2:7" x14ac:dyDescent="0.15">
      <c r="B3129" s="301"/>
      <c r="C3129" s="91" t="s">
        <v>849</v>
      </c>
      <c r="D3129" s="70">
        <f>VLOOKUP(C3129,基本字段定义!$B$3:$C$3013,2,FALSE)</f>
        <v>603</v>
      </c>
      <c r="E3129" s="92" t="s">
        <v>365</v>
      </c>
      <c r="F3129" s="93"/>
      <c r="G3129" s="94" t="s">
        <v>850</v>
      </c>
    </row>
    <row r="3130" spans="2:7" x14ac:dyDescent="0.15">
      <c r="B3130" s="301"/>
      <c r="C3130" s="91" t="s">
        <v>512</v>
      </c>
      <c r="D3130" s="70">
        <f>VLOOKUP(C3130,基本字段定义!$B$3:$C$3013,2,FALSE)</f>
        <v>590</v>
      </c>
      <c r="E3130" s="92" t="s">
        <v>365</v>
      </c>
      <c r="F3130" s="93"/>
      <c r="G3130" s="94" t="s">
        <v>1155</v>
      </c>
    </row>
    <row r="3131" spans="2:7" x14ac:dyDescent="0.15">
      <c r="B3131" s="301"/>
      <c r="C3131" s="91" t="s">
        <v>796</v>
      </c>
      <c r="D3131" s="70">
        <f>VLOOKUP(C3131,基本字段定义!$B$3:$C$3013,2,FALSE)</f>
        <v>724</v>
      </c>
      <c r="E3131" s="92" t="s">
        <v>365</v>
      </c>
      <c r="F3131" s="93"/>
      <c r="G3131" s="94" t="s">
        <v>1652</v>
      </c>
    </row>
    <row r="3132" spans="2:7" x14ac:dyDescent="0.15">
      <c r="B3132" s="301"/>
      <c r="C3132" s="91" t="s">
        <v>1653</v>
      </c>
      <c r="D3132" s="70">
        <f>VLOOKUP(C3132,基本字段定义!$B$3:$C$3013,2,FALSE)</f>
        <v>634</v>
      </c>
      <c r="E3132" s="92" t="s">
        <v>365</v>
      </c>
      <c r="F3132" s="93"/>
      <c r="G3132" s="94" t="s">
        <v>1654</v>
      </c>
    </row>
    <row r="3133" spans="2:7" x14ac:dyDescent="0.15">
      <c r="B3133" s="301"/>
      <c r="C3133" s="91" t="s">
        <v>1655</v>
      </c>
      <c r="D3133" s="70">
        <f>VLOOKUP(C3133,基本字段定义!$B$3:$C$3013,2,FALSE)</f>
        <v>625</v>
      </c>
      <c r="E3133" s="92" t="s">
        <v>365</v>
      </c>
      <c r="F3133" s="93"/>
      <c r="G3133" s="94" t="s">
        <v>1656</v>
      </c>
    </row>
    <row r="3134" spans="2:7" x14ac:dyDescent="0.15">
      <c r="B3134" s="301"/>
      <c r="C3134" s="91" t="s">
        <v>1657</v>
      </c>
      <c r="D3134" s="70">
        <f>VLOOKUP(C3134,基本字段定义!$B$3:$C$3013,2,FALSE)</f>
        <v>1176</v>
      </c>
      <c r="E3134" s="92" t="s">
        <v>563</v>
      </c>
      <c r="F3134" s="93"/>
      <c r="G3134" s="94" t="s">
        <v>1658</v>
      </c>
    </row>
    <row r="3135" spans="2:7" x14ac:dyDescent="0.15">
      <c r="B3135" s="301"/>
      <c r="C3135" s="91" t="s">
        <v>1659</v>
      </c>
      <c r="D3135" s="70">
        <f>VLOOKUP(C3135,基本字段定义!$B$3:$C$3013,2,FALSE)</f>
        <v>1237</v>
      </c>
      <c r="E3135" s="92" t="s">
        <v>365</v>
      </c>
      <c r="F3135" s="93"/>
      <c r="G3135" s="94" t="s">
        <v>1660</v>
      </c>
    </row>
    <row r="3136" spans="2:7" x14ac:dyDescent="0.15">
      <c r="B3136" s="301"/>
      <c r="C3136" s="91" t="s">
        <v>550</v>
      </c>
      <c r="D3136" s="70">
        <f>VLOOKUP(C3136,基本字段定义!$B$3:$C$3013,2,FALSE)</f>
        <v>511</v>
      </c>
      <c r="E3136" s="92" t="s">
        <v>365</v>
      </c>
      <c r="F3136" s="93"/>
      <c r="G3136" s="94" t="s">
        <v>551</v>
      </c>
    </row>
    <row r="3137" spans="2:7" x14ac:dyDescent="0.15">
      <c r="B3137" s="301"/>
      <c r="C3137" s="91" t="s">
        <v>399</v>
      </c>
      <c r="D3137" s="70">
        <f>VLOOKUP(C3137,基本字段定义!$B$3:$C$3013,2,FALSE)</f>
        <v>697</v>
      </c>
      <c r="E3137" s="92" t="s">
        <v>365</v>
      </c>
      <c r="F3137" s="93"/>
      <c r="G3137" s="94" t="s">
        <v>400</v>
      </c>
    </row>
    <row r="3138" spans="2:7" x14ac:dyDescent="0.15">
      <c r="B3138" s="301"/>
      <c r="C3138" s="91" t="s">
        <v>443</v>
      </c>
      <c r="D3138" s="70">
        <f>VLOOKUP(C3138,基本字段定义!$B$3:$C$3013,2,FALSE)</f>
        <v>610</v>
      </c>
      <c r="E3138" s="92" t="s">
        <v>365</v>
      </c>
      <c r="F3138" s="93"/>
      <c r="G3138" s="94" t="s">
        <v>886</v>
      </c>
    </row>
    <row r="3139" spans="2:7" x14ac:dyDescent="0.15">
      <c r="B3139" s="301"/>
      <c r="C3139" s="91" t="s">
        <v>1661</v>
      </c>
      <c r="D3139" s="70">
        <f>VLOOKUP(C3139,基本字段定义!$B$3:$C$3013,2,FALSE)</f>
        <v>800</v>
      </c>
      <c r="E3139" s="92" t="s">
        <v>365</v>
      </c>
      <c r="F3139" s="93"/>
      <c r="G3139" s="94" t="s">
        <v>1662</v>
      </c>
    </row>
    <row r="3140" spans="2:7" ht="14.25" thickBot="1" x14ac:dyDescent="0.2">
      <c r="B3140" s="305"/>
      <c r="C3140" s="75" t="s">
        <v>614</v>
      </c>
      <c r="D3140" s="70">
        <f>VLOOKUP(C3140,基本字段定义!$B$3:$C$3013,2,FALSE)</f>
        <v>763</v>
      </c>
      <c r="E3140" s="77" t="s">
        <v>365</v>
      </c>
      <c r="F3140" s="83"/>
      <c r="G3140" s="78" t="s">
        <v>1663</v>
      </c>
    </row>
    <row r="3142" spans="2:7" x14ac:dyDescent="0.15">
      <c r="B3142" s="57" t="s">
        <v>163</v>
      </c>
      <c r="C3142" s="84">
        <v>305009</v>
      </c>
      <c r="D3142" s="85"/>
      <c r="E3142" s="86"/>
      <c r="F3142" s="58" t="s">
        <v>352</v>
      </c>
      <c r="G3142" s="145">
        <v>20130114</v>
      </c>
    </row>
    <row r="3143" spans="2:7" x14ac:dyDescent="0.15">
      <c r="B3143" s="60" t="s">
        <v>353</v>
      </c>
      <c r="C3143" s="87" t="s">
        <v>297</v>
      </c>
      <c r="D3143" s="88"/>
      <c r="E3143" s="89"/>
      <c r="F3143" s="146" t="s">
        <v>165</v>
      </c>
      <c r="G3143" s="62" t="s">
        <v>169</v>
      </c>
    </row>
    <row r="3144" spans="2:7" ht="25.5" x14ac:dyDescent="0.15">
      <c r="B3144" s="300" t="s">
        <v>354</v>
      </c>
      <c r="C3144" s="99" t="s">
        <v>297</v>
      </c>
      <c r="D3144" s="100"/>
      <c r="E3144" s="100"/>
      <c r="F3144" s="100"/>
      <c r="G3144" s="101"/>
    </row>
    <row r="3145" spans="2:7" ht="14.25" thickBot="1" x14ac:dyDescent="0.2">
      <c r="B3145" s="301"/>
      <c r="C3145" s="102"/>
      <c r="D3145" s="103"/>
      <c r="E3145" s="103"/>
      <c r="F3145" s="103"/>
      <c r="G3145" s="104"/>
    </row>
    <row r="3146" spans="2:7" x14ac:dyDescent="0.15">
      <c r="B3146" s="315" t="s">
        <v>355</v>
      </c>
      <c r="C3146" s="58" t="s">
        <v>356</v>
      </c>
      <c r="D3146" s="58" t="s">
        <v>357</v>
      </c>
      <c r="E3146" s="58" t="s">
        <v>358</v>
      </c>
      <c r="F3146" s="58" t="s">
        <v>359</v>
      </c>
      <c r="G3146" s="64" t="s">
        <v>360</v>
      </c>
    </row>
    <row r="3147" spans="2:7" x14ac:dyDescent="0.15">
      <c r="B3147" s="301"/>
      <c r="C3147" s="65" t="s">
        <v>1107</v>
      </c>
      <c r="D3147" s="70">
        <f>VLOOKUP(C3147,基本字段定义!$B$3:$C$3013,2,FALSE)</f>
        <v>9228</v>
      </c>
      <c r="E3147" s="67" t="s">
        <v>429</v>
      </c>
      <c r="F3147" s="67"/>
      <c r="G3147" s="68" t="s">
        <v>1108</v>
      </c>
    </row>
    <row r="3148" spans="2:7" x14ac:dyDescent="0.15">
      <c r="B3148" s="301"/>
      <c r="C3148" s="65" t="s">
        <v>1083</v>
      </c>
      <c r="D3148" s="70">
        <f>VLOOKUP(C3148,基本字段定义!$B$3:$C$3013,2,FALSE)</f>
        <v>9198</v>
      </c>
      <c r="E3148" s="67" t="s">
        <v>388</v>
      </c>
      <c r="F3148" s="67"/>
      <c r="G3148" s="68" t="s">
        <v>1664</v>
      </c>
    </row>
    <row r="3149" spans="2:7" x14ac:dyDescent="0.15">
      <c r="B3149" s="301"/>
      <c r="C3149" s="65" t="s">
        <v>773</v>
      </c>
      <c r="D3149" s="70">
        <f>VLOOKUP(C3149,基本字段定义!$B$3:$C$3013,2,FALSE)</f>
        <v>9129</v>
      </c>
      <c r="E3149" s="67" t="s">
        <v>506</v>
      </c>
      <c r="F3149" s="67"/>
      <c r="G3149" s="68" t="s">
        <v>774</v>
      </c>
    </row>
    <row r="3150" spans="2:7" ht="25.5" x14ac:dyDescent="0.15">
      <c r="B3150" s="301"/>
      <c r="C3150" s="65" t="s">
        <v>1097</v>
      </c>
      <c r="D3150" s="70">
        <f>VLOOKUP(C3150,基本字段定义!$B$3:$C$3013,2,FALSE)</f>
        <v>874</v>
      </c>
      <c r="E3150" s="67" t="s">
        <v>363</v>
      </c>
      <c r="F3150" s="67"/>
      <c r="G3150" s="90" t="s">
        <v>1665</v>
      </c>
    </row>
    <row r="3151" spans="2:7" x14ac:dyDescent="0.15">
      <c r="B3151" s="301"/>
      <c r="C3151" s="65" t="s">
        <v>1163</v>
      </c>
      <c r="D3151" s="70">
        <f>VLOOKUP(C3151,基本字段定义!$B$3:$C$3013,2,FALSE)</f>
        <v>1240</v>
      </c>
      <c r="E3151" s="67" t="s">
        <v>365</v>
      </c>
      <c r="F3151" s="67"/>
      <c r="G3151" s="68" t="s">
        <v>1666</v>
      </c>
    </row>
    <row r="3152" spans="2:7" x14ac:dyDescent="0.15">
      <c r="B3152" s="300" t="s">
        <v>361</v>
      </c>
      <c r="C3152" s="69" t="s">
        <v>1083</v>
      </c>
      <c r="D3152" s="70">
        <f>VLOOKUP(C3152,基本字段定义!$B$3:$C$3013,2,FALSE)</f>
        <v>9198</v>
      </c>
      <c r="E3152" s="71" t="s">
        <v>388</v>
      </c>
      <c r="F3152" s="70"/>
      <c r="G3152" s="73" t="s">
        <v>1117</v>
      </c>
    </row>
    <row r="3153" spans="2:7" x14ac:dyDescent="0.15">
      <c r="B3153" s="301"/>
      <c r="C3153" s="69" t="s">
        <v>1107</v>
      </c>
      <c r="D3153" s="70">
        <f>VLOOKUP(C3153,基本字段定义!$B$3:$C$3013,2,FALSE)</f>
        <v>9228</v>
      </c>
      <c r="E3153" s="71" t="s">
        <v>429</v>
      </c>
      <c r="F3153" s="70"/>
      <c r="G3153" s="73" t="s">
        <v>1667</v>
      </c>
    </row>
    <row r="3154" spans="2:7" x14ac:dyDescent="0.15">
      <c r="B3154" s="301"/>
      <c r="C3154" s="69" t="s">
        <v>773</v>
      </c>
      <c r="D3154" s="70">
        <f>VLOOKUP(C3154,基本字段定义!$B$3:$C$3013,2,FALSE)</f>
        <v>9129</v>
      </c>
      <c r="E3154" s="71" t="s">
        <v>506</v>
      </c>
      <c r="F3154" s="70"/>
      <c r="G3154" s="73" t="s">
        <v>774</v>
      </c>
    </row>
    <row r="3155" spans="2:7" ht="25.5" x14ac:dyDescent="0.15">
      <c r="B3155" s="301"/>
      <c r="C3155" s="69" t="s">
        <v>1097</v>
      </c>
      <c r="D3155" s="70">
        <f>VLOOKUP(C3155,基本字段定义!$B$3:$C$3013,2,FALSE)</f>
        <v>874</v>
      </c>
      <c r="E3155" s="71" t="s">
        <v>363</v>
      </c>
      <c r="F3155" s="70"/>
      <c r="G3155" s="74" t="s">
        <v>1665</v>
      </c>
    </row>
    <row r="3156" spans="2:7" x14ac:dyDescent="0.15">
      <c r="B3156" s="301"/>
      <c r="C3156" s="91" t="s">
        <v>1163</v>
      </c>
      <c r="D3156" s="70">
        <f>VLOOKUP(C3156,基本字段定义!$B$3:$C$3013,2,FALSE)</f>
        <v>1240</v>
      </c>
      <c r="E3156" s="92" t="s">
        <v>365</v>
      </c>
      <c r="F3156" s="93"/>
      <c r="G3156" s="94" t="s">
        <v>975</v>
      </c>
    </row>
    <row r="3157" spans="2:7" x14ac:dyDescent="0.15">
      <c r="B3157" s="301"/>
      <c r="C3157" s="91" t="s">
        <v>518</v>
      </c>
      <c r="D3157" s="70">
        <f>VLOOKUP(C3157,基本字段定义!$B$3:$C$3013,2,FALSE)</f>
        <v>981</v>
      </c>
      <c r="E3157" s="92" t="s">
        <v>365</v>
      </c>
      <c r="F3157" s="93"/>
      <c r="G3157" s="94" t="s">
        <v>519</v>
      </c>
    </row>
    <row r="3158" spans="2:7" x14ac:dyDescent="0.15">
      <c r="B3158" s="301"/>
      <c r="C3158" s="91" t="s">
        <v>1112</v>
      </c>
      <c r="D3158" s="70">
        <f>VLOOKUP(C3158,基本字段定义!$B$3:$C$3013,2,FALSE)</f>
        <v>9248</v>
      </c>
      <c r="E3158" s="92" t="s">
        <v>563</v>
      </c>
      <c r="F3158" s="93"/>
      <c r="G3158" s="94" t="s">
        <v>1668</v>
      </c>
    </row>
    <row r="3159" spans="2:7" x14ac:dyDescent="0.15">
      <c r="B3159" s="301"/>
      <c r="C3159" s="91" t="s">
        <v>841</v>
      </c>
      <c r="D3159" s="70">
        <f>VLOOKUP(C3159,基本字段定义!$B$3:$C$3013,2,FALSE)</f>
        <v>1235</v>
      </c>
      <c r="E3159" s="92" t="s">
        <v>365</v>
      </c>
      <c r="F3159" s="93"/>
      <c r="G3159" s="94" t="s">
        <v>1669</v>
      </c>
    </row>
    <row r="3160" spans="2:7" x14ac:dyDescent="0.15">
      <c r="B3160" s="301"/>
      <c r="C3160" s="91" t="s">
        <v>1114</v>
      </c>
      <c r="D3160" s="70">
        <f>VLOOKUP(C3160,基本字段定义!$B$3:$C$3013,2,FALSE)</f>
        <v>9237</v>
      </c>
      <c r="E3160" s="92" t="s">
        <v>424</v>
      </c>
      <c r="F3160" s="93"/>
      <c r="G3160" s="94" t="s">
        <v>1115</v>
      </c>
    </row>
    <row r="3161" spans="2:7" x14ac:dyDescent="0.15">
      <c r="B3161" s="301"/>
      <c r="C3161" s="91" t="s">
        <v>362</v>
      </c>
      <c r="D3161" s="70">
        <f>VLOOKUP(C3161,基本字段定义!$B$3:$C$3013,2,FALSE)</f>
        <v>507</v>
      </c>
      <c r="E3161" s="92" t="s">
        <v>365</v>
      </c>
      <c r="F3161" s="93"/>
      <c r="G3161" s="94" t="s">
        <v>1262</v>
      </c>
    </row>
    <row r="3162" spans="2:7" ht="14.25" thickBot="1" x14ac:dyDescent="0.2">
      <c r="B3162" s="305"/>
      <c r="C3162" s="75" t="s">
        <v>364</v>
      </c>
      <c r="D3162" s="70">
        <f>VLOOKUP(C3162,基本字段定义!$B$3:$C$3013,2,FALSE)</f>
        <v>508</v>
      </c>
      <c r="E3162" s="77" t="s">
        <v>365</v>
      </c>
      <c r="F3162" s="83"/>
      <c r="G3162" s="78" t="s">
        <v>1651</v>
      </c>
    </row>
    <row r="3164" spans="2:7" x14ac:dyDescent="0.15">
      <c r="B3164" s="57" t="s">
        <v>163</v>
      </c>
      <c r="C3164" s="84">
        <v>145009</v>
      </c>
      <c r="D3164" s="85"/>
      <c r="E3164" s="86"/>
      <c r="F3164" s="58" t="s">
        <v>352</v>
      </c>
      <c r="G3164" s="59"/>
    </row>
    <row r="3165" spans="2:7" x14ac:dyDescent="0.15">
      <c r="B3165" s="60" t="s">
        <v>353</v>
      </c>
      <c r="C3165" s="87" t="str">
        <f>VLOOKUP(C3164,功能索引!$C$3:$D$278,2,FALSE)</f>
        <v>修改定期定额申购协议</v>
      </c>
      <c r="D3165" s="88"/>
      <c r="E3165" s="89"/>
      <c r="F3165" s="61" t="s">
        <v>165</v>
      </c>
      <c r="G3165" s="62">
        <f>VLOOKUP(C3164,功能索引!$C$3:$E3325,3,FALSE)</f>
        <v>0</v>
      </c>
    </row>
    <row r="3166" spans="2:7" x14ac:dyDescent="0.15">
      <c r="B3166" s="299" t="s">
        <v>354</v>
      </c>
      <c r="C3166" s="99"/>
      <c r="D3166" s="100"/>
      <c r="E3166" s="100"/>
      <c r="F3166" s="100"/>
      <c r="G3166" s="101"/>
    </row>
    <row r="3167" spans="2:7" ht="14.25" thickBot="1" x14ac:dyDescent="0.2">
      <c r="B3167" s="304"/>
      <c r="C3167" s="102"/>
      <c r="D3167" s="103"/>
      <c r="E3167" s="103"/>
      <c r="F3167" s="103"/>
      <c r="G3167" s="104"/>
    </row>
    <row r="3168" spans="2:7" x14ac:dyDescent="0.15">
      <c r="B3168" s="298" t="s">
        <v>355</v>
      </c>
      <c r="C3168" s="58" t="s">
        <v>356</v>
      </c>
      <c r="D3168" s="58" t="s">
        <v>357</v>
      </c>
      <c r="E3168" s="58" t="s">
        <v>358</v>
      </c>
      <c r="F3168" s="58" t="s">
        <v>359</v>
      </c>
      <c r="G3168" s="64" t="s">
        <v>360</v>
      </c>
    </row>
    <row r="3169" spans="2:7" x14ac:dyDescent="0.15">
      <c r="B3169" s="299"/>
      <c r="C3169" s="65" t="s">
        <v>428</v>
      </c>
      <c r="D3169" s="66">
        <f>VLOOKUP(C3169,基本字段定义!$B$3:$C$3013,2,FALSE)</f>
        <v>605</v>
      </c>
      <c r="E3169" s="67" t="s">
        <v>429</v>
      </c>
      <c r="F3169" s="67" t="s">
        <v>169</v>
      </c>
      <c r="G3169" s="68" t="s">
        <v>430</v>
      </c>
    </row>
    <row r="3170" spans="2:7" x14ac:dyDescent="0.15">
      <c r="B3170" s="299"/>
      <c r="C3170" s="65" t="s">
        <v>496</v>
      </c>
      <c r="D3170" s="66">
        <f>VLOOKUP(C3170,基本字段定义!$B$3:$C$3013,2,FALSE)</f>
        <v>730</v>
      </c>
      <c r="E3170" s="67" t="s">
        <v>497</v>
      </c>
      <c r="F3170" s="67" t="s">
        <v>169</v>
      </c>
      <c r="G3170" s="68" t="s">
        <v>1670</v>
      </c>
    </row>
    <row r="3171" spans="2:7" x14ac:dyDescent="0.15">
      <c r="B3171" s="299"/>
      <c r="C3171" s="65" t="s">
        <v>1146</v>
      </c>
      <c r="D3171" s="66">
        <f>VLOOKUP(C3171,基本字段定义!$B$3:$C$3013,2,FALSE)</f>
        <v>1077</v>
      </c>
      <c r="E3171" s="67" t="s">
        <v>1375</v>
      </c>
      <c r="F3171" s="67" t="s">
        <v>169</v>
      </c>
      <c r="G3171" s="68" t="s">
        <v>1147</v>
      </c>
    </row>
    <row r="3172" spans="2:7" x14ac:dyDescent="0.15">
      <c r="B3172" s="299"/>
      <c r="C3172" s="65" t="s">
        <v>1671</v>
      </c>
      <c r="D3172" s="66">
        <f>VLOOKUP(C3170,基本字段定义!$B$3:$C$3013,2,FALSE)</f>
        <v>730</v>
      </c>
      <c r="E3172" s="67" t="s">
        <v>1375</v>
      </c>
      <c r="F3172" s="67" t="s">
        <v>169</v>
      </c>
      <c r="G3172" s="68" t="s">
        <v>1672</v>
      </c>
    </row>
    <row r="3173" spans="2:7" x14ac:dyDescent="0.15">
      <c r="B3173" s="299"/>
      <c r="C3173" s="65" t="s">
        <v>1152</v>
      </c>
      <c r="D3173" s="66">
        <f>VLOOKUP(C3173,基本字段定义!$B$3:$C$3013,2,FALSE)</f>
        <v>9254</v>
      </c>
      <c r="E3173" s="67" t="s">
        <v>1615</v>
      </c>
      <c r="F3173" s="67" t="s">
        <v>169</v>
      </c>
      <c r="G3173" s="68" t="s">
        <v>1673</v>
      </c>
    </row>
    <row r="3174" spans="2:7" x14ac:dyDescent="0.15">
      <c r="B3174" s="299"/>
      <c r="C3174" s="65" t="s">
        <v>1083</v>
      </c>
      <c r="D3174" s="66">
        <f>VLOOKUP(C3174,基本字段定义!$B$3:$C$3013,2,FALSE)</f>
        <v>9198</v>
      </c>
      <c r="E3174" s="67" t="s">
        <v>388</v>
      </c>
      <c r="F3174" s="67" t="s">
        <v>169</v>
      </c>
      <c r="G3174" s="68" t="s">
        <v>1117</v>
      </c>
    </row>
    <row r="3175" spans="2:7" x14ac:dyDescent="0.15">
      <c r="B3175" s="299"/>
      <c r="C3175" s="65" t="s">
        <v>773</v>
      </c>
      <c r="D3175" s="66">
        <f>VLOOKUP(C3175,基本字段定义!$B$3:$C$3013,2,FALSE)</f>
        <v>9129</v>
      </c>
      <c r="E3175" s="67" t="s">
        <v>506</v>
      </c>
      <c r="F3175" s="67" t="s">
        <v>169</v>
      </c>
      <c r="G3175" s="68" t="s">
        <v>774</v>
      </c>
    </row>
    <row r="3176" spans="2:7" x14ac:dyDescent="0.15">
      <c r="B3176" s="299"/>
      <c r="C3176" s="65" t="s">
        <v>1107</v>
      </c>
      <c r="D3176" s="66">
        <f>VLOOKUP(C3176,基本字段定义!$B$3:$C$3013,2,FALSE)</f>
        <v>9228</v>
      </c>
      <c r="E3176" s="67" t="s">
        <v>635</v>
      </c>
      <c r="F3176" s="67" t="s">
        <v>169</v>
      </c>
      <c r="G3176" s="68" t="s">
        <v>1674</v>
      </c>
    </row>
    <row r="3177" spans="2:7" x14ac:dyDescent="0.15">
      <c r="B3177" s="299"/>
      <c r="C3177" s="65" t="s">
        <v>1140</v>
      </c>
      <c r="D3177" s="66">
        <f>VLOOKUP(C3177,基本字段定义!$B$3:$C$3013,2,FALSE)</f>
        <v>9245</v>
      </c>
      <c r="E3177" s="67" t="s">
        <v>506</v>
      </c>
      <c r="F3177" s="67" t="s">
        <v>169</v>
      </c>
      <c r="G3177" s="68" t="s">
        <v>1141</v>
      </c>
    </row>
    <row r="3178" spans="2:7" x14ac:dyDescent="0.15">
      <c r="B3178" s="299"/>
      <c r="C3178" s="65" t="s">
        <v>510</v>
      </c>
      <c r="D3178" s="66">
        <f>VLOOKUP(C3178,基本字段定义!$B$3:$C$3013,2,FALSE)</f>
        <v>618</v>
      </c>
      <c r="E3178" s="67" t="s">
        <v>1375</v>
      </c>
      <c r="F3178" s="67" t="s">
        <v>169</v>
      </c>
      <c r="G3178" s="68" t="s">
        <v>1050</v>
      </c>
    </row>
    <row r="3179" spans="2:7" x14ac:dyDescent="0.15">
      <c r="B3179" s="299"/>
      <c r="C3179" s="65" t="s">
        <v>1097</v>
      </c>
      <c r="D3179" s="66">
        <f>VLOOKUP(C3179,基本字段定义!$B$3:$C$3013,2,FALSE)</f>
        <v>874</v>
      </c>
      <c r="E3179" s="67" t="s">
        <v>1675</v>
      </c>
      <c r="F3179" s="67" t="s">
        <v>169</v>
      </c>
      <c r="G3179" s="68" t="s">
        <v>1676</v>
      </c>
    </row>
    <row r="3180" spans="2:7" x14ac:dyDescent="0.15">
      <c r="B3180" s="299"/>
      <c r="C3180" s="65" t="s">
        <v>512</v>
      </c>
      <c r="D3180" s="66">
        <f>VLOOKUP(C3180,基本字段定义!$B$3:$C$3013,2,FALSE)</f>
        <v>590</v>
      </c>
      <c r="E3180" s="67" t="s">
        <v>1375</v>
      </c>
      <c r="F3180" s="67" t="s">
        <v>169</v>
      </c>
      <c r="G3180" s="68" t="s">
        <v>1677</v>
      </c>
    </row>
    <row r="3181" spans="2:7" x14ac:dyDescent="0.15">
      <c r="B3181" s="299"/>
      <c r="C3181" s="65"/>
      <c r="D3181" s="66"/>
      <c r="E3181" s="67"/>
      <c r="F3181" s="67"/>
      <c r="G3181" s="68"/>
    </row>
    <row r="3182" spans="2:7" x14ac:dyDescent="0.15">
      <c r="B3182" s="300" t="s">
        <v>361</v>
      </c>
      <c r="C3182" s="91" t="s">
        <v>362</v>
      </c>
      <c r="D3182" s="70">
        <f>VLOOKUP(C3182,基本字段定义!$B$3:$C$3013,2,FALSE)</f>
        <v>507</v>
      </c>
      <c r="E3182" s="92" t="s">
        <v>365</v>
      </c>
      <c r="F3182" s="93"/>
      <c r="G3182" s="94" t="s">
        <v>1262</v>
      </c>
    </row>
    <row r="3183" spans="2:7" ht="14.25" thickBot="1" x14ac:dyDescent="0.2">
      <c r="B3183" s="301"/>
      <c r="C3183" s="75" t="s">
        <v>364</v>
      </c>
      <c r="D3183" s="70">
        <f>VLOOKUP(C3183,基本字段定义!$B$3:$C$3013,2,FALSE)</f>
        <v>508</v>
      </c>
      <c r="E3183" s="77" t="s">
        <v>365</v>
      </c>
      <c r="F3183" s="83"/>
      <c r="G3183" s="78" t="s">
        <v>1651</v>
      </c>
    </row>
    <row r="3184" spans="2:7" x14ac:dyDescent="0.15">
      <c r="B3184" s="301"/>
      <c r="C3184" s="69" t="s">
        <v>601</v>
      </c>
      <c r="D3184" s="70">
        <f>VLOOKUP(C3184,基本字段定义!$B$3:$C$3013,2,FALSE)</f>
        <v>797</v>
      </c>
      <c r="E3184" s="71" t="s">
        <v>365</v>
      </c>
      <c r="F3184" s="71"/>
      <c r="G3184" s="72" t="s">
        <v>1678</v>
      </c>
    </row>
    <row r="3185" spans="2:7" ht="14.25" thickBot="1" x14ac:dyDescent="0.2">
      <c r="B3185" s="305"/>
      <c r="C3185" s="75"/>
      <c r="D3185" s="83"/>
      <c r="E3185" s="77"/>
      <c r="F3185" s="77"/>
      <c r="G3185" s="78"/>
    </row>
    <row r="3187" spans="2:7" x14ac:dyDescent="0.15">
      <c r="B3187" s="57" t="s">
        <v>163</v>
      </c>
      <c r="C3187" s="84">
        <v>104044</v>
      </c>
      <c r="D3187" s="85"/>
      <c r="E3187" s="86"/>
      <c r="F3187" s="58" t="s">
        <v>352</v>
      </c>
      <c r="G3187" s="59"/>
    </row>
    <row r="3188" spans="2:7" x14ac:dyDescent="0.15">
      <c r="B3188" s="60" t="s">
        <v>353</v>
      </c>
      <c r="C3188" s="87" t="str">
        <f>VLOOKUP(C3187,功能索引!$C$3:$D$278,2,FALSE)</f>
        <v>查询基金行情信息</v>
      </c>
      <c r="D3188" s="88"/>
      <c r="E3188" s="89"/>
      <c r="F3188" s="61" t="s">
        <v>165</v>
      </c>
      <c r="G3188" s="62" t="str">
        <f>VLOOKUP(C3187,功能索引!$C$3:$E3348,3,FALSE)</f>
        <v>Y</v>
      </c>
    </row>
    <row r="3189" spans="2:7" x14ac:dyDescent="0.15">
      <c r="B3189" s="299" t="s">
        <v>354</v>
      </c>
      <c r="C3189" s="99"/>
      <c r="D3189" s="100"/>
      <c r="E3189" s="100"/>
      <c r="F3189" s="100"/>
      <c r="G3189" s="101"/>
    </row>
    <row r="3190" spans="2:7" ht="14.25" thickBot="1" x14ac:dyDescent="0.2">
      <c r="B3190" s="304"/>
      <c r="C3190" s="102"/>
      <c r="D3190" s="103"/>
      <c r="E3190" s="103"/>
      <c r="F3190" s="103"/>
      <c r="G3190" s="104"/>
    </row>
    <row r="3191" spans="2:7" x14ac:dyDescent="0.15">
      <c r="B3191" s="298" t="s">
        <v>355</v>
      </c>
      <c r="C3191" s="58" t="s">
        <v>356</v>
      </c>
      <c r="D3191" s="58" t="s">
        <v>357</v>
      </c>
      <c r="E3191" s="58" t="s">
        <v>358</v>
      </c>
      <c r="F3191" s="58" t="s">
        <v>359</v>
      </c>
      <c r="G3191" s="64" t="s">
        <v>360</v>
      </c>
    </row>
    <row r="3192" spans="2:7" x14ac:dyDescent="0.15">
      <c r="B3192" s="299"/>
      <c r="C3192" s="65" t="s">
        <v>387</v>
      </c>
      <c r="D3192" s="66">
        <f>VLOOKUP(C3192,基本字段定义!$B$3:$C$3013,2,FALSE)</f>
        <v>599</v>
      </c>
      <c r="E3192" s="67" t="s">
        <v>388</v>
      </c>
      <c r="F3192" s="67" t="s">
        <v>363</v>
      </c>
      <c r="G3192" s="68" t="s">
        <v>430</v>
      </c>
    </row>
    <row r="3193" spans="2:7" x14ac:dyDescent="0.15">
      <c r="B3193" s="299"/>
      <c r="C3193" s="65" t="s">
        <v>666</v>
      </c>
      <c r="D3193" s="66">
        <f>VLOOKUP(C3193,基本字段定义!$B$3:$C$3013,2,FALSE)</f>
        <v>719</v>
      </c>
      <c r="E3193" s="67" t="s">
        <v>506</v>
      </c>
      <c r="F3193" s="67" t="s">
        <v>363</v>
      </c>
      <c r="G3193" s="68" t="s">
        <v>1670</v>
      </c>
    </row>
    <row r="3194" spans="2:7" x14ac:dyDescent="0.15">
      <c r="B3194" s="299"/>
      <c r="C3194" s="65" t="s">
        <v>585</v>
      </c>
      <c r="D3194" s="66">
        <f>VLOOKUP(C3194,基本字段定义!$B$3:$C$3013,2,FALSE)</f>
        <v>9020</v>
      </c>
      <c r="E3194" s="67" t="s">
        <v>363</v>
      </c>
      <c r="F3194" s="67" t="s">
        <v>363</v>
      </c>
      <c r="G3194" s="68" t="s">
        <v>1147</v>
      </c>
    </row>
    <row r="3195" spans="2:7" x14ac:dyDescent="0.15">
      <c r="B3195" s="299"/>
      <c r="C3195" s="65"/>
      <c r="D3195" s="66"/>
      <c r="E3195" s="67"/>
      <c r="F3195" s="67"/>
      <c r="G3195" s="68"/>
    </row>
    <row r="3196" spans="2:7" x14ac:dyDescent="0.15">
      <c r="B3196" s="300" t="s">
        <v>361</v>
      </c>
      <c r="C3196" s="91" t="s">
        <v>362</v>
      </c>
      <c r="D3196" s="70">
        <f>VLOOKUP(C3196,基本字段定义!$B$3:$C$3013,2,FALSE)</f>
        <v>507</v>
      </c>
      <c r="E3196" s="92" t="s">
        <v>365</v>
      </c>
      <c r="F3196" s="93"/>
      <c r="G3196" s="94" t="s">
        <v>1262</v>
      </c>
    </row>
    <row r="3197" spans="2:7" x14ac:dyDescent="0.15">
      <c r="B3197" s="301"/>
      <c r="C3197" s="69" t="s">
        <v>364</v>
      </c>
      <c r="D3197" s="70">
        <f>VLOOKUP(C3197,基本字段定义!$B$3:$C$3013,2,FALSE)</f>
        <v>508</v>
      </c>
      <c r="E3197" s="71" t="s">
        <v>365</v>
      </c>
      <c r="F3197" s="70"/>
      <c r="G3197" s="73" t="s">
        <v>1651</v>
      </c>
    </row>
    <row r="3198" spans="2:7" x14ac:dyDescent="0.15">
      <c r="B3198" s="301"/>
      <c r="C3198" s="152" t="s">
        <v>387</v>
      </c>
      <c r="D3198" s="70">
        <f>VLOOKUP(C3198,基本字段定义!$B$3:$C$3013,2,FALSE)</f>
        <v>599</v>
      </c>
      <c r="E3198" s="149" t="s">
        <v>365</v>
      </c>
      <c r="F3198" s="149"/>
      <c r="G3198" s="153" t="s">
        <v>389</v>
      </c>
    </row>
    <row r="3199" spans="2:7" x14ac:dyDescent="0.15">
      <c r="B3199" s="301"/>
      <c r="C3199" s="91" t="s">
        <v>666</v>
      </c>
      <c r="D3199" s="93">
        <f>VLOOKUP(C3199,基本字段定义!$B$3:$C$3013,2,FALSE)</f>
        <v>719</v>
      </c>
      <c r="E3199" s="92" t="s">
        <v>365</v>
      </c>
      <c r="F3199" s="92"/>
      <c r="G3199" s="154" t="s">
        <v>683</v>
      </c>
    </row>
    <row r="3200" spans="2:7" x14ac:dyDescent="0.15">
      <c r="B3200" s="301"/>
      <c r="C3200" s="91" t="s">
        <v>773</v>
      </c>
      <c r="D3200" s="93">
        <f>VLOOKUP(C3200,基本字段定义!$B$3:$C$3013,2,FALSE)</f>
        <v>9129</v>
      </c>
      <c r="E3200" s="92" t="s">
        <v>506</v>
      </c>
      <c r="F3200" s="92"/>
      <c r="G3200" s="154" t="s">
        <v>774</v>
      </c>
    </row>
    <row r="3201" spans="2:7" x14ac:dyDescent="0.15">
      <c r="B3201" s="301"/>
      <c r="C3201" s="91" t="s">
        <v>1679</v>
      </c>
      <c r="D3201" s="93">
        <f>VLOOKUP(C3201,基本字段定义!$B$3:$C$3013,2,FALSE)</f>
        <v>4011</v>
      </c>
      <c r="E3201" s="92" t="s">
        <v>365</v>
      </c>
      <c r="F3201" s="92"/>
      <c r="G3201" s="154" t="s">
        <v>1680</v>
      </c>
    </row>
    <row r="3202" spans="2:7" x14ac:dyDescent="0.15">
      <c r="B3202" s="301"/>
      <c r="C3202" s="91" t="s">
        <v>1384</v>
      </c>
      <c r="D3202" s="93">
        <f>VLOOKUP(C3202,基本字段定义!$B$3:$C$3013,2,FALSE)</f>
        <v>9061</v>
      </c>
      <c r="E3202" s="92" t="s">
        <v>365</v>
      </c>
      <c r="F3202" s="92"/>
      <c r="G3202" s="154" t="s">
        <v>1517</v>
      </c>
    </row>
    <row r="3203" spans="2:7" x14ac:dyDescent="0.15">
      <c r="B3203" s="301"/>
      <c r="C3203" s="91" t="s">
        <v>1092</v>
      </c>
      <c r="D3203" s="93">
        <f>VLOOKUP(C3203,基本字段定义!$B$3:$C$3013,2,FALSE)</f>
        <v>9202</v>
      </c>
      <c r="E3203" s="92" t="s">
        <v>365</v>
      </c>
      <c r="F3203" s="92"/>
      <c r="G3203" s="154" t="s">
        <v>778</v>
      </c>
    </row>
    <row r="3204" spans="2:7" x14ac:dyDescent="0.15">
      <c r="B3204" s="301"/>
      <c r="C3204" s="91" t="s">
        <v>1681</v>
      </c>
      <c r="D3204" s="93">
        <f>VLOOKUP(C3204,基本字段定义!$B$3:$C$3013,2,FALSE)</f>
        <v>2514</v>
      </c>
      <c r="E3204" s="92" t="s">
        <v>365</v>
      </c>
      <c r="F3204" s="92"/>
      <c r="G3204" s="154" t="s">
        <v>1682</v>
      </c>
    </row>
    <row r="3205" spans="2:7" x14ac:dyDescent="0.15">
      <c r="B3205" s="301"/>
      <c r="C3205" s="91" t="s">
        <v>560</v>
      </c>
      <c r="D3205" s="93">
        <f>VLOOKUP(C3205,基本字段定义!$B$3:$C$3013,2,FALSE)</f>
        <v>710</v>
      </c>
      <c r="E3205" s="92" t="s">
        <v>365</v>
      </c>
      <c r="F3205" s="92"/>
      <c r="G3205" s="154" t="s">
        <v>1683</v>
      </c>
    </row>
    <row r="3206" spans="2:7" x14ac:dyDescent="0.15">
      <c r="B3206" s="301"/>
      <c r="C3206" s="91" t="s">
        <v>1228</v>
      </c>
      <c r="D3206" s="93">
        <f>VLOOKUP(C3206,基本字段定义!$B$3:$C$3013,2,FALSE)</f>
        <v>1695</v>
      </c>
      <c r="E3206" s="92" t="s">
        <v>365</v>
      </c>
      <c r="F3206" s="92"/>
      <c r="G3206" s="154" t="s">
        <v>1229</v>
      </c>
    </row>
    <row r="3207" spans="2:7" x14ac:dyDescent="0.15">
      <c r="B3207" s="301"/>
      <c r="C3207" s="91" t="s">
        <v>1095</v>
      </c>
      <c r="D3207" s="93">
        <f>VLOOKUP(C3207,基本字段定义!$B$3:$C$3013,2,FALSE)</f>
        <v>9204</v>
      </c>
      <c r="E3207" s="92" t="s">
        <v>365</v>
      </c>
      <c r="F3207" s="92"/>
      <c r="G3207" s="154" t="s">
        <v>1096</v>
      </c>
    </row>
    <row r="3208" spans="2:7" x14ac:dyDescent="0.15">
      <c r="B3208" s="301"/>
      <c r="C3208" s="91" t="s">
        <v>1099</v>
      </c>
      <c r="D3208" s="93">
        <f>VLOOKUP(C3208,基本字段定义!$B$3:$C$3013,2,FALSE)</f>
        <v>9322</v>
      </c>
      <c r="E3208" s="92" t="s">
        <v>365</v>
      </c>
      <c r="F3208" s="92"/>
      <c r="G3208" s="154" t="s">
        <v>1100</v>
      </c>
    </row>
    <row r="3209" spans="2:7" x14ac:dyDescent="0.15">
      <c r="B3209" s="301"/>
      <c r="C3209" s="91" t="s">
        <v>1684</v>
      </c>
      <c r="D3209" s="93">
        <f>VLOOKUP(C3209,基本字段定义!$B$3:$C$3013,2,FALSE)</f>
        <v>2044</v>
      </c>
      <c r="E3209" s="92" t="s">
        <v>365</v>
      </c>
      <c r="F3209" s="92"/>
      <c r="G3209" s="154" t="s">
        <v>1685</v>
      </c>
    </row>
    <row r="3210" spans="2:7" x14ac:dyDescent="0.15">
      <c r="B3210" s="301"/>
      <c r="C3210" s="91" t="s">
        <v>1686</v>
      </c>
      <c r="D3210" s="93">
        <f>VLOOKUP(C3210,基本字段定义!$B$3:$C$3013,2,FALSE)</f>
        <v>2045</v>
      </c>
      <c r="E3210" s="92" t="s">
        <v>365</v>
      </c>
      <c r="F3210" s="92"/>
      <c r="G3210" s="154" t="s">
        <v>1687</v>
      </c>
    </row>
    <row r="3211" spans="2:7" x14ac:dyDescent="0.15">
      <c r="B3211" s="301"/>
      <c r="C3211" s="91" t="s">
        <v>1083</v>
      </c>
      <c r="D3211" s="93">
        <f>VLOOKUP(C3211,基本字段定义!$B$3:$C$3013,2,FALSE)</f>
        <v>9198</v>
      </c>
      <c r="E3211" s="92" t="s">
        <v>365</v>
      </c>
      <c r="F3211" s="92"/>
      <c r="G3211" s="154" t="s">
        <v>1117</v>
      </c>
    </row>
    <row r="3212" spans="2:7" x14ac:dyDescent="0.15">
      <c r="B3212" s="301"/>
      <c r="C3212" s="91" t="s">
        <v>1142</v>
      </c>
      <c r="D3212" s="93">
        <f>VLOOKUP(C3212,基本字段定义!$B$3:$C$3013,2,FALSE)</f>
        <v>642</v>
      </c>
      <c r="E3212" s="92" t="s">
        <v>365</v>
      </c>
      <c r="F3212" s="92"/>
      <c r="G3212" s="154" t="s">
        <v>1688</v>
      </c>
    </row>
    <row r="3213" spans="2:7" ht="14.25" thickBot="1" x14ac:dyDescent="0.2">
      <c r="B3213" s="305"/>
      <c r="C3213" s="75" t="s">
        <v>1689</v>
      </c>
      <c r="D3213" s="83">
        <f>VLOOKUP(C3213,基本字段定义!$B$3:$C$3013,2,FALSE)</f>
        <v>1501</v>
      </c>
      <c r="E3213" s="77" t="s">
        <v>365</v>
      </c>
      <c r="F3213" s="77"/>
      <c r="G3213" s="78" t="s">
        <v>1690</v>
      </c>
    </row>
    <row r="3215" spans="2:7" x14ac:dyDescent="0.15">
      <c r="B3215" s="57" t="s">
        <v>163</v>
      </c>
      <c r="C3215" s="84">
        <v>302050</v>
      </c>
      <c r="D3215" s="85"/>
      <c r="E3215" s="86"/>
      <c r="F3215" s="58" t="s">
        <v>352</v>
      </c>
      <c r="G3215" s="59"/>
    </row>
    <row r="3216" spans="2:7" x14ac:dyDescent="0.15">
      <c r="B3216" s="60" t="s">
        <v>353</v>
      </c>
      <c r="C3216" s="87" t="s">
        <v>183</v>
      </c>
      <c r="D3216" s="88"/>
      <c r="E3216" s="89"/>
      <c r="F3216" s="61" t="s">
        <v>165</v>
      </c>
      <c r="G3216" s="62">
        <v>0</v>
      </c>
    </row>
    <row r="3217" spans="2:7" ht="13.5" customHeight="1" x14ac:dyDescent="0.15">
      <c r="B3217" s="299" t="s">
        <v>354</v>
      </c>
      <c r="C3217" s="99" t="s">
        <v>183</v>
      </c>
      <c r="D3217" s="100"/>
      <c r="E3217" s="100"/>
      <c r="F3217" s="100"/>
      <c r="G3217" s="101"/>
    </row>
    <row r="3218" spans="2:7" ht="14.25" thickBot="1" x14ac:dyDescent="0.2">
      <c r="B3218" s="304"/>
      <c r="C3218" s="102"/>
      <c r="D3218" s="103"/>
      <c r="E3218" s="103"/>
      <c r="F3218" s="103"/>
      <c r="G3218" s="104"/>
    </row>
    <row r="3219" spans="2:7" x14ac:dyDescent="0.15">
      <c r="B3219" s="299" t="s">
        <v>355</v>
      </c>
      <c r="C3219" s="58" t="s">
        <v>356</v>
      </c>
      <c r="D3219" s="58" t="s">
        <v>357</v>
      </c>
      <c r="E3219" s="58" t="s">
        <v>358</v>
      </c>
      <c r="F3219" s="58" t="s">
        <v>359</v>
      </c>
      <c r="G3219" s="64" t="s">
        <v>360</v>
      </c>
    </row>
    <row r="3220" spans="2:7" x14ac:dyDescent="0.15">
      <c r="B3220" s="299"/>
      <c r="C3220" s="65" t="s">
        <v>428</v>
      </c>
      <c r="D3220" s="66">
        <f>VLOOKUP(C3220,基本字段定义!$B$3:$C$3013,2,FALSE)</f>
        <v>605</v>
      </c>
      <c r="E3220" s="67" t="s">
        <v>429</v>
      </c>
      <c r="F3220" s="67" t="s">
        <v>169</v>
      </c>
      <c r="G3220" s="68" t="s">
        <v>430</v>
      </c>
    </row>
    <row r="3221" spans="2:7" x14ac:dyDescent="0.15">
      <c r="B3221" s="299"/>
      <c r="C3221" s="65" t="s">
        <v>550</v>
      </c>
      <c r="D3221" s="66">
        <f>VLOOKUP(C3221,基本字段定义!$B$3:$C$3013,2,FALSE)</f>
        <v>511</v>
      </c>
      <c r="E3221" s="67" t="s">
        <v>553</v>
      </c>
      <c r="F3221" s="67" t="s">
        <v>169</v>
      </c>
      <c r="G3221" s="68" t="s">
        <v>551</v>
      </c>
    </row>
    <row r="3222" spans="2:7" ht="14.25" thickBot="1" x14ac:dyDescent="0.2">
      <c r="B3222" s="304"/>
      <c r="C3222" s="65" t="s">
        <v>496</v>
      </c>
      <c r="D3222" s="66">
        <f>VLOOKUP(C3222,基本字段定义!$B$3:$C$3013,2,FALSE)</f>
        <v>730</v>
      </c>
      <c r="E3222" s="67" t="s">
        <v>497</v>
      </c>
      <c r="F3222" s="67" t="s">
        <v>363</v>
      </c>
      <c r="G3222" s="68" t="s">
        <v>1546</v>
      </c>
    </row>
    <row r="3223" spans="2:7" x14ac:dyDescent="0.15">
      <c r="B3223" s="300" t="s">
        <v>361</v>
      </c>
      <c r="C3223" s="69" t="s">
        <v>550</v>
      </c>
      <c r="D3223" s="70">
        <f>VLOOKUP(C3223,基本字段定义!$B$3:$C$3013,2,FALSE)</f>
        <v>511</v>
      </c>
      <c r="E3223" s="71" t="s">
        <v>553</v>
      </c>
      <c r="F3223" s="71"/>
      <c r="G3223" s="72" t="s">
        <v>551</v>
      </c>
    </row>
    <row r="3224" spans="2:7" x14ac:dyDescent="0.15">
      <c r="B3224" s="301"/>
      <c r="C3224" s="69" t="s">
        <v>1691</v>
      </c>
      <c r="D3224" s="70">
        <f>VLOOKUP(C3224,基本字段定义!$B$3:$C$3013,2,FALSE)</f>
        <v>1770</v>
      </c>
      <c r="E3224" s="71" t="s">
        <v>1692</v>
      </c>
      <c r="F3224" s="71"/>
      <c r="G3224" s="72" t="s">
        <v>1693</v>
      </c>
    </row>
    <row r="3225" spans="2:7" x14ac:dyDescent="0.15">
      <c r="B3225" s="301"/>
      <c r="C3225" s="69" t="s">
        <v>1694</v>
      </c>
      <c r="D3225" s="70">
        <f>VLOOKUP(C3225,基本字段定义!$B$3:$C$3013,2,FALSE)</f>
        <v>1201</v>
      </c>
      <c r="E3225" s="71" t="s">
        <v>1615</v>
      </c>
      <c r="F3225" s="71"/>
      <c r="G3225" s="72" t="s">
        <v>1695</v>
      </c>
    </row>
    <row r="3226" spans="2:7" x14ac:dyDescent="0.15">
      <c r="B3226" s="301"/>
      <c r="C3226" s="69" t="s">
        <v>1295</v>
      </c>
      <c r="D3226" s="70">
        <f>VLOOKUP(C3226,基本字段定义!$B$3:$C$3013,2,FALSE)</f>
        <v>1202</v>
      </c>
      <c r="E3226" s="71" t="s">
        <v>1615</v>
      </c>
      <c r="F3226" s="71"/>
      <c r="G3226" s="73" t="s">
        <v>1696</v>
      </c>
    </row>
    <row r="3227" spans="2:7" x14ac:dyDescent="0.15">
      <c r="B3227" s="301"/>
      <c r="C3227" s="69" t="s">
        <v>1697</v>
      </c>
      <c r="D3227" s="70">
        <f>VLOOKUP(C3227,基本字段定义!$B$3:$C$3013,2,FALSE)</f>
        <v>1060</v>
      </c>
      <c r="E3227" s="71" t="s">
        <v>1692</v>
      </c>
      <c r="F3227" s="71"/>
      <c r="G3227" s="73" t="s">
        <v>1698</v>
      </c>
    </row>
    <row r="3228" spans="2:7" x14ac:dyDescent="0.15">
      <c r="B3228" s="301"/>
      <c r="C3228" s="69" t="s">
        <v>843</v>
      </c>
      <c r="D3228" s="70">
        <f>VLOOKUP(C3228,基本字段定义!$B$3:$C$3013,2,FALSE)</f>
        <v>568</v>
      </c>
      <c r="E3228" s="71" t="s">
        <v>1615</v>
      </c>
      <c r="F3228" s="71"/>
      <c r="G3228" s="73" t="s">
        <v>1699</v>
      </c>
    </row>
    <row r="3229" spans="2:7" ht="14.25" thickBot="1" x14ac:dyDescent="0.2">
      <c r="B3229" s="305"/>
      <c r="C3229" s="155" t="s">
        <v>1460</v>
      </c>
      <c r="D3229" s="148">
        <f>VLOOKUP(C3229,基本字段定义!$B$3:$C$3013,2,FALSE)</f>
        <v>932</v>
      </c>
      <c r="E3229" s="156" t="s">
        <v>1615</v>
      </c>
      <c r="F3229" s="156"/>
      <c r="G3229" s="157" t="s">
        <v>1700</v>
      </c>
    </row>
    <row r="3231" spans="2:7" x14ac:dyDescent="0.15">
      <c r="B3231" s="57" t="s">
        <v>163</v>
      </c>
      <c r="C3231" s="84">
        <v>104102</v>
      </c>
      <c r="D3231" s="85"/>
      <c r="E3231" s="86"/>
      <c r="F3231" s="58" t="s">
        <v>352</v>
      </c>
      <c r="G3231" s="59"/>
    </row>
    <row r="3232" spans="2:7" x14ac:dyDescent="0.15">
      <c r="B3232" s="60" t="s">
        <v>353</v>
      </c>
      <c r="C3232" s="87" t="s">
        <v>251</v>
      </c>
      <c r="D3232" s="88"/>
      <c r="E3232" s="89"/>
      <c r="F3232" s="61" t="s">
        <v>165</v>
      </c>
      <c r="G3232" s="62">
        <v>0</v>
      </c>
    </row>
    <row r="3233" spans="2:7" x14ac:dyDescent="0.15">
      <c r="B3233" s="299" t="s">
        <v>354</v>
      </c>
      <c r="C3233" s="99"/>
      <c r="D3233" s="100"/>
      <c r="E3233" s="100"/>
      <c r="F3233" s="100"/>
      <c r="G3233" s="101"/>
    </row>
    <row r="3234" spans="2:7" ht="14.25" thickBot="1" x14ac:dyDescent="0.2">
      <c r="B3234" s="304"/>
      <c r="C3234" s="102"/>
      <c r="D3234" s="103"/>
      <c r="E3234" s="103"/>
      <c r="F3234" s="103"/>
      <c r="G3234" s="104"/>
    </row>
    <row r="3235" spans="2:7" x14ac:dyDescent="0.15">
      <c r="B3235" s="299" t="s">
        <v>355</v>
      </c>
      <c r="C3235" s="58" t="s">
        <v>356</v>
      </c>
      <c r="D3235" s="58" t="s">
        <v>357</v>
      </c>
      <c r="E3235" s="58" t="s">
        <v>358</v>
      </c>
      <c r="F3235" s="58" t="s">
        <v>359</v>
      </c>
      <c r="G3235" s="64" t="s">
        <v>360</v>
      </c>
    </row>
    <row r="3236" spans="2:7" x14ac:dyDescent="0.15">
      <c r="B3236" s="299"/>
      <c r="C3236" s="65" t="s">
        <v>1701</v>
      </c>
      <c r="D3236" s="66">
        <f>VLOOKUP(C3236,基本字段定义!$B$3:$C$3013,2,FALSE)</f>
        <v>1185</v>
      </c>
      <c r="E3236" s="67" t="s">
        <v>365</v>
      </c>
      <c r="F3236" s="67" t="s">
        <v>169</v>
      </c>
      <c r="G3236" s="68" t="s">
        <v>683</v>
      </c>
    </row>
    <row r="3237" spans="2:7" x14ac:dyDescent="0.15">
      <c r="B3237" s="300" t="s">
        <v>361</v>
      </c>
      <c r="C3237" s="69" t="s">
        <v>387</v>
      </c>
      <c r="D3237" s="66">
        <f>VLOOKUP(C3237,基本字段定义!$B$3:$C$3013,2,FALSE)</f>
        <v>599</v>
      </c>
      <c r="E3237" s="71" t="s">
        <v>365</v>
      </c>
      <c r="F3237" s="71"/>
      <c r="G3237" s="72" t="s">
        <v>1650</v>
      </c>
    </row>
    <row r="3238" spans="2:7" x14ac:dyDescent="0.15">
      <c r="B3238" s="301"/>
      <c r="C3238" s="69" t="s">
        <v>666</v>
      </c>
      <c r="D3238" s="66">
        <f>VLOOKUP(C3238,基本字段定义!$B$3:$C$3013,2,FALSE)</f>
        <v>719</v>
      </c>
      <c r="E3238" s="71" t="s">
        <v>365</v>
      </c>
      <c r="F3238" s="71"/>
      <c r="G3238" s="72" t="s">
        <v>683</v>
      </c>
    </row>
    <row r="3239" spans="2:7" x14ac:dyDescent="0.15">
      <c r="B3239" s="301"/>
      <c r="C3239" s="69" t="s">
        <v>685</v>
      </c>
      <c r="D3239" s="66">
        <f>VLOOKUP(C3239,基本字段定义!$B$3:$C$3013,2,FALSE)</f>
        <v>722</v>
      </c>
      <c r="E3239" s="71" t="s">
        <v>365</v>
      </c>
      <c r="F3239" s="71"/>
      <c r="G3239" s="72" t="s">
        <v>686</v>
      </c>
    </row>
    <row r="3240" spans="2:7" x14ac:dyDescent="0.15">
      <c r="B3240" s="301"/>
      <c r="C3240" s="69" t="s">
        <v>759</v>
      </c>
      <c r="D3240" s="66">
        <f>VLOOKUP(C3240,基本字段定义!$B$3:$C$3013,2,FALSE)</f>
        <v>720</v>
      </c>
      <c r="E3240" s="71" t="s">
        <v>365</v>
      </c>
      <c r="F3240" s="71"/>
      <c r="G3240" s="72" t="s">
        <v>760</v>
      </c>
    </row>
    <row r="3241" spans="2:7" x14ac:dyDescent="0.15">
      <c r="B3241" s="301"/>
      <c r="C3241" s="69" t="s">
        <v>687</v>
      </c>
      <c r="D3241" s="66">
        <f>VLOOKUP(C3241,基本字段定义!$B$3:$C$3013,2,FALSE)</f>
        <v>591</v>
      </c>
      <c r="E3241" s="71" t="s">
        <v>363</v>
      </c>
      <c r="F3241" s="71"/>
      <c r="G3241" s="72" t="s">
        <v>1702</v>
      </c>
    </row>
    <row r="3242" spans="2:7" x14ac:dyDescent="0.15">
      <c r="B3242" s="301"/>
      <c r="C3242" s="69" t="s">
        <v>550</v>
      </c>
      <c r="D3242" s="66">
        <f>VLOOKUP(C3242,基本字段定义!$B$3:$C$3013,2,FALSE)</f>
        <v>511</v>
      </c>
      <c r="E3242" s="71" t="s">
        <v>365</v>
      </c>
      <c r="F3242" s="71"/>
      <c r="G3242" s="72" t="s">
        <v>551</v>
      </c>
    </row>
    <row r="3243" spans="2:7" x14ac:dyDescent="0.15">
      <c r="B3243" s="301"/>
      <c r="C3243" s="69" t="s">
        <v>705</v>
      </c>
      <c r="D3243" s="66">
        <f>VLOOKUP(C3243,基本字段定义!$B$3:$C$3013,2,FALSE)</f>
        <v>706</v>
      </c>
      <c r="E3243" s="71" t="s">
        <v>363</v>
      </c>
      <c r="F3243" s="71"/>
      <c r="G3243" s="72" t="s">
        <v>706</v>
      </c>
    </row>
    <row r="3244" spans="2:7" x14ac:dyDescent="0.15">
      <c r="B3244" s="301"/>
      <c r="C3244" s="69" t="s">
        <v>703</v>
      </c>
      <c r="D3244" s="66">
        <f>VLOOKUP(C3244,基本字段定义!$B$3:$C$3013,2,FALSE)</f>
        <v>703</v>
      </c>
      <c r="E3244" s="71" t="s">
        <v>363</v>
      </c>
      <c r="F3244" s="71"/>
      <c r="G3244" s="72" t="s">
        <v>704</v>
      </c>
    </row>
    <row r="3245" spans="2:7" x14ac:dyDescent="0.15">
      <c r="B3245" s="301"/>
      <c r="C3245" s="69" t="s">
        <v>1513</v>
      </c>
      <c r="D3245" s="66">
        <f>VLOOKUP(C3245,基本字段定义!$B$3:$C$3013,2,FALSE)</f>
        <v>841</v>
      </c>
      <c r="E3245" s="71" t="s">
        <v>365</v>
      </c>
      <c r="F3245" s="71"/>
      <c r="G3245" s="72" t="s">
        <v>1703</v>
      </c>
    </row>
    <row r="3246" spans="2:7" x14ac:dyDescent="0.15">
      <c r="B3246" s="301"/>
      <c r="C3246" s="69" t="s">
        <v>1704</v>
      </c>
      <c r="D3246" s="66">
        <f>VLOOKUP(C3246,基本字段定义!$B$3:$C$3013,2,FALSE)</f>
        <v>643</v>
      </c>
      <c r="E3246" s="71" t="s">
        <v>365</v>
      </c>
      <c r="F3246" s="71"/>
      <c r="G3246" s="72" t="s">
        <v>1705</v>
      </c>
    </row>
    <row r="3247" spans="2:7" x14ac:dyDescent="0.15">
      <c r="B3247" s="301"/>
      <c r="C3247" s="69" t="s">
        <v>1706</v>
      </c>
      <c r="D3247" s="66">
        <f>VLOOKUP(C3247,基本字段定义!$B$3:$C$3013,2,FALSE)</f>
        <v>632</v>
      </c>
      <c r="E3247" s="71" t="s">
        <v>363</v>
      </c>
      <c r="F3247" s="71"/>
      <c r="G3247" s="72" t="s">
        <v>1707</v>
      </c>
    </row>
    <row r="3248" spans="2:7" x14ac:dyDescent="0.15">
      <c r="B3248" s="301"/>
      <c r="C3248" s="69" t="s">
        <v>701</v>
      </c>
      <c r="D3248" s="66">
        <f>VLOOKUP(C3248,基本字段定义!$B$3:$C$3013,2,FALSE)</f>
        <v>961</v>
      </c>
      <c r="E3248" s="71" t="s">
        <v>363</v>
      </c>
      <c r="F3248" s="71"/>
      <c r="G3248" s="72" t="s">
        <v>1708</v>
      </c>
    </row>
    <row r="3249" spans="2:7" x14ac:dyDescent="0.15">
      <c r="B3249" s="301"/>
      <c r="C3249" s="69" t="s">
        <v>697</v>
      </c>
      <c r="D3249" s="66">
        <f>VLOOKUP(C3249,基本字段定义!$B$3:$C$3013,2,FALSE)</f>
        <v>594</v>
      </c>
      <c r="E3249" s="71" t="s">
        <v>363</v>
      </c>
      <c r="F3249" s="71"/>
      <c r="G3249" s="72" t="s">
        <v>1709</v>
      </c>
    </row>
    <row r="3250" spans="2:7" x14ac:dyDescent="0.15">
      <c r="B3250" s="301"/>
      <c r="C3250" s="69" t="s">
        <v>693</v>
      </c>
      <c r="D3250" s="66">
        <f>VLOOKUP(C3250,基本字段定义!$B$3:$C$3013,2,FALSE)</f>
        <v>726</v>
      </c>
      <c r="E3250" s="71" t="s">
        <v>363</v>
      </c>
      <c r="F3250" s="71"/>
      <c r="G3250" s="72" t="s">
        <v>694</v>
      </c>
    </row>
    <row r="3251" spans="2:7" x14ac:dyDescent="0.15">
      <c r="B3251" s="301"/>
      <c r="C3251" s="69" t="s">
        <v>1710</v>
      </c>
      <c r="D3251" s="66">
        <f>VLOOKUP(C3251,基本字段定义!$B$3:$C$3013,2,FALSE)</f>
        <v>1529</v>
      </c>
      <c r="E3251" s="71" t="s">
        <v>365</v>
      </c>
      <c r="F3251" s="71"/>
      <c r="G3251" s="72" t="s">
        <v>1711</v>
      </c>
    </row>
    <row r="3252" spans="2:7" x14ac:dyDescent="0.15">
      <c r="B3252" s="301"/>
      <c r="C3252" s="69" t="s">
        <v>1712</v>
      </c>
      <c r="D3252" s="66">
        <f>VLOOKUP(C3252,基本字段定义!$B$3:$C$3013,2,FALSE)</f>
        <v>1530</v>
      </c>
      <c r="E3252" s="71" t="s">
        <v>363</v>
      </c>
      <c r="F3252" s="71"/>
      <c r="G3252" s="72" t="s">
        <v>1713</v>
      </c>
    </row>
    <row r="3253" spans="2:7" x14ac:dyDescent="0.15">
      <c r="B3253" s="301"/>
      <c r="C3253" s="69" t="s">
        <v>1714</v>
      </c>
      <c r="D3253" s="66">
        <f>VLOOKUP(C3253,基本字段定义!$B$3:$C$3013,2,FALSE)</f>
        <v>1531</v>
      </c>
      <c r="E3253" s="71" t="s">
        <v>363</v>
      </c>
      <c r="F3253" s="71"/>
      <c r="G3253" s="72" t="s">
        <v>1715</v>
      </c>
    </row>
    <row r="3254" spans="2:7" x14ac:dyDescent="0.15">
      <c r="B3254" s="301"/>
      <c r="C3254" s="69" t="s">
        <v>1716</v>
      </c>
      <c r="D3254" s="66">
        <f>VLOOKUP(C3254,基本字段定义!$B$3:$C$3013,2,FALSE)</f>
        <v>1535</v>
      </c>
      <c r="E3254" s="71" t="s">
        <v>365</v>
      </c>
      <c r="F3254" s="71"/>
      <c r="G3254" s="72" t="s">
        <v>1717</v>
      </c>
    </row>
    <row r="3255" spans="2:7" x14ac:dyDescent="0.15">
      <c r="B3255" s="301"/>
      <c r="C3255" s="69" t="s">
        <v>761</v>
      </c>
      <c r="D3255" s="66">
        <v>1354</v>
      </c>
      <c r="E3255" s="71" t="s">
        <v>365</v>
      </c>
      <c r="F3255" s="71"/>
      <c r="G3255" s="72" t="s">
        <v>762</v>
      </c>
    </row>
    <row r="3256" spans="2:7" x14ac:dyDescent="0.15">
      <c r="B3256" s="301"/>
      <c r="C3256" s="69" t="s">
        <v>699</v>
      </c>
      <c r="D3256" s="66">
        <f>VLOOKUP(C3256,基本字段定义!$B$3:$C$3013,2,FALSE)</f>
        <v>1693</v>
      </c>
      <c r="E3256" s="71" t="s">
        <v>365</v>
      </c>
      <c r="F3256" s="71"/>
      <c r="G3256" s="72" t="s">
        <v>1718</v>
      </c>
    </row>
    <row r="3257" spans="2:7" x14ac:dyDescent="0.15">
      <c r="B3257" s="301"/>
      <c r="C3257" s="69" t="s">
        <v>362</v>
      </c>
      <c r="D3257" s="66">
        <f>VLOOKUP(C3257,基本字段定义!$B$3:$C$3013,2,FALSE)</f>
        <v>507</v>
      </c>
      <c r="E3257" s="71" t="s">
        <v>363</v>
      </c>
      <c r="F3257" s="71"/>
      <c r="G3257" s="72" t="s">
        <v>1262</v>
      </c>
    </row>
    <row r="3258" spans="2:7" x14ac:dyDescent="0.15">
      <c r="B3258" s="301"/>
      <c r="C3258" s="69" t="s">
        <v>364</v>
      </c>
      <c r="D3258" s="66">
        <f>VLOOKUP(C3258,基本字段定义!$B$3:$C$3013,2,FALSE)</f>
        <v>508</v>
      </c>
      <c r="E3258" s="71" t="s">
        <v>365</v>
      </c>
      <c r="F3258" s="71"/>
      <c r="G3258" s="72" t="s">
        <v>1651</v>
      </c>
    </row>
    <row r="3259" spans="2:7" ht="14.25" thickBot="1" x14ac:dyDescent="0.2">
      <c r="B3259" s="305"/>
      <c r="C3259" s="75"/>
      <c r="D3259" s="83"/>
      <c r="E3259" s="77"/>
      <c r="F3259" s="77"/>
      <c r="G3259" s="78"/>
    </row>
    <row r="3261" spans="2:7" x14ac:dyDescent="0.15">
      <c r="B3261" s="57" t="s">
        <v>163</v>
      </c>
      <c r="C3261" s="84">
        <v>407002</v>
      </c>
      <c r="D3261" s="85"/>
      <c r="E3261" s="86"/>
      <c r="F3261" s="58" t="s">
        <v>352</v>
      </c>
      <c r="G3261" s="59"/>
    </row>
    <row r="3262" spans="2:7" x14ac:dyDescent="0.15">
      <c r="B3262" s="60" t="s">
        <v>353</v>
      </c>
      <c r="C3262" s="87" t="str">
        <f>VLOOKUP(C3261,功能索引!$C$3:$D$278,2,FALSE)</f>
        <v>客户历史信用合同信息查询</v>
      </c>
      <c r="D3262" s="88"/>
      <c r="E3262" s="89"/>
      <c r="F3262" s="61" t="s">
        <v>165</v>
      </c>
      <c r="G3262" s="62" t="str">
        <f>VLOOKUP(C3261,功能索引!$C$3:$E3039,3,FALSE)</f>
        <v>Y</v>
      </c>
    </row>
    <row r="3263" spans="2:7" x14ac:dyDescent="0.15">
      <c r="B3263" s="299" t="s">
        <v>354</v>
      </c>
      <c r="C3263" s="99"/>
      <c r="D3263" s="100"/>
      <c r="E3263" s="100"/>
      <c r="F3263" s="100"/>
      <c r="G3263" s="101"/>
    </row>
    <row r="3264" spans="2:7" ht="14.25" thickBot="1" x14ac:dyDescent="0.2">
      <c r="B3264" s="304"/>
      <c r="C3264" s="102"/>
      <c r="D3264" s="103"/>
      <c r="E3264" s="103"/>
      <c r="F3264" s="103"/>
      <c r="G3264" s="104"/>
    </row>
    <row r="3265" spans="2:7" ht="14.25" thickBot="1" x14ac:dyDescent="0.2">
      <c r="B3265" s="315" t="s">
        <v>355</v>
      </c>
      <c r="C3265" s="58" t="s">
        <v>356</v>
      </c>
      <c r="D3265" s="58" t="s">
        <v>357</v>
      </c>
      <c r="E3265" s="58" t="s">
        <v>358</v>
      </c>
      <c r="F3265" s="58" t="s">
        <v>359</v>
      </c>
      <c r="G3265" s="64" t="s">
        <v>360</v>
      </c>
    </row>
    <row r="3266" spans="2:7" ht="14.25" thickBot="1" x14ac:dyDescent="0.2">
      <c r="B3266" s="315"/>
      <c r="C3266" s="65" t="s">
        <v>428</v>
      </c>
      <c r="D3266" s="66">
        <f>VLOOKUP(C3266,基本字段定义!$B$3:$C$3013,2,FALSE)</f>
        <v>605</v>
      </c>
      <c r="E3266" s="67" t="s">
        <v>429</v>
      </c>
      <c r="F3266" s="67" t="s">
        <v>169</v>
      </c>
      <c r="G3266" s="68" t="s">
        <v>1719</v>
      </c>
    </row>
    <row r="3267" spans="2:7" ht="14.25" thickBot="1" x14ac:dyDescent="0.2">
      <c r="B3267" s="315"/>
      <c r="C3267" s="65" t="s">
        <v>1720</v>
      </c>
      <c r="D3267" s="66">
        <f>VLOOKUP(C3267,基本字段定义!$B$3:$C$3013,2,FALSE)</f>
        <v>889</v>
      </c>
      <c r="E3267" s="67" t="s">
        <v>363</v>
      </c>
      <c r="F3267" s="67"/>
      <c r="G3267" s="68" t="s">
        <v>1721</v>
      </c>
    </row>
    <row r="3268" spans="2:7" ht="14.25" thickBot="1" x14ac:dyDescent="0.2">
      <c r="B3268" s="315"/>
      <c r="C3268" s="65" t="s">
        <v>510</v>
      </c>
      <c r="D3268" s="66">
        <f>VLOOKUP(C3268,基本字段定义!$B$3:$C$3013,2,FALSE)</f>
        <v>618</v>
      </c>
      <c r="E3268" s="67" t="s">
        <v>363</v>
      </c>
      <c r="F3268" s="67" t="s">
        <v>169</v>
      </c>
      <c r="G3268" s="68" t="s">
        <v>1050</v>
      </c>
    </row>
    <row r="3269" spans="2:7" ht="14.25" thickBot="1" x14ac:dyDescent="0.2">
      <c r="B3269" s="315"/>
      <c r="C3269" s="65" t="s">
        <v>512</v>
      </c>
      <c r="D3269" s="66">
        <f>VLOOKUP(C3269,基本字段定义!$B$3:$C$3013,2,FALSE)</f>
        <v>590</v>
      </c>
      <c r="E3269" s="67" t="s">
        <v>363</v>
      </c>
      <c r="F3269" s="67" t="s">
        <v>169</v>
      </c>
      <c r="G3269" s="68" t="s">
        <v>1155</v>
      </c>
    </row>
    <row r="3270" spans="2:7" x14ac:dyDescent="0.15">
      <c r="B3270" s="315"/>
      <c r="C3270" s="65" t="s">
        <v>585</v>
      </c>
      <c r="D3270" s="66">
        <f>VLOOKUP(C3270,基本字段定义!$B$3:$C$3013,2,FALSE)</f>
        <v>9020</v>
      </c>
      <c r="E3270" s="67" t="s">
        <v>363</v>
      </c>
      <c r="F3270" s="67"/>
      <c r="G3270" s="68" t="s">
        <v>1466</v>
      </c>
    </row>
    <row r="3271" spans="2:7" x14ac:dyDescent="0.15">
      <c r="B3271" s="301"/>
      <c r="C3271" s="65" t="s">
        <v>1371</v>
      </c>
      <c r="D3271" s="66">
        <f>VLOOKUP(C3271,基本字段定义!$B$3:$C$3013,2,FALSE)</f>
        <v>557</v>
      </c>
      <c r="E3271" s="67" t="s">
        <v>497</v>
      </c>
      <c r="F3271" s="67" t="s">
        <v>169</v>
      </c>
      <c r="G3271" s="68" t="s">
        <v>1722</v>
      </c>
    </row>
    <row r="3272" spans="2:7" x14ac:dyDescent="0.15">
      <c r="B3272" s="299"/>
      <c r="C3272" s="65" t="s">
        <v>614</v>
      </c>
      <c r="D3272" s="66">
        <f>VLOOKUP(C3272,基本字段定义!$B$3:$C$3013,2,FALSE)</f>
        <v>763</v>
      </c>
      <c r="E3272" s="67" t="s">
        <v>497</v>
      </c>
      <c r="F3272" s="67"/>
      <c r="G3272" s="68" t="s">
        <v>1481</v>
      </c>
    </row>
    <row r="3273" spans="2:7" x14ac:dyDescent="0.15">
      <c r="B3273" s="299"/>
      <c r="C3273" s="65" t="s">
        <v>616</v>
      </c>
      <c r="D3273" s="66">
        <f>VLOOKUP(C3273,基本字段定义!$B$3:$C$3013,2,FALSE)</f>
        <v>9110</v>
      </c>
      <c r="E3273" s="67" t="s">
        <v>363</v>
      </c>
      <c r="F3273" s="67"/>
      <c r="G3273" s="68" t="s">
        <v>937</v>
      </c>
    </row>
    <row r="3274" spans="2:7" x14ac:dyDescent="0.15">
      <c r="B3274" s="299"/>
      <c r="C3274" s="65" t="s">
        <v>612</v>
      </c>
      <c r="D3274" s="66">
        <f>VLOOKUP(C3274,基本字段定义!$B$3:$C$3013,2,FALSE)</f>
        <v>9109</v>
      </c>
      <c r="E3274" s="67" t="s">
        <v>363</v>
      </c>
      <c r="F3274" s="67"/>
      <c r="G3274" s="68" t="s">
        <v>1382</v>
      </c>
    </row>
    <row r="3275" spans="2:7" x14ac:dyDescent="0.15">
      <c r="B3275" s="299" t="s">
        <v>361</v>
      </c>
      <c r="C3275" s="69" t="s">
        <v>393</v>
      </c>
      <c r="D3275" s="70">
        <f>VLOOKUP(C3275,基本字段定义!$B$3:$C$3013,2,FALSE)</f>
        <v>651</v>
      </c>
      <c r="E3275" s="71" t="s">
        <v>363</v>
      </c>
      <c r="F3275" s="71"/>
      <c r="G3275" s="72" t="s">
        <v>1517</v>
      </c>
    </row>
    <row r="3276" spans="2:7" x14ac:dyDescent="0.15">
      <c r="B3276" s="299"/>
      <c r="C3276" s="69" t="s">
        <v>1720</v>
      </c>
      <c r="D3276" s="70">
        <f>VLOOKUP(C3276,基本字段定义!$B$3:$C$3013,2,FALSE)</f>
        <v>889</v>
      </c>
      <c r="E3276" s="71" t="s">
        <v>363</v>
      </c>
      <c r="F3276" s="71"/>
      <c r="G3276" s="73" t="s">
        <v>1721</v>
      </c>
    </row>
    <row r="3277" spans="2:7" x14ac:dyDescent="0.15">
      <c r="B3277" s="299"/>
      <c r="C3277" s="69" t="s">
        <v>428</v>
      </c>
      <c r="D3277" s="70">
        <f>VLOOKUP(C3277,基本字段定义!$B$3:$C$3013,2,FALSE)</f>
        <v>605</v>
      </c>
      <c r="E3277" s="71" t="s">
        <v>429</v>
      </c>
      <c r="F3277" s="71"/>
      <c r="G3277" s="73" t="s">
        <v>430</v>
      </c>
    </row>
    <row r="3278" spans="2:7" x14ac:dyDescent="0.15">
      <c r="B3278" s="299"/>
      <c r="C3278" s="69" t="s">
        <v>550</v>
      </c>
      <c r="D3278" s="70">
        <f>VLOOKUP(C3278,基本字段定义!$B$3:$C$3013,2,FALSE)</f>
        <v>511</v>
      </c>
      <c r="E3278" s="71" t="s">
        <v>553</v>
      </c>
      <c r="F3278" s="71"/>
      <c r="G3278" s="73" t="s">
        <v>551</v>
      </c>
    </row>
    <row r="3279" spans="2:7" x14ac:dyDescent="0.15">
      <c r="B3279" s="299"/>
      <c r="C3279" s="69" t="s">
        <v>446</v>
      </c>
      <c r="D3279" s="70">
        <f>VLOOKUP(C3279,基本字段定义!$B$3:$C$3013,2,FALSE)</f>
        <v>613</v>
      </c>
      <c r="E3279" s="71" t="s">
        <v>365</v>
      </c>
      <c r="F3279" s="71"/>
      <c r="G3279" s="73" t="s">
        <v>823</v>
      </c>
    </row>
    <row r="3280" spans="2:7" x14ac:dyDescent="0.15">
      <c r="B3280" s="299"/>
      <c r="C3280" s="69" t="s">
        <v>399</v>
      </c>
      <c r="D3280" s="70">
        <f>VLOOKUP(C3280,基本字段定义!$B$3:$C$3013,2,FALSE)</f>
        <v>697</v>
      </c>
      <c r="E3280" s="71" t="s">
        <v>365</v>
      </c>
      <c r="F3280" s="71"/>
      <c r="G3280" s="73" t="s">
        <v>400</v>
      </c>
    </row>
    <row r="3281" spans="2:7" x14ac:dyDescent="0.15">
      <c r="B3281" s="299"/>
      <c r="C3281" s="69" t="s">
        <v>443</v>
      </c>
      <c r="D3281" s="70">
        <f>VLOOKUP(C3281,基本字段定义!$B$3:$C$3013,2,FALSE)</f>
        <v>610</v>
      </c>
      <c r="E3281" s="71" t="s">
        <v>365</v>
      </c>
      <c r="F3281" s="71"/>
      <c r="G3281" s="73" t="s">
        <v>886</v>
      </c>
    </row>
    <row r="3282" spans="2:7" x14ac:dyDescent="0.15">
      <c r="B3282" s="299"/>
      <c r="C3282" s="69" t="s">
        <v>1196</v>
      </c>
      <c r="D3282" s="70">
        <f>VLOOKUP(C3282,基本字段定义!$B$3:$C$3013,2,FALSE)</f>
        <v>1803</v>
      </c>
      <c r="E3282" s="71" t="s">
        <v>1615</v>
      </c>
      <c r="F3282" s="71"/>
      <c r="G3282" s="73" t="s">
        <v>1723</v>
      </c>
    </row>
    <row r="3283" spans="2:7" x14ac:dyDescent="0.15">
      <c r="B3283" s="299"/>
      <c r="C3283" s="69" t="s">
        <v>1198</v>
      </c>
      <c r="D3283" s="70">
        <f>VLOOKUP(C3283,基本字段定义!$B$3:$C$3013,2,FALSE)</f>
        <v>1804</v>
      </c>
      <c r="E3283" s="71" t="s">
        <v>1615</v>
      </c>
      <c r="F3283" s="71"/>
      <c r="G3283" s="73" t="s">
        <v>1724</v>
      </c>
    </row>
    <row r="3284" spans="2:7" x14ac:dyDescent="0.15">
      <c r="B3284" s="299"/>
      <c r="C3284" s="69" t="s">
        <v>1200</v>
      </c>
      <c r="D3284" s="70">
        <f>VLOOKUP(C3284,基本字段定义!$B$3:$C$3013,2,FALSE)</f>
        <v>1821</v>
      </c>
      <c r="E3284" s="71" t="s">
        <v>1615</v>
      </c>
      <c r="F3284" s="71"/>
      <c r="G3284" s="73" t="s">
        <v>1725</v>
      </c>
    </row>
    <row r="3285" spans="2:7" x14ac:dyDescent="0.15">
      <c r="B3285" s="299"/>
      <c r="C3285" s="69" t="s">
        <v>1202</v>
      </c>
      <c r="D3285" s="70">
        <f>VLOOKUP(C3285,基本字段定义!$B$3:$C$3013,2,FALSE)</f>
        <v>1822</v>
      </c>
      <c r="E3285" s="71" t="s">
        <v>1615</v>
      </c>
      <c r="F3285" s="71"/>
      <c r="G3285" s="73" t="s">
        <v>1726</v>
      </c>
    </row>
    <row r="3286" spans="2:7" x14ac:dyDescent="0.15">
      <c r="B3286" s="299"/>
      <c r="C3286" s="69" t="s">
        <v>1217</v>
      </c>
      <c r="D3286" s="70">
        <f>VLOOKUP(C3286,基本字段定义!$B$3:$C$3013,2,FALSE)</f>
        <v>1800</v>
      </c>
      <c r="E3286" s="71" t="s">
        <v>1615</v>
      </c>
      <c r="F3286" s="71"/>
      <c r="G3286" s="73" t="s">
        <v>1727</v>
      </c>
    </row>
    <row r="3287" spans="2:7" x14ac:dyDescent="0.15">
      <c r="B3287" s="299"/>
      <c r="C3287" s="69" t="s">
        <v>1332</v>
      </c>
      <c r="D3287" s="70">
        <f>VLOOKUP(C3287,基本字段定义!$B$3:$C$3013,2,FALSE)</f>
        <v>653</v>
      </c>
      <c r="E3287" s="71" t="s">
        <v>1615</v>
      </c>
      <c r="F3287" s="71"/>
      <c r="G3287" s="73" t="s">
        <v>1728</v>
      </c>
    </row>
    <row r="3288" spans="2:7" x14ac:dyDescent="0.15">
      <c r="B3288" s="299"/>
      <c r="C3288" s="69" t="s">
        <v>1334</v>
      </c>
      <c r="D3288" s="70">
        <f>VLOOKUP(C3288,基本字段定义!$B$3:$C$3013,2,FALSE)</f>
        <v>1809</v>
      </c>
      <c r="E3288" s="71" t="s">
        <v>1615</v>
      </c>
      <c r="F3288" s="71"/>
      <c r="G3288" s="73" t="s">
        <v>1729</v>
      </c>
    </row>
    <row r="3289" spans="2:7" x14ac:dyDescent="0.15">
      <c r="B3289" s="299"/>
      <c r="C3289" s="69" t="s">
        <v>1204</v>
      </c>
      <c r="D3289" s="70">
        <f>VLOOKUP(C3289,基本字段定义!$B$3:$C$3013,2,FALSE)</f>
        <v>652</v>
      </c>
      <c r="E3289" s="71" t="s">
        <v>1615</v>
      </c>
      <c r="F3289" s="71"/>
      <c r="G3289" s="73" t="s">
        <v>1205</v>
      </c>
    </row>
    <row r="3290" spans="2:7" x14ac:dyDescent="0.15">
      <c r="B3290" s="299"/>
      <c r="C3290" s="69" t="s">
        <v>1206</v>
      </c>
      <c r="D3290" s="70">
        <f>VLOOKUP(C3290,基本字段定义!$B$3:$C$3013,2,FALSE)</f>
        <v>1823</v>
      </c>
      <c r="E3290" s="71" t="s">
        <v>1615</v>
      </c>
      <c r="F3290" s="71"/>
      <c r="G3290" s="73" t="s">
        <v>1207</v>
      </c>
    </row>
    <row r="3291" spans="2:7" x14ac:dyDescent="0.15">
      <c r="B3291" s="299"/>
      <c r="C3291" s="69" t="s">
        <v>1730</v>
      </c>
      <c r="D3291" s="70">
        <f>VLOOKUP(C3291,基本字段定义!$B$3:$C$3013,2,FALSE)</f>
        <v>1843</v>
      </c>
      <c r="E3291" s="71" t="s">
        <v>1615</v>
      </c>
      <c r="F3291" s="71"/>
      <c r="G3291" s="73" t="s">
        <v>1731</v>
      </c>
    </row>
    <row r="3292" spans="2:7" x14ac:dyDescent="0.15">
      <c r="B3292" s="299"/>
      <c r="C3292" s="69" t="s">
        <v>1732</v>
      </c>
      <c r="D3292" s="70">
        <f>VLOOKUP(C3292,基本字段定义!$B$3:$C$3013,2,FALSE)</f>
        <v>1844</v>
      </c>
      <c r="E3292" s="71" t="s">
        <v>1615</v>
      </c>
      <c r="F3292" s="71"/>
      <c r="G3292" s="73" t="s">
        <v>1733</v>
      </c>
    </row>
    <row r="3293" spans="2:7" x14ac:dyDescent="0.15">
      <c r="B3293" s="299"/>
      <c r="C3293" s="69" t="s">
        <v>1208</v>
      </c>
      <c r="D3293" s="70">
        <f>VLOOKUP(C3293,基本字段定义!$B$3:$C$3013,2,FALSE)</f>
        <v>1845</v>
      </c>
      <c r="E3293" s="71" t="s">
        <v>1615</v>
      </c>
      <c r="F3293" s="71"/>
      <c r="G3293" s="73" t="s">
        <v>1734</v>
      </c>
    </row>
    <row r="3294" spans="2:7" x14ac:dyDescent="0.15">
      <c r="B3294" s="299"/>
      <c r="C3294" s="69" t="s">
        <v>1210</v>
      </c>
      <c r="D3294" s="70">
        <f>VLOOKUP(C3294,基本字段定义!$B$3:$C$3013,2,FALSE)</f>
        <v>1846</v>
      </c>
      <c r="E3294" s="71" t="s">
        <v>1615</v>
      </c>
      <c r="F3294" s="71"/>
      <c r="G3294" s="73" t="s">
        <v>1735</v>
      </c>
    </row>
    <row r="3295" spans="2:7" x14ac:dyDescent="0.15">
      <c r="B3295" s="299"/>
      <c r="C3295" s="69" t="s">
        <v>1264</v>
      </c>
      <c r="D3295" s="70">
        <f>VLOOKUP(C3295,基本字段定义!$B$3:$C$3013,2,FALSE)</f>
        <v>1720</v>
      </c>
      <c r="E3295" s="71" t="s">
        <v>1615</v>
      </c>
      <c r="F3295" s="71"/>
      <c r="G3295" s="73" t="s">
        <v>1265</v>
      </c>
    </row>
    <row r="3296" spans="2:7" x14ac:dyDescent="0.15">
      <c r="B3296" s="299"/>
      <c r="C3296" s="69" t="s">
        <v>577</v>
      </c>
      <c r="D3296" s="70">
        <f>VLOOKUP(C3296,基本字段定义!$B$3:$C$3013,2,FALSE)</f>
        <v>1255</v>
      </c>
      <c r="E3296" s="71" t="s">
        <v>1615</v>
      </c>
      <c r="F3296" s="71"/>
      <c r="G3296" s="73" t="s">
        <v>1736</v>
      </c>
    </row>
    <row r="3297" spans="2:7" x14ac:dyDescent="0.15">
      <c r="B3297" s="299"/>
      <c r="C3297" s="69" t="s">
        <v>1404</v>
      </c>
      <c r="D3297" s="70">
        <f>VLOOKUP(C3297,基本字段定义!$B$3:$C$3013,2,FALSE)</f>
        <v>1847</v>
      </c>
      <c r="E3297" s="71" t="s">
        <v>1615</v>
      </c>
      <c r="F3297" s="71"/>
      <c r="G3297" s="73" t="s">
        <v>1737</v>
      </c>
    </row>
    <row r="3298" spans="2:7" x14ac:dyDescent="0.15">
      <c r="B3298" s="299"/>
      <c r="C3298" s="69" t="s">
        <v>562</v>
      </c>
      <c r="D3298" s="70">
        <f>VLOOKUP(C3298,基本字段定义!$B$3:$C$3013,2,FALSE)</f>
        <v>709</v>
      </c>
      <c r="E3298" s="71" t="s">
        <v>1615</v>
      </c>
      <c r="F3298" s="71"/>
      <c r="G3298" s="73" t="s">
        <v>1738</v>
      </c>
    </row>
    <row r="3299" spans="2:7" x14ac:dyDescent="0.15">
      <c r="B3299" s="299"/>
      <c r="C3299" s="69" t="s">
        <v>1266</v>
      </c>
      <c r="D3299" s="70">
        <f>VLOOKUP(C3299,基本字段定义!$B$3:$C$3013,2,FALSE)</f>
        <v>1741</v>
      </c>
      <c r="E3299" s="71" t="s">
        <v>1615</v>
      </c>
      <c r="F3299" s="71"/>
      <c r="G3299" s="73" t="s">
        <v>1267</v>
      </c>
    </row>
    <row r="3300" spans="2:7" x14ac:dyDescent="0.15">
      <c r="B3300" s="299"/>
      <c r="C3300" s="69" t="s">
        <v>1274</v>
      </c>
      <c r="D3300" s="70">
        <f>VLOOKUP(C3300,基本字段定义!$B$3:$C$3013,2,FALSE)</f>
        <v>1037</v>
      </c>
      <c r="E3300" s="71" t="s">
        <v>1615</v>
      </c>
      <c r="F3300" s="71"/>
      <c r="G3300" s="73" t="s">
        <v>1739</v>
      </c>
    </row>
    <row r="3301" spans="2:7" x14ac:dyDescent="0.15">
      <c r="B3301" s="299"/>
      <c r="C3301" s="69" t="s">
        <v>510</v>
      </c>
      <c r="D3301" s="70">
        <f>VLOOKUP(C3301,基本字段定义!$B$3:$C$3013,2,FALSE)</f>
        <v>618</v>
      </c>
      <c r="E3301" s="71" t="s">
        <v>363</v>
      </c>
      <c r="F3301" s="71"/>
      <c r="G3301" s="73" t="s">
        <v>1740</v>
      </c>
    </row>
    <row r="3302" spans="2:7" x14ac:dyDescent="0.15">
      <c r="B3302" s="299"/>
      <c r="C3302" s="69" t="s">
        <v>512</v>
      </c>
      <c r="D3302" s="70">
        <f>VLOOKUP(C3302,基本字段定义!$B$3:$C$3013,2,FALSE)</f>
        <v>590</v>
      </c>
      <c r="E3302" s="71" t="s">
        <v>363</v>
      </c>
      <c r="F3302" s="71"/>
      <c r="G3302" s="73" t="s">
        <v>1741</v>
      </c>
    </row>
    <row r="3303" spans="2:7" x14ac:dyDescent="0.15">
      <c r="B3303" s="299"/>
      <c r="C3303" s="69" t="s">
        <v>535</v>
      </c>
      <c r="D3303" s="70">
        <f>VLOOKUP(C3303,基本字段定义!$B$3:$C$3013,2,FALSE)</f>
        <v>1850</v>
      </c>
      <c r="E3303" s="71" t="s">
        <v>1615</v>
      </c>
      <c r="F3303" s="71"/>
      <c r="G3303" s="73" t="s">
        <v>1742</v>
      </c>
    </row>
    <row r="3304" spans="2:7" x14ac:dyDescent="0.15">
      <c r="B3304" s="299"/>
      <c r="C3304" s="69" t="s">
        <v>1320</v>
      </c>
      <c r="D3304" s="70">
        <f>VLOOKUP(C3304,基本字段定义!$B$3:$C$3013,2,FALSE)</f>
        <v>770</v>
      </c>
      <c r="E3304" s="71" t="s">
        <v>1615</v>
      </c>
      <c r="F3304" s="71"/>
      <c r="G3304" s="73" t="s">
        <v>1743</v>
      </c>
    </row>
    <row r="3305" spans="2:7" x14ac:dyDescent="0.15">
      <c r="B3305" s="299"/>
      <c r="C3305" s="69" t="s">
        <v>1322</v>
      </c>
      <c r="D3305" s="70">
        <f>VLOOKUP(C3305,基本字段定义!$B$3:$C$3013,2,FALSE)</f>
        <v>771</v>
      </c>
      <c r="E3305" s="71" t="s">
        <v>1615</v>
      </c>
      <c r="F3305" s="71"/>
      <c r="G3305" s="73" t="s">
        <v>1744</v>
      </c>
    </row>
    <row r="3306" spans="2:7" x14ac:dyDescent="0.15">
      <c r="B3306" s="299"/>
      <c r="C3306" s="69" t="s">
        <v>1291</v>
      </c>
      <c r="D3306" s="70">
        <f>VLOOKUP(C3306,基本字段定义!$B$3:$C$3013,2,FALSE)</f>
        <v>517</v>
      </c>
      <c r="E3306" s="71" t="s">
        <v>1615</v>
      </c>
      <c r="F3306" s="71"/>
      <c r="G3306" s="73" t="s">
        <v>1745</v>
      </c>
    </row>
    <row r="3307" spans="2:7" x14ac:dyDescent="0.15">
      <c r="B3307" s="299"/>
      <c r="C3307" s="69" t="s">
        <v>1293</v>
      </c>
      <c r="D3307" s="70">
        <f>VLOOKUP(C3307,基本字段定义!$B$3:$C$3013,2,FALSE)</f>
        <v>1361</v>
      </c>
      <c r="E3307" s="71" t="s">
        <v>1615</v>
      </c>
      <c r="F3307" s="71"/>
      <c r="G3307" s="73" t="s">
        <v>1746</v>
      </c>
    </row>
    <row r="3308" spans="2:7" x14ac:dyDescent="0.15">
      <c r="B3308" s="299"/>
      <c r="C3308" s="69" t="s">
        <v>1747</v>
      </c>
      <c r="D3308" s="70">
        <f>VLOOKUP(C3308,基本字段定义!$B$3:$C$3013,2,FALSE)</f>
        <v>1364</v>
      </c>
      <c r="E3308" s="71" t="s">
        <v>1615</v>
      </c>
      <c r="F3308" s="71"/>
      <c r="G3308" s="73" t="s">
        <v>1748</v>
      </c>
    </row>
    <row r="3309" spans="2:7" x14ac:dyDescent="0.15">
      <c r="B3309" s="299"/>
      <c r="C3309" s="69" t="s">
        <v>569</v>
      </c>
      <c r="D3309" s="70">
        <f>VLOOKUP(C3309,基本字段定义!$B$3:$C$3013,2,FALSE)</f>
        <v>617</v>
      </c>
      <c r="E3309" s="71" t="s">
        <v>1615</v>
      </c>
      <c r="F3309" s="71"/>
      <c r="G3309" s="73" t="s">
        <v>1749</v>
      </c>
    </row>
    <row r="3310" spans="2:7" x14ac:dyDescent="0.15">
      <c r="B3310" s="299"/>
      <c r="C3310" s="69" t="s">
        <v>1347</v>
      </c>
      <c r="D3310" s="70">
        <f>VLOOKUP(C3310,基本字段定义!$B$3:$C$3013,2,FALSE)</f>
        <v>775</v>
      </c>
      <c r="E3310" s="71" t="s">
        <v>1615</v>
      </c>
      <c r="F3310" s="71"/>
      <c r="G3310" s="73" t="s">
        <v>1750</v>
      </c>
    </row>
    <row r="3311" spans="2:7" x14ac:dyDescent="0.15">
      <c r="B3311" s="299"/>
      <c r="C3311" s="69" t="s">
        <v>1297</v>
      </c>
      <c r="D3311" s="70">
        <f>VLOOKUP(C3311,基本字段定义!$B$3:$C$3013,2,FALSE)</f>
        <v>802</v>
      </c>
      <c r="E3311" s="71" t="s">
        <v>1615</v>
      </c>
      <c r="F3311" s="71"/>
      <c r="G3311" s="73" t="s">
        <v>1298</v>
      </c>
    </row>
    <row r="3312" spans="2:7" x14ac:dyDescent="0.15">
      <c r="B3312" s="299"/>
      <c r="C3312" s="69" t="s">
        <v>1316</v>
      </c>
      <c r="D3312" s="70">
        <f>VLOOKUP(C3312,基本字段定义!$B$3:$C$3013,2,FALSE)</f>
        <v>1319</v>
      </c>
      <c r="E3312" s="71" t="s">
        <v>1615</v>
      </c>
      <c r="F3312" s="71"/>
      <c r="G3312" s="73" t="s">
        <v>1317</v>
      </c>
    </row>
    <row r="3313" spans="2:7" x14ac:dyDescent="0.15">
      <c r="B3313" s="299"/>
      <c r="C3313" s="69" t="s">
        <v>1751</v>
      </c>
      <c r="D3313" s="70">
        <f>VLOOKUP(C3313,基本字段定义!$B$3:$C$3013,2,FALSE)</f>
        <v>9122</v>
      </c>
      <c r="E3313" s="71" t="s">
        <v>1615</v>
      </c>
      <c r="F3313" s="71"/>
      <c r="G3313" s="73" t="s">
        <v>1752</v>
      </c>
    </row>
    <row r="3314" spans="2:7" x14ac:dyDescent="0.15">
      <c r="B3314" s="299"/>
      <c r="C3314" s="69" t="s">
        <v>1753</v>
      </c>
      <c r="D3314" s="70">
        <f>VLOOKUP(C3314,基本字段定义!$B$3:$C$3013,2,FALSE)</f>
        <v>9123</v>
      </c>
      <c r="E3314" s="71" t="s">
        <v>1615</v>
      </c>
      <c r="F3314" s="71"/>
      <c r="G3314" s="73" t="s">
        <v>1754</v>
      </c>
    </row>
    <row r="3315" spans="2:7" x14ac:dyDescent="0.15">
      <c r="B3315" s="299"/>
      <c r="C3315" s="69" t="s">
        <v>1314</v>
      </c>
      <c r="D3315" s="70">
        <f>VLOOKUP(C3315,基本字段定义!$B$3:$C$3013,2,FALSE)</f>
        <v>9281</v>
      </c>
      <c r="E3315" s="71" t="s">
        <v>1615</v>
      </c>
      <c r="F3315" s="71"/>
      <c r="G3315" s="73" t="s">
        <v>1755</v>
      </c>
    </row>
    <row r="3316" spans="2:7" x14ac:dyDescent="0.15">
      <c r="B3316" s="299"/>
      <c r="C3316" s="69" t="s">
        <v>1305</v>
      </c>
      <c r="D3316" s="70">
        <f>VLOOKUP(C3316,基本字段定义!$B$3:$C$3013,2,FALSE)</f>
        <v>1075</v>
      </c>
      <c r="E3316" s="71" t="s">
        <v>1615</v>
      </c>
      <c r="F3316" s="71"/>
      <c r="G3316" s="73" t="s">
        <v>1756</v>
      </c>
    </row>
    <row r="3317" spans="2:7" x14ac:dyDescent="0.15">
      <c r="B3317" s="299"/>
      <c r="C3317" s="69" t="s">
        <v>1324</v>
      </c>
      <c r="D3317" s="70">
        <f>VLOOKUP(C3317,基本字段定义!$B$3:$C$3013,2,FALSE)</f>
        <v>989</v>
      </c>
      <c r="E3317" s="71" t="s">
        <v>1615</v>
      </c>
      <c r="F3317" s="71"/>
      <c r="G3317" s="73" t="s">
        <v>1325</v>
      </c>
    </row>
    <row r="3318" spans="2:7" x14ac:dyDescent="0.15">
      <c r="B3318" s="299"/>
      <c r="C3318" s="69" t="s">
        <v>1326</v>
      </c>
      <c r="D3318" s="70">
        <f>VLOOKUP(C3318,基本字段定义!$B$3:$C$3013,2,FALSE)</f>
        <v>990</v>
      </c>
      <c r="E3318" s="71" t="s">
        <v>1615</v>
      </c>
      <c r="F3318" s="71"/>
      <c r="G3318" s="73" t="s">
        <v>1327</v>
      </c>
    </row>
    <row r="3319" spans="2:7" x14ac:dyDescent="0.15">
      <c r="B3319" s="300"/>
      <c r="C3319" s="91" t="s">
        <v>1318</v>
      </c>
      <c r="D3319" s="70">
        <f>VLOOKUP(C3319,基本字段定义!$B$3:$C$3013,2,FALSE)</f>
        <v>1320</v>
      </c>
      <c r="E3319" s="71" t="s">
        <v>1615</v>
      </c>
      <c r="F3319" s="92"/>
      <c r="G3319" s="94" t="s">
        <v>1319</v>
      </c>
    </row>
    <row r="3320" spans="2:7" x14ac:dyDescent="0.15">
      <c r="B3320" s="300"/>
      <c r="C3320" s="91" t="s">
        <v>1757</v>
      </c>
      <c r="D3320" s="70">
        <f>VLOOKUP(C3320,基本字段定义!$B$3:$C$3013,2,FALSE)</f>
        <v>9121</v>
      </c>
      <c r="E3320" s="71" t="s">
        <v>1615</v>
      </c>
      <c r="F3320" s="92"/>
      <c r="G3320" s="94" t="s">
        <v>1313</v>
      </c>
    </row>
    <row r="3321" spans="2:7" x14ac:dyDescent="0.15">
      <c r="B3321" s="300"/>
      <c r="C3321" s="91" t="s">
        <v>1309</v>
      </c>
      <c r="D3321" s="70">
        <f>VLOOKUP(C3321,基本字段定义!$B$3:$C$3013,2,FALSE)</f>
        <v>2508</v>
      </c>
      <c r="E3321" s="71" t="s">
        <v>1615</v>
      </c>
      <c r="F3321" s="92"/>
      <c r="G3321" s="94" t="s">
        <v>1758</v>
      </c>
    </row>
    <row r="3322" spans="2:7" x14ac:dyDescent="0.15">
      <c r="B3322" s="300"/>
      <c r="C3322" s="91" t="s">
        <v>1759</v>
      </c>
      <c r="D3322" s="70">
        <f>VLOOKUP(C3322,基本字段定义!$B$3:$C$3013,2,FALSE)</f>
        <v>4146</v>
      </c>
      <c r="E3322" s="71" t="s">
        <v>1615</v>
      </c>
      <c r="F3322" s="92"/>
      <c r="G3322" s="94" t="s">
        <v>1760</v>
      </c>
    </row>
    <row r="3323" spans="2:7" x14ac:dyDescent="0.15">
      <c r="B3323" s="300"/>
      <c r="C3323" s="91" t="s">
        <v>1307</v>
      </c>
      <c r="D3323" s="70">
        <f>VLOOKUP(C3323,基本字段定义!$B$3:$C$3013,2,FALSE)</f>
        <v>1076</v>
      </c>
      <c r="E3323" s="71" t="s">
        <v>1615</v>
      </c>
      <c r="F3323" s="92"/>
      <c r="G3323" s="94" t="s">
        <v>1761</v>
      </c>
    </row>
    <row r="3324" spans="2:7" x14ac:dyDescent="0.15">
      <c r="B3324" s="300"/>
      <c r="C3324" s="91" t="s">
        <v>1328</v>
      </c>
      <c r="D3324" s="70">
        <f>VLOOKUP(C3324,基本字段定义!$B$3:$C$3013,2,FALSE)</f>
        <v>991</v>
      </c>
      <c r="E3324" s="71" t="s">
        <v>1615</v>
      </c>
      <c r="F3324" s="92"/>
      <c r="G3324" s="94" t="s">
        <v>1762</v>
      </c>
    </row>
    <row r="3325" spans="2:7" ht="14.25" thickBot="1" x14ac:dyDescent="0.2">
      <c r="B3325" s="304"/>
      <c r="C3325" s="75" t="s">
        <v>1330</v>
      </c>
      <c r="D3325" s="83">
        <f>VLOOKUP(C3325,基本字段定义!$B$3:$C$3013,2,FALSE)</f>
        <v>992</v>
      </c>
      <c r="E3325" s="77" t="s">
        <v>1615</v>
      </c>
      <c r="F3325" s="77"/>
      <c r="G3325" s="78" t="s">
        <v>1331</v>
      </c>
    </row>
    <row r="3327" spans="2:7" x14ac:dyDescent="0.15">
      <c r="B3327" s="57" t="s">
        <v>163</v>
      </c>
      <c r="C3327" s="84">
        <v>304230</v>
      </c>
      <c r="D3327" s="85"/>
      <c r="E3327" s="86"/>
      <c r="F3327" s="58" t="s">
        <v>352</v>
      </c>
      <c r="G3327" s="59"/>
    </row>
    <row r="3328" spans="2:7" x14ac:dyDescent="0.15">
      <c r="B3328" s="60" t="s">
        <v>353</v>
      </c>
      <c r="C3328" s="87" t="str">
        <f>VLOOKUP(C3327,功能索引!$C$3:$D$278,2,FALSE)</f>
        <v>查询客户配售权益</v>
      </c>
      <c r="D3328" s="88"/>
      <c r="E3328" s="89"/>
      <c r="F3328" s="61" t="s">
        <v>165</v>
      </c>
      <c r="G3328" s="62" t="str">
        <f>VLOOKUP(C3327,功能索引!$C$3:$E3487,3,FALSE)</f>
        <v>Y</v>
      </c>
    </row>
    <row r="3329" spans="2:7" x14ac:dyDescent="0.15">
      <c r="B3329" s="299" t="s">
        <v>354</v>
      </c>
      <c r="C3329" s="99"/>
      <c r="D3329" s="100"/>
      <c r="E3329" s="100"/>
      <c r="F3329" s="100"/>
      <c r="G3329" s="101"/>
    </row>
    <row r="3330" spans="2:7" ht="14.25" thickBot="1" x14ac:dyDescent="0.2">
      <c r="B3330" s="304"/>
      <c r="C3330" s="102"/>
      <c r="D3330" s="103"/>
      <c r="E3330" s="103"/>
      <c r="F3330" s="103"/>
      <c r="G3330" s="104"/>
    </row>
    <row r="3331" spans="2:7" x14ac:dyDescent="0.15">
      <c r="B3331" s="298" t="s">
        <v>355</v>
      </c>
      <c r="C3331" s="58" t="s">
        <v>356</v>
      </c>
      <c r="D3331" s="58" t="s">
        <v>357</v>
      </c>
      <c r="E3331" s="58" t="s">
        <v>358</v>
      </c>
      <c r="F3331" s="58" t="s">
        <v>359</v>
      </c>
      <c r="G3331" s="64" t="s">
        <v>360</v>
      </c>
    </row>
    <row r="3332" spans="2:7" x14ac:dyDescent="0.15">
      <c r="B3332" s="299"/>
      <c r="C3332" s="65" t="s">
        <v>387</v>
      </c>
      <c r="D3332" s="66">
        <f>VLOOKUP(C3332,基本字段定义!$B$3:$C$3013,2,FALSE)</f>
        <v>599</v>
      </c>
      <c r="E3332" s="67" t="s">
        <v>365</v>
      </c>
      <c r="F3332" s="67"/>
      <c r="G3332" s="68" t="s">
        <v>389</v>
      </c>
    </row>
    <row r="3333" spans="2:7" x14ac:dyDescent="0.15">
      <c r="B3333" s="299"/>
      <c r="C3333" s="65" t="s">
        <v>431</v>
      </c>
      <c r="D3333" s="66">
        <f>VLOOKUP(C3333,基本字段定义!$B$3:$C$3013,2,FALSE)</f>
        <v>571</v>
      </c>
      <c r="E3333" s="67" t="s">
        <v>365</v>
      </c>
      <c r="F3333" s="67"/>
      <c r="G3333" s="68" t="s">
        <v>433</v>
      </c>
    </row>
    <row r="3334" spans="2:7" x14ac:dyDescent="0.15">
      <c r="B3334" s="299"/>
      <c r="C3334" s="65" t="s">
        <v>666</v>
      </c>
      <c r="D3334" s="66">
        <f>VLOOKUP(C3334,基本字段定义!$B$3:$C$3013,2,FALSE)</f>
        <v>719</v>
      </c>
      <c r="E3334" s="67" t="s">
        <v>365</v>
      </c>
      <c r="F3334" s="67"/>
      <c r="G3334" s="68" t="s">
        <v>683</v>
      </c>
    </row>
    <row r="3335" spans="2:7" x14ac:dyDescent="0.15">
      <c r="B3335" s="299"/>
      <c r="C3335" s="65" t="s">
        <v>428</v>
      </c>
      <c r="D3335" s="66">
        <f>VLOOKUP(C3335,基本字段定义!$B$3:$C$3013,2,FALSE)</f>
        <v>605</v>
      </c>
      <c r="E3335" s="67" t="s">
        <v>365</v>
      </c>
      <c r="F3335" s="67"/>
      <c r="G3335" s="68" t="s">
        <v>430</v>
      </c>
    </row>
    <row r="3336" spans="2:7" x14ac:dyDescent="0.15">
      <c r="B3336" s="299"/>
      <c r="C3336" s="65" t="s">
        <v>550</v>
      </c>
      <c r="D3336" s="66">
        <f>VLOOKUP(C3336,基本字段定义!$B$3:$C$3013,2,FALSE)</f>
        <v>511</v>
      </c>
      <c r="E3336" s="67" t="s">
        <v>365</v>
      </c>
      <c r="F3336" s="67"/>
      <c r="G3336" s="68" t="s">
        <v>551</v>
      </c>
    </row>
    <row r="3337" spans="2:7" x14ac:dyDescent="0.15">
      <c r="B3337" s="299"/>
      <c r="C3337" s="65" t="s">
        <v>1763</v>
      </c>
      <c r="D3337" s="66">
        <f>VLOOKUP(C3337,基本字段定义!$B$3:$C$3013,2,FALSE)</f>
        <v>558</v>
      </c>
      <c r="E3337" s="67" t="s">
        <v>365</v>
      </c>
      <c r="F3337" s="67"/>
      <c r="G3337" s="68" t="s">
        <v>1764</v>
      </c>
    </row>
    <row r="3338" spans="2:7" x14ac:dyDescent="0.15">
      <c r="B3338" s="299"/>
      <c r="C3338" s="65" t="s">
        <v>1371</v>
      </c>
      <c r="D3338" s="66">
        <f>VLOOKUP(C3338,基本字段定义!$B$3:$C$3013,2,FALSE)</f>
        <v>557</v>
      </c>
      <c r="E3338" s="67" t="s">
        <v>365</v>
      </c>
      <c r="F3338" s="67"/>
      <c r="G3338" s="68" t="s">
        <v>1372</v>
      </c>
    </row>
    <row r="3339" spans="2:7" x14ac:dyDescent="0.15">
      <c r="B3339" s="300" t="s">
        <v>361</v>
      </c>
      <c r="C3339" s="91" t="s">
        <v>362</v>
      </c>
      <c r="D3339" s="70">
        <f>VLOOKUP(C3339,基本字段定义!$B$3:$C$3013,2,FALSE)</f>
        <v>507</v>
      </c>
      <c r="E3339" s="92" t="s">
        <v>365</v>
      </c>
      <c r="F3339" s="93"/>
      <c r="G3339" s="94" t="s">
        <v>1262</v>
      </c>
    </row>
    <row r="3340" spans="2:7" x14ac:dyDescent="0.15">
      <c r="B3340" s="301"/>
      <c r="C3340" s="69" t="s">
        <v>364</v>
      </c>
      <c r="D3340" s="70">
        <f>VLOOKUP(C3340,基本字段定义!$B$3:$C$3013,2,FALSE)</f>
        <v>508</v>
      </c>
      <c r="E3340" s="71" t="s">
        <v>365</v>
      </c>
      <c r="F3340" s="70"/>
      <c r="G3340" s="73" t="s">
        <v>1651</v>
      </c>
    </row>
    <row r="3341" spans="2:7" x14ac:dyDescent="0.15">
      <c r="B3341" s="301"/>
      <c r="C3341" s="152" t="s">
        <v>428</v>
      </c>
      <c r="D3341" s="70">
        <f>VLOOKUP(C3341,基本字段定义!$B$3:$C$3013,2,FALSE)</f>
        <v>605</v>
      </c>
      <c r="E3341" s="149" t="s">
        <v>365</v>
      </c>
      <c r="F3341" s="149"/>
      <c r="G3341" s="153" t="s">
        <v>430</v>
      </c>
    </row>
    <row r="3342" spans="2:7" x14ac:dyDescent="0.15">
      <c r="B3342" s="301"/>
      <c r="C3342" s="91" t="s">
        <v>399</v>
      </c>
      <c r="D3342" s="70">
        <f>VLOOKUP(C3342,基本字段定义!$B$3:$C$3013,2,FALSE)</f>
        <v>697</v>
      </c>
      <c r="E3342" s="92" t="s">
        <v>365</v>
      </c>
      <c r="F3342" s="92"/>
      <c r="G3342" s="154" t="s">
        <v>400</v>
      </c>
    </row>
    <row r="3343" spans="2:7" x14ac:dyDescent="0.15">
      <c r="B3343" s="301"/>
      <c r="C3343" s="91" t="s">
        <v>666</v>
      </c>
      <c r="D3343" s="70">
        <f>VLOOKUP(C3343,基本字段定义!$B$3:$C$3013,2,FALSE)</f>
        <v>719</v>
      </c>
      <c r="E3343" s="92" t="s">
        <v>365</v>
      </c>
      <c r="F3343" s="92"/>
      <c r="G3343" s="154" t="s">
        <v>1765</v>
      </c>
    </row>
    <row r="3344" spans="2:7" x14ac:dyDescent="0.15">
      <c r="B3344" s="301"/>
      <c r="C3344" s="91" t="s">
        <v>431</v>
      </c>
      <c r="D3344" s="70">
        <f>VLOOKUP(C3344,基本字段定义!$B$3:$C$3013,2,FALSE)</f>
        <v>571</v>
      </c>
      <c r="E3344" s="92" t="s">
        <v>365</v>
      </c>
      <c r="F3344" s="92"/>
      <c r="G3344" s="154" t="s">
        <v>433</v>
      </c>
    </row>
    <row r="3345" spans="2:7" x14ac:dyDescent="0.15">
      <c r="B3345" s="301"/>
      <c r="C3345" s="91" t="s">
        <v>387</v>
      </c>
      <c r="D3345" s="70">
        <f>VLOOKUP(C3345,基本字段定义!$B$3:$C$3013,2,FALSE)</f>
        <v>599</v>
      </c>
      <c r="E3345" s="92" t="s">
        <v>365</v>
      </c>
      <c r="F3345" s="92"/>
      <c r="G3345" s="154" t="s">
        <v>389</v>
      </c>
    </row>
    <row r="3346" spans="2:7" x14ac:dyDescent="0.15">
      <c r="B3346" s="301"/>
      <c r="C3346" s="91" t="s">
        <v>550</v>
      </c>
      <c r="D3346" s="70">
        <f>VLOOKUP(C3346,基本字段定义!$B$3:$C$3013,2,FALSE)</f>
        <v>511</v>
      </c>
      <c r="E3346" s="92" t="s">
        <v>365</v>
      </c>
      <c r="F3346" s="92"/>
      <c r="G3346" s="154" t="s">
        <v>551</v>
      </c>
    </row>
    <row r="3347" spans="2:7" x14ac:dyDescent="0.15">
      <c r="B3347" s="301"/>
      <c r="C3347" s="91" t="s">
        <v>685</v>
      </c>
      <c r="D3347" s="70">
        <f>VLOOKUP(C3347,基本字段定义!$B$3:$C$3013,2,FALSE)</f>
        <v>722</v>
      </c>
      <c r="E3347" s="92" t="s">
        <v>365</v>
      </c>
      <c r="F3347" s="92"/>
      <c r="G3347" s="154" t="s">
        <v>686</v>
      </c>
    </row>
    <row r="3348" spans="2:7" x14ac:dyDescent="0.15">
      <c r="B3348" s="301"/>
      <c r="C3348" s="91" t="s">
        <v>796</v>
      </c>
      <c r="D3348" s="70">
        <f>VLOOKUP(C3348,基本字段定义!$B$3:$C$3013,2,FALSE)</f>
        <v>724</v>
      </c>
      <c r="E3348" s="92" t="s">
        <v>365</v>
      </c>
      <c r="F3348" s="92"/>
      <c r="G3348" s="154" t="s">
        <v>1766</v>
      </c>
    </row>
    <row r="3349" spans="2:7" x14ac:dyDescent="0.15">
      <c r="B3349" s="301"/>
      <c r="C3349" s="91" t="s">
        <v>1767</v>
      </c>
      <c r="D3349" s="70">
        <f>VLOOKUP(C3349,基本字段定义!$B$3:$C$3013,2,FALSE)</f>
        <v>9271</v>
      </c>
      <c r="E3349" s="92" t="s">
        <v>365</v>
      </c>
      <c r="F3349" s="92"/>
      <c r="G3349" s="154" t="s">
        <v>1768</v>
      </c>
    </row>
    <row r="3350" spans="2:7" ht="14.25" thickBot="1" x14ac:dyDescent="0.2">
      <c r="B3350" s="305"/>
      <c r="C3350" s="75"/>
      <c r="D3350" s="83"/>
      <c r="E3350" s="77"/>
      <c r="F3350" s="77"/>
      <c r="G3350" s="78"/>
    </row>
    <row r="3352" spans="2:7" x14ac:dyDescent="0.15">
      <c r="B3352" s="57" t="s">
        <v>163</v>
      </c>
      <c r="C3352" s="84">
        <v>204550</v>
      </c>
      <c r="D3352" s="85"/>
      <c r="E3352" s="86"/>
      <c r="F3352" s="58" t="s">
        <v>352</v>
      </c>
      <c r="G3352" s="59"/>
    </row>
    <row r="3353" spans="2:7" x14ac:dyDescent="0.15">
      <c r="B3353" s="60" t="s">
        <v>353</v>
      </c>
      <c r="C3353" s="87" t="str">
        <f>VLOOKUP(C3352,功能索引!$C$3:$D$278,2,FALSE)</f>
        <v>综合业务委托之质押质押快速微贷</v>
      </c>
      <c r="D3353" s="88"/>
      <c r="E3353" s="89"/>
      <c r="F3353" s="61" t="s">
        <v>397</v>
      </c>
      <c r="G3353" s="62">
        <f>VLOOKUP(C3352,功能索引!$C$3:$E3512,3,FALSE)</f>
        <v>0</v>
      </c>
    </row>
    <row r="3354" spans="2:7" x14ac:dyDescent="0.15">
      <c r="B3354" s="299" t="s">
        <v>354</v>
      </c>
      <c r="C3354" s="99"/>
      <c r="D3354" s="100"/>
      <c r="E3354" s="100"/>
      <c r="F3354" s="100"/>
      <c r="G3354" s="101"/>
    </row>
    <row r="3355" spans="2:7" ht="14.25" thickBot="1" x14ac:dyDescent="0.2">
      <c r="B3355" s="304"/>
      <c r="C3355" s="102"/>
      <c r="D3355" s="103"/>
      <c r="E3355" s="103"/>
      <c r="F3355" s="103"/>
      <c r="G3355" s="104"/>
    </row>
    <row r="3356" spans="2:7" x14ac:dyDescent="0.15">
      <c r="B3356" s="298" t="s">
        <v>355</v>
      </c>
      <c r="C3356" s="58" t="s">
        <v>356</v>
      </c>
      <c r="D3356" s="58" t="s">
        <v>357</v>
      </c>
      <c r="E3356" s="58" t="s">
        <v>358</v>
      </c>
      <c r="F3356" s="58" t="s">
        <v>359</v>
      </c>
      <c r="G3356" s="64" t="s">
        <v>360</v>
      </c>
    </row>
    <row r="3357" spans="2:7" x14ac:dyDescent="0.15">
      <c r="B3357" s="299"/>
      <c r="C3357" s="65" t="s">
        <v>387</v>
      </c>
      <c r="D3357" s="66">
        <f>VLOOKUP(C3357,基本字段定义!$B$3:$C$3013,2,FALSE)</f>
        <v>599</v>
      </c>
      <c r="E3357" s="67" t="s">
        <v>365</v>
      </c>
      <c r="F3357" s="67" t="s">
        <v>169</v>
      </c>
      <c r="G3357" s="68" t="s">
        <v>389</v>
      </c>
    </row>
    <row r="3358" spans="2:7" x14ac:dyDescent="0.15">
      <c r="B3358" s="299"/>
      <c r="C3358" s="65" t="s">
        <v>431</v>
      </c>
      <c r="D3358" s="66">
        <f>VLOOKUP(C3358,基本字段定义!$B$3:$C$3013,2,FALSE)</f>
        <v>571</v>
      </c>
      <c r="E3358" s="67" t="s">
        <v>365</v>
      </c>
      <c r="F3358" s="67" t="s">
        <v>169</v>
      </c>
      <c r="G3358" s="68" t="s">
        <v>433</v>
      </c>
    </row>
    <row r="3359" spans="2:7" x14ac:dyDescent="0.15">
      <c r="B3359" s="299"/>
      <c r="C3359" s="65" t="s">
        <v>666</v>
      </c>
      <c r="D3359" s="66">
        <f>VLOOKUP(C3359,基本字段定义!$B$3:$C$3013,2,FALSE)</f>
        <v>719</v>
      </c>
      <c r="E3359" s="67" t="s">
        <v>365</v>
      </c>
      <c r="F3359" s="67"/>
      <c r="G3359" s="68" t="s">
        <v>1769</v>
      </c>
    </row>
    <row r="3360" spans="2:7" x14ac:dyDescent="0.15">
      <c r="B3360" s="299"/>
      <c r="C3360" s="65" t="s">
        <v>428</v>
      </c>
      <c r="D3360" s="66">
        <f>VLOOKUP(C3360,基本字段定义!$B$3:$C$3013,2,FALSE)</f>
        <v>605</v>
      </c>
      <c r="E3360" s="67" t="s">
        <v>365</v>
      </c>
      <c r="F3360" s="67" t="s">
        <v>169</v>
      </c>
      <c r="G3360" s="68" t="s">
        <v>430</v>
      </c>
    </row>
    <row r="3361" spans="2:7" ht="60" customHeight="1" x14ac:dyDescent="0.15">
      <c r="B3361" s="299"/>
      <c r="C3361" s="65" t="s">
        <v>1146</v>
      </c>
      <c r="D3361" s="66">
        <f>VLOOKUP(C3361,基本字段定义!$B$3:$C$3013,2,FALSE)</f>
        <v>1077</v>
      </c>
      <c r="E3361" s="67" t="s">
        <v>365</v>
      </c>
      <c r="F3361" s="67"/>
      <c r="G3361" s="90" t="s">
        <v>1770</v>
      </c>
    </row>
    <row r="3362" spans="2:7" ht="25.5" x14ac:dyDescent="0.15">
      <c r="B3362" s="299"/>
      <c r="C3362" s="65" t="s">
        <v>875</v>
      </c>
      <c r="D3362" s="66">
        <f>VLOOKUP(C3362,基本字段定义!$B$3:$C$3013,2,FALSE)</f>
        <v>595</v>
      </c>
      <c r="E3362" s="67" t="s">
        <v>365</v>
      </c>
      <c r="F3362" s="67"/>
      <c r="G3362" s="90" t="s">
        <v>1771</v>
      </c>
    </row>
    <row r="3363" spans="2:7" x14ac:dyDescent="0.15">
      <c r="B3363" s="299"/>
      <c r="C3363" s="65" t="s">
        <v>810</v>
      </c>
      <c r="D3363" s="66">
        <f>VLOOKUP(C3363,基本字段定义!$B$3:$C$3013,2,FALSE)</f>
        <v>684</v>
      </c>
      <c r="E3363" s="67" t="s">
        <v>424</v>
      </c>
      <c r="F3363" s="67"/>
      <c r="G3363" s="90" t="s">
        <v>1772</v>
      </c>
    </row>
    <row r="3364" spans="2:7" x14ac:dyDescent="0.15">
      <c r="B3364" s="299"/>
      <c r="C3364" s="65" t="s">
        <v>1587</v>
      </c>
      <c r="D3364" s="66">
        <f>VLOOKUP(C3364,基本字段定义!$B$3:$C$3013,2,FALSE)</f>
        <v>3609</v>
      </c>
      <c r="E3364" s="67" t="s">
        <v>363</v>
      </c>
      <c r="F3364" s="67" t="s">
        <v>169</v>
      </c>
      <c r="G3364" s="90" t="s">
        <v>1588</v>
      </c>
    </row>
    <row r="3365" spans="2:7" x14ac:dyDescent="0.15">
      <c r="B3365" s="299"/>
      <c r="C3365" s="65" t="s">
        <v>1607</v>
      </c>
      <c r="D3365" s="66">
        <f>VLOOKUP(C3365,基本字段定义!$B$3:$C$3013,2,FALSE)</f>
        <v>1756</v>
      </c>
      <c r="E3365" s="67" t="s">
        <v>365</v>
      </c>
      <c r="F3365" s="67" t="s">
        <v>169</v>
      </c>
      <c r="G3365" s="90" t="s">
        <v>1608</v>
      </c>
    </row>
    <row r="3366" spans="2:7" x14ac:dyDescent="0.15">
      <c r="B3366" s="299"/>
      <c r="C3366" s="65" t="s">
        <v>463</v>
      </c>
      <c r="D3366" s="66">
        <f>VLOOKUP(C3366,基本字段定义!$B$3:$C$3013,2,FALSE)</f>
        <v>680</v>
      </c>
      <c r="E3366" s="67" t="s">
        <v>363</v>
      </c>
      <c r="F3366" s="67"/>
      <c r="G3366" s="90" t="s">
        <v>1773</v>
      </c>
    </row>
    <row r="3367" spans="2:7" x14ac:dyDescent="0.15">
      <c r="B3367" s="299"/>
      <c r="C3367" s="65" t="s">
        <v>1774</v>
      </c>
      <c r="D3367" s="66">
        <f>VLOOKUP(C3367,基本字段定义!$B$3:$C$3013,2,FALSE)</f>
        <v>564</v>
      </c>
      <c r="E3367" s="67" t="s">
        <v>365</v>
      </c>
      <c r="F3367" s="67"/>
      <c r="G3367" s="90" t="s">
        <v>1775</v>
      </c>
    </row>
    <row r="3368" spans="2:7" x14ac:dyDescent="0.15">
      <c r="B3368" s="299"/>
      <c r="C3368" s="65" t="s">
        <v>458</v>
      </c>
      <c r="D3368" s="66">
        <f>VLOOKUP(C3368,基本字段定义!$B$3:$C$3013,2,FALSE)</f>
        <v>988</v>
      </c>
      <c r="E3368" s="67" t="s">
        <v>365</v>
      </c>
      <c r="F3368" s="67"/>
      <c r="G3368" s="90" t="s">
        <v>1776</v>
      </c>
    </row>
    <row r="3369" spans="2:7" x14ac:dyDescent="0.15">
      <c r="B3369" s="299"/>
      <c r="C3369" s="65" t="s">
        <v>1777</v>
      </c>
      <c r="D3369" s="66">
        <f>VLOOKUP(C3369,基本字段定义!$B$3:$C$3013,2,FALSE)</f>
        <v>1350</v>
      </c>
      <c r="E3369" s="67" t="s">
        <v>365</v>
      </c>
      <c r="F3369" s="67"/>
      <c r="G3369" s="90" t="s">
        <v>1778</v>
      </c>
    </row>
    <row r="3370" spans="2:7" x14ac:dyDescent="0.15">
      <c r="B3370" s="299"/>
      <c r="C3370" s="65" t="s">
        <v>1120</v>
      </c>
      <c r="D3370" s="66">
        <f>VLOOKUP(C3370,基本字段定义!$B$3:$C$3013,2,FALSE)</f>
        <v>9132</v>
      </c>
      <c r="E3370" s="67" t="s">
        <v>563</v>
      </c>
      <c r="F3370" s="67"/>
      <c r="G3370" s="90" t="s">
        <v>1779</v>
      </c>
    </row>
    <row r="3371" spans="2:7" x14ac:dyDescent="0.15">
      <c r="B3371" s="300" t="s">
        <v>361</v>
      </c>
      <c r="C3371" s="91" t="s">
        <v>709</v>
      </c>
      <c r="D3371" s="70">
        <f>VLOOKUP(C3371,基本字段定义!$B$3:$C$3013,2,FALSE)</f>
        <v>524</v>
      </c>
      <c r="E3371" s="92" t="s">
        <v>365</v>
      </c>
      <c r="F3371" s="93"/>
      <c r="G3371" s="94" t="s">
        <v>1780</v>
      </c>
    </row>
    <row r="3372" spans="2:7" x14ac:dyDescent="0.15">
      <c r="B3372" s="301"/>
      <c r="C3372" s="91" t="s">
        <v>1301</v>
      </c>
      <c r="D3372" s="70">
        <f>VLOOKUP(C3372,基本字段定义!$B$3:$C$3013,2,FALSE)</f>
        <v>621</v>
      </c>
      <c r="E3372" s="92" t="s">
        <v>365</v>
      </c>
      <c r="F3372" s="93"/>
      <c r="G3372" s="94" t="s">
        <v>1419</v>
      </c>
    </row>
    <row r="3373" spans="2:7" x14ac:dyDescent="0.15">
      <c r="B3373" s="301"/>
      <c r="C3373" s="91" t="s">
        <v>1361</v>
      </c>
      <c r="D3373" s="70">
        <f>VLOOKUP(C3373,基本字段定义!$B$3:$C$3013,2,FALSE)</f>
        <v>1430</v>
      </c>
      <c r="E3373" s="92" t="s">
        <v>365</v>
      </c>
      <c r="F3373" s="93"/>
      <c r="G3373" s="94" t="s">
        <v>1781</v>
      </c>
    </row>
    <row r="3374" spans="2:7" x14ac:dyDescent="0.15">
      <c r="B3374" s="301"/>
      <c r="C3374" s="91" t="s">
        <v>1557</v>
      </c>
      <c r="D3374" s="70">
        <f>VLOOKUP(C3374,基本字段定义!$B$3:$C$3013,2,FALSE)</f>
        <v>1248</v>
      </c>
      <c r="E3374" s="92" t="s">
        <v>365</v>
      </c>
      <c r="F3374" s="93"/>
      <c r="G3374" s="94" t="s">
        <v>1522</v>
      </c>
    </row>
    <row r="3375" spans="2:7" x14ac:dyDescent="0.15">
      <c r="B3375" s="301"/>
      <c r="C3375" s="91" t="s">
        <v>1611</v>
      </c>
      <c r="D3375" s="70">
        <f>VLOOKUP(C3375,基本字段定义!$B$3:$C$3013,2,FALSE)</f>
        <v>1951</v>
      </c>
      <c r="E3375" s="92" t="s">
        <v>365</v>
      </c>
      <c r="F3375" s="93"/>
      <c r="G3375" s="94" t="s">
        <v>1782</v>
      </c>
    </row>
    <row r="3376" spans="2:7" x14ac:dyDescent="0.15">
      <c r="B3376" s="301"/>
      <c r="C3376" s="91" t="s">
        <v>1783</v>
      </c>
      <c r="D3376" s="70">
        <f>VLOOKUP(C3376,基本字段定义!$B$3:$C$3013,2,FALSE)</f>
        <v>1260</v>
      </c>
      <c r="E3376" s="92" t="s">
        <v>365</v>
      </c>
      <c r="F3376" s="93"/>
      <c r="G3376" s="94" t="s">
        <v>1784</v>
      </c>
    </row>
    <row r="3377" spans="2:7" x14ac:dyDescent="0.15">
      <c r="B3377" s="301"/>
      <c r="C3377" s="91" t="s">
        <v>362</v>
      </c>
      <c r="D3377" s="70">
        <f>VLOOKUP(C3377,基本字段定义!$B$3:$C$3013,2,FALSE)</f>
        <v>507</v>
      </c>
      <c r="E3377" s="92" t="s">
        <v>365</v>
      </c>
      <c r="F3377" s="93"/>
      <c r="G3377" s="94" t="s">
        <v>1262</v>
      </c>
    </row>
    <row r="3378" spans="2:7" x14ac:dyDescent="0.15">
      <c r="B3378" s="301"/>
      <c r="C3378" s="69" t="s">
        <v>364</v>
      </c>
      <c r="D3378" s="70">
        <f>VLOOKUP(C3378,基本字段定义!$B$3:$C$3013,2,FALSE)</f>
        <v>508</v>
      </c>
      <c r="E3378" s="71" t="s">
        <v>365</v>
      </c>
      <c r="F3378" s="70"/>
      <c r="G3378" s="73" t="s">
        <v>1651</v>
      </c>
    </row>
    <row r="3379" spans="2:7" ht="14.25" thickBot="1" x14ac:dyDescent="0.2">
      <c r="B3379" s="305"/>
      <c r="C3379" s="75" t="s">
        <v>916</v>
      </c>
      <c r="D3379" s="83">
        <f>VLOOKUP(C3379,基本字段定义!$B$3:$C$3013,2,FALSE)</f>
        <v>681</v>
      </c>
      <c r="E3379" s="77"/>
      <c r="F3379" s="77"/>
      <c r="G3379" s="78" t="s">
        <v>918</v>
      </c>
    </row>
    <row r="3381" spans="2:7" x14ac:dyDescent="0.15">
      <c r="B3381" s="57" t="s">
        <v>163</v>
      </c>
      <c r="C3381" s="84">
        <v>204588</v>
      </c>
      <c r="D3381" s="85"/>
      <c r="E3381" s="86"/>
      <c r="F3381" s="58" t="s">
        <v>352</v>
      </c>
      <c r="G3381" s="59"/>
    </row>
    <row r="3382" spans="2:7" x14ac:dyDescent="0.15">
      <c r="B3382" s="60" t="s">
        <v>353</v>
      </c>
      <c r="C3382" s="87" t="str">
        <f>VLOOKUP(C3381,功能索引!$C$3:$D$278,2,FALSE)</f>
        <v>查询质押回购协议信息</v>
      </c>
      <c r="D3382" s="88"/>
      <c r="E3382" s="89"/>
      <c r="F3382" s="61" t="s">
        <v>397</v>
      </c>
      <c r="G3382" s="62" t="str">
        <f>VLOOKUP(C3381,功能索引!$C$3:$E3532,3,FALSE)</f>
        <v>Y</v>
      </c>
    </row>
    <row r="3383" spans="2:7" x14ac:dyDescent="0.15">
      <c r="B3383" s="299" t="s">
        <v>354</v>
      </c>
      <c r="C3383" s="99"/>
      <c r="D3383" s="100"/>
      <c r="E3383" s="100"/>
      <c r="F3383" s="100"/>
      <c r="G3383" s="101"/>
    </row>
    <row r="3384" spans="2:7" ht="14.25" thickBot="1" x14ac:dyDescent="0.2">
      <c r="B3384" s="304"/>
      <c r="C3384" s="102"/>
      <c r="D3384" s="103"/>
      <c r="E3384" s="103"/>
      <c r="F3384" s="103"/>
      <c r="G3384" s="104"/>
    </row>
    <row r="3385" spans="2:7" x14ac:dyDescent="0.15">
      <c r="B3385" s="298" t="s">
        <v>355</v>
      </c>
      <c r="C3385" s="58" t="s">
        <v>356</v>
      </c>
      <c r="D3385" s="58" t="s">
        <v>357</v>
      </c>
      <c r="E3385" s="58" t="s">
        <v>358</v>
      </c>
      <c r="F3385" s="58" t="s">
        <v>359</v>
      </c>
      <c r="G3385" s="64" t="s">
        <v>360</v>
      </c>
    </row>
    <row r="3386" spans="2:7" x14ac:dyDescent="0.15">
      <c r="B3386" s="299"/>
      <c r="C3386" s="65" t="s">
        <v>666</v>
      </c>
      <c r="D3386" s="66">
        <f>VLOOKUP(C3386,基本字段定义!$B$3:$C$3013,2,FALSE)</f>
        <v>719</v>
      </c>
      <c r="E3386" s="67" t="s">
        <v>365</v>
      </c>
      <c r="F3386" s="67"/>
      <c r="G3386" s="68" t="s">
        <v>683</v>
      </c>
    </row>
    <row r="3387" spans="2:7" x14ac:dyDescent="0.15">
      <c r="B3387" s="299"/>
      <c r="C3387" s="65" t="s">
        <v>399</v>
      </c>
      <c r="D3387" s="66">
        <f>VLOOKUP(C3387,基本字段定义!$B$3:$C$3013,2,FALSE)</f>
        <v>697</v>
      </c>
      <c r="E3387" s="67" t="s">
        <v>365</v>
      </c>
      <c r="F3387" s="67"/>
      <c r="G3387" s="68" t="s">
        <v>1785</v>
      </c>
    </row>
    <row r="3388" spans="2:7" x14ac:dyDescent="0.15">
      <c r="B3388" s="299"/>
      <c r="C3388" s="65" t="s">
        <v>443</v>
      </c>
      <c r="D3388" s="66">
        <f>VLOOKUP(C3388,基本字段定义!$B$3:$C$3013,2,FALSE)</f>
        <v>610</v>
      </c>
      <c r="E3388" s="67" t="s">
        <v>365</v>
      </c>
      <c r="F3388" s="67"/>
      <c r="G3388" s="68" t="s">
        <v>1786</v>
      </c>
    </row>
    <row r="3389" spans="2:7" x14ac:dyDescent="0.15">
      <c r="B3389" s="299"/>
      <c r="C3389" s="65" t="s">
        <v>387</v>
      </c>
      <c r="D3389" s="66">
        <f>VLOOKUP(C3389,基本字段定义!$B$3:$C$3013,2,FALSE)</f>
        <v>599</v>
      </c>
      <c r="E3389" s="67" t="s">
        <v>365</v>
      </c>
      <c r="F3389" s="67"/>
      <c r="G3389" s="68" t="s">
        <v>389</v>
      </c>
    </row>
    <row r="3390" spans="2:7" x14ac:dyDescent="0.15">
      <c r="B3390" s="299"/>
      <c r="C3390" s="65" t="s">
        <v>428</v>
      </c>
      <c r="D3390" s="66">
        <f>VLOOKUP(C3390,基本字段定义!$B$3:$C$3013,2,FALSE)</f>
        <v>605</v>
      </c>
      <c r="E3390" s="67" t="s">
        <v>365</v>
      </c>
      <c r="F3390" s="67"/>
      <c r="G3390" s="68" t="s">
        <v>430</v>
      </c>
    </row>
    <row r="3391" spans="2:7" x14ac:dyDescent="0.15">
      <c r="B3391" s="299"/>
      <c r="C3391" s="65" t="s">
        <v>431</v>
      </c>
      <c r="D3391" s="66">
        <f>VLOOKUP(C3391,基本字段定义!$B$3:$C$3013,2,FALSE)</f>
        <v>571</v>
      </c>
      <c r="E3391" s="67" t="s">
        <v>365</v>
      </c>
      <c r="F3391" s="67"/>
      <c r="G3391" s="90" t="s">
        <v>433</v>
      </c>
    </row>
    <row r="3392" spans="2:7" x14ac:dyDescent="0.15">
      <c r="B3392" s="299"/>
      <c r="C3392" s="65" t="s">
        <v>759</v>
      </c>
      <c r="D3392" s="66">
        <f>VLOOKUP(C3392,基本字段定义!$B$3:$C$3013,2,FALSE)</f>
        <v>720</v>
      </c>
      <c r="E3392" s="67" t="s">
        <v>424</v>
      </c>
      <c r="F3392" s="67"/>
      <c r="G3392" s="90" t="s">
        <v>760</v>
      </c>
    </row>
    <row r="3393" spans="2:7" x14ac:dyDescent="0.15">
      <c r="B3393" s="299"/>
      <c r="C3393" s="65" t="s">
        <v>1587</v>
      </c>
      <c r="D3393" s="66">
        <f>VLOOKUP(C3393,基本字段定义!$B$3:$C$3013,2,FALSE)</f>
        <v>3609</v>
      </c>
      <c r="E3393" s="67" t="s">
        <v>363</v>
      </c>
      <c r="F3393" s="67" t="s">
        <v>169</v>
      </c>
      <c r="G3393" s="90" t="s">
        <v>1588</v>
      </c>
    </row>
    <row r="3394" spans="2:7" x14ac:dyDescent="0.15">
      <c r="B3394" s="299"/>
      <c r="C3394" s="65" t="s">
        <v>806</v>
      </c>
      <c r="D3394" s="66">
        <f>VLOOKUP(C3394,基本字段定义!$B$3:$C$3013,2,FALSE)</f>
        <v>683</v>
      </c>
      <c r="E3394" s="67" t="s">
        <v>365</v>
      </c>
      <c r="F3394" s="67"/>
      <c r="G3394" s="90" t="s">
        <v>1787</v>
      </c>
    </row>
    <row r="3395" spans="2:7" x14ac:dyDescent="0.15">
      <c r="B3395" s="299"/>
      <c r="C3395" s="65" t="s">
        <v>1146</v>
      </c>
      <c r="D3395" s="66">
        <f>VLOOKUP(C3395,基本字段定义!$B$3:$C$3013,2,FALSE)</f>
        <v>1077</v>
      </c>
      <c r="E3395" s="67" t="s">
        <v>424</v>
      </c>
      <c r="F3395" s="67"/>
      <c r="G3395" s="90" t="s">
        <v>1147</v>
      </c>
    </row>
    <row r="3396" spans="2:7" x14ac:dyDescent="0.15">
      <c r="B3396" s="299"/>
      <c r="C3396" s="65" t="s">
        <v>1720</v>
      </c>
      <c r="D3396" s="66">
        <f>VLOOKUP(C3396,基本字段定义!$B$3:$C$3013,2,FALSE)</f>
        <v>889</v>
      </c>
      <c r="E3396" s="67" t="s">
        <v>424</v>
      </c>
      <c r="F3396" s="67"/>
      <c r="G3396" s="90" t="s">
        <v>1788</v>
      </c>
    </row>
    <row r="3397" spans="2:7" x14ac:dyDescent="0.15">
      <c r="B3397" s="299"/>
      <c r="C3397" s="65" t="s">
        <v>1789</v>
      </c>
      <c r="D3397" s="66">
        <f>VLOOKUP(C3397,基本字段定义!$B$3:$C$3013,2,FALSE)</f>
        <v>2504</v>
      </c>
      <c r="E3397" s="67" t="s">
        <v>424</v>
      </c>
      <c r="F3397" s="67"/>
      <c r="G3397" s="90" t="s">
        <v>1790</v>
      </c>
    </row>
    <row r="3398" spans="2:7" ht="69" customHeight="1" x14ac:dyDescent="0.15">
      <c r="B3398" s="299"/>
      <c r="C3398" s="65" t="s">
        <v>585</v>
      </c>
      <c r="D3398" s="66">
        <f>VLOOKUP(C3398,基本字段定义!$B$3:$C$3013,2,FALSE)</f>
        <v>9020</v>
      </c>
      <c r="E3398" s="67" t="s">
        <v>365</v>
      </c>
      <c r="F3398" s="67"/>
      <c r="G3398" s="90" t="s">
        <v>1791</v>
      </c>
    </row>
    <row r="3399" spans="2:7" x14ac:dyDescent="0.15">
      <c r="B3399" s="299"/>
      <c r="C3399" s="65" t="s">
        <v>510</v>
      </c>
      <c r="D3399" s="66">
        <f>VLOOKUP(C3399,基本字段定义!$B$3:$C$3013,2,FALSE)</f>
        <v>618</v>
      </c>
      <c r="E3399" s="67" t="s">
        <v>424</v>
      </c>
      <c r="F3399" s="67"/>
      <c r="G3399" s="90" t="s">
        <v>1792</v>
      </c>
    </row>
    <row r="3400" spans="2:7" x14ac:dyDescent="0.15">
      <c r="B3400" s="299"/>
      <c r="C3400" s="65" t="s">
        <v>512</v>
      </c>
      <c r="D3400" s="66">
        <f>VLOOKUP(C3400,基本字段定义!$B$3:$C$3013,2,FALSE)</f>
        <v>590</v>
      </c>
      <c r="E3400" s="67" t="s">
        <v>424</v>
      </c>
      <c r="F3400" s="67"/>
      <c r="G3400" s="90" t="s">
        <v>1793</v>
      </c>
    </row>
    <row r="3401" spans="2:7" x14ac:dyDescent="0.15">
      <c r="B3401" s="299"/>
      <c r="C3401" s="65" t="s">
        <v>767</v>
      </c>
      <c r="D3401" s="66">
        <f>VLOOKUP(C3401,基本字段定义!$B$3:$C$3013,2,FALSE)</f>
        <v>526</v>
      </c>
      <c r="E3401" s="67" t="s">
        <v>424</v>
      </c>
      <c r="F3401" s="67"/>
      <c r="G3401" s="90" t="s">
        <v>974</v>
      </c>
    </row>
    <row r="3402" spans="2:7" x14ac:dyDescent="0.15">
      <c r="B3402" s="299"/>
      <c r="C3402" s="65" t="s">
        <v>903</v>
      </c>
      <c r="D3402" s="66">
        <f>VLOOKUP(C3402,基本字段定义!$B$3:$C$3013,2,FALSE)</f>
        <v>522</v>
      </c>
      <c r="E3402" s="67" t="s">
        <v>365</v>
      </c>
      <c r="F3402" s="67"/>
      <c r="G3402" s="90" t="s">
        <v>972</v>
      </c>
    </row>
    <row r="3403" spans="2:7" x14ac:dyDescent="0.15">
      <c r="B3403" s="299"/>
      <c r="C3403" s="65" t="s">
        <v>1582</v>
      </c>
      <c r="D3403" s="66">
        <f>VLOOKUP(C3403,基本字段定义!$B$3:$C$3013,2,FALSE)</f>
        <v>1252</v>
      </c>
      <c r="E3403" s="67" t="s">
        <v>424</v>
      </c>
      <c r="F3403" s="67"/>
      <c r="G3403" s="90" t="s">
        <v>1583</v>
      </c>
    </row>
    <row r="3404" spans="2:7" x14ac:dyDescent="0.15">
      <c r="B3404" s="299"/>
      <c r="C3404" s="65" t="s">
        <v>1794</v>
      </c>
      <c r="D3404" s="66">
        <f>VLOOKUP(C3404,基本字段定义!$B$3:$C$3013,2,FALSE)</f>
        <v>4099</v>
      </c>
      <c r="E3404" s="67" t="s">
        <v>424</v>
      </c>
      <c r="F3404" s="67"/>
      <c r="G3404" s="90" t="s">
        <v>1795</v>
      </c>
    </row>
    <row r="3405" spans="2:7" x14ac:dyDescent="0.15">
      <c r="B3405" s="299"/>
      <c r="C3405" s="65" t="s">
        <v>1796</v>
      </c>
      <c r="D3405" s="66">
        <f>VLOOKUP(C3405,基本字段定义!$B$3:$C$3013,2,FALSE)</f>
        <v>1445</v>
      </c>
      <c r="E3405" s="67" t="s">
        <v>424</v>
      </c>
      <c r="F3405" s="67"/>
      <c r="G3405" s="90" t="s">
        <v>1797</v>
      </c>
    </row>
    <row r="3406" spans="2:7" x14ac:dyDescent="0.15">
      <c r="B3406" s="299"/>
      <c r="C3406" s="65" t="s">
        <v>1798</v>
      </c>
      <c r="D3406" s="66">
        <f>VLOOKUP(C3406,基本字段定义!$B$3:$C$3013,2,FALSE)</f>
        <v>739</v>
      </c>
      <c r="E3406" s="67" t="s">
        <v>424</v>
      </c>
      <c r="F3406" s="67"/>
      <c r="G3406" s="90" t="s">
        <v>1799</v>
      </c>
    </row>
    <row r="3407" spans="2:7" x14ac:dyDescent="0.15">
      <c r="B3407" s="299"/>
      <c r="C3407" s="65" t="s">
        <v>458</v>
      </c>
      <c r="D3407" s="66">
        <f>VLOOKUP(C3407,基本字段定义!$B$3:$C$3013,2,FALSE)</f>
        <v>988</v>
      </c>
      <c r="E3407" s="67" t="s">
        <v>424</v>
      </c>
      <c r="F3407" s="67"/>
      <c r="G3407" s="90" t="s">
        <v>1800</v>
      </c>
    </row>
    <row r="3408" spans="2:7" x14ac:dyDescent="0.15">
      <c r="B3408" s="299"/>
      <c r="C3408" s="65" t="s">
        <v>1579</v>
      </c>
      <c r="D3408" s="66">
        <f>VLOOKUP(C3408,基本字段定义!$B$3:$C$3013,2,FALSE)</f>
        <v>1894</v>
      </c>
      <c r="E3408" s="67" t="s">
        <v>424</v>
      </c>
      <c r="F3408" s="67"/>
      <c r="G3408" s="90" t="s">
        <v>1801</v>
      </c>
    </row>
    <row r="3409" spans="2:7" x14ac:dyDescent="0.15">
      <c r="B3409" s="299"/>
      <c r="C3409" s="65" t="s">
        <v>463</v>
      </c>
      <c r="D3409" s="66">
        <f>VLOOKUP(C3409,基本字段定义!$B$3:$C$3013,2,FALSE)</f>
        <v>680</v>
      </c>
      <c r="E3409" s="67" t="s">
        <v>424</v>
      </c>
      <c r="F3409" s="67"/>
      <c r="G3409" s="90" t="s">
        <v>1802</v>
      </c>
    </row>
    <row r="3410" spans="2:7" x14ac:dyDescent="0.15">
      <c r="B3410" s="299"/>
      <c r="C3410" s="65" t="s">
        <v>1803</v>
      </c>
      <c r="D3410" s="66">
        <f>VLOOKUP(C3410,基本字段定义!$B$3:$C$3013,2,FALSE)</f>
        <v>1904</v>
      </c>
      <c r="E3410" s="67" t="s">
        <v>424</v>
      </c>
      <c r="F3410" s="67"/>
      <c r="G3410" s="90" t="s">
        <v>1804</v>
      </c>
    </row>
    <row r="3411" spans="2:7" x14ac:dyDescent="0.15">
      <c r="B3411" s="299"/>
      <c r="C3411" s="65" t="s">
        <v>614</v>
      </c>
      <c r="D3411" s="66">
        <f>VLOOKUP(C3411,基本字段定义!$B$3:$C$3013,2,FALSE)</f>
        <v>763</v>
      </c>
      <c r="E3411" s="67" t="s">
        <v>424</v>
      </c>
      <c r="F3411" s="67"/>
      <c r="G3411" s="90" t="s">
        <v>1805</v>
      </c>
    </row>
    <row r="3412" spans="2:7" x14ac:dyDescent="0.15">
      <c r="B3412" s="299"/>
      <c r="C3412" s="65" t="s">
        <v>616</v>
      </c>
      <c r="D3412" s="66">
        <f>VLOOKUP(C3412,基本字段定义!$B$3:$C$3013,2,FALSE)</f>
        <v>9110</v>
      </c>
      <c r="E3412" s="67" t="s">
        <v>424</v>
      </c>
      <c r="F3412" s="67"/>
      <c r="G3412" s="90" t="s">
        <v>1806</v>
      </c>
    </row>
    <row r="3413" spans="2:7" x14ac:dyDescent="0.15">
      <c r="B3413" s="299"/>
      <c r="C3413" s="65" t="s">
        <v>612</v>
      </c>
      <c r="D3413" s="66">
        <f>VLOOKUP(C3413,基本字段定义!$B$3:$C$3013,2,FALSE)</f>
        <v>9109</v>
      </c>
      <c r="E3413" s="67" t="s">
        <v>424</v>
      </c>
      <c r="F3413" s="67"/>
      <c r="G3413" s="90" t="s">
        <v>1807</v>
      </c>
    </row>
    <row r="3414" spans="2:7" x14ac:dyDescent="0.15">
      <c r="B3414" s="300" t="s">
        <v>361</v>
      </c>
      <c r="C3414" s="143" t="s">
        <v>1720</v>
      </c>
      <c r="D3414" s="70">
        <f>VLOOKUP(C3414,基本字段定义!$B$3:$C$3013,2,FALSE)</f>
        <v>889</v>
      </c>
      <c r="E3414" s="92" t="s">
        <v>424</v>
      </c>
      <c r="F3414" s="92"/>
      <c r="G3414" s="151" t="s">
        <v>1808</v>
      </c>
    </row>
    <row r="3415" spans="2:7" x14ac:dyDescent="0.15">
      <c r="B3415" s="301"/>
      <c r="C3415" s="143" t="s">
        <v>1146</v>
      </c>
      <c r="D3415" s="70">
        <f>VLOOKUP(C3415,基本字段定义!$B$3:$C$3013,2,FALSE)</f>
        <v>1077</v>
      </c>
      <c r="E3415" s="92" t="s">
        <v>424</v>
      </c>
      <c r="F3415" s="92"/>
      <c r="G3415" s="151" t="s">
        <v>1147</v>
      </c>
    </row>
    <row r="3416" spans="2:7" x14ac:dyDescent="0.15">
      <c r="B3416" s="301"/>
      <c r="C3416" s="143" t="s">
        <v>428</v>
      </c>
      <c r="D3416" s="70">
        <f>VLOOKUP(C3416,基本字段定义!$B$3:$C$3013,2,FALSE)</f>
        <v>605</v>
      </c>
      <c r="E3416" s="92" t="s">
        <v>429</v>
      </c>
      <c r="F3416" s="92"/>
      <c r="G3416" s="151" t="s">
        <v>430</v>
      </c>
    </row>
    <row r="3417" spans="2:7" x14ac:dyDescent="0.15">
      <c r="B3417" s="301"/>
      <c r="C3417" s="143" t="s">
        <v>446</v>
      </c>
      <c r="D3417" s="70">
        <f>VLOOKUP(C3417,基本字段定义!$B$3:$C$3013,2,FALSE)</f>
        <v>613</v>
      </c>
      <c r="E3417" s="92" t="s">
        <v>438</v>
      </c>
      <c r="F3417" s="92"/>
      <c r="G3417" s="151" t="s">
        <v>823</v>
      </c>
    </row>
    <row r="3418" spans="2:7" x14ac:dyDescent="0.15">
      <c r="B3418" s="301"/>
      <c r="C3418" s="143" t="s">
        <v>399</v>
      </c>
      <c r="D3418" s="70">
        <f>VLOOKUP(C3418,基本字段定义!$B$3:$C$3013,2,FALSE)</f>
        <v>697</v>
      </c>
      <c r="E3418" s="92" t="s">
        <v>371</v>
      </c>
      <c r="F3418" s="92"/>
      <c r="G3418" s="151" t="s">
        <v>400</v>
      </c>
    </row>
    <row r="3419" spans="2:7" x14ac:dyDescent="0.15">
      <c r="B3419" s="301"/>
      <c r="C3419" s="143" t="s">
        <v>443</v>
      </c>
      <c r="D3419" s="70">
        <f>VLOOKUP(C3419,基本字段定义!$B$3:$C$3013,2,FALSE)</f>
        <v>610</v>
      </c>
      <c r="E3419" s="92" t="s">
        <v>388</v>
      </c>
      <c r="F3419" s="92"/>
      <c r="G3419" s="151" t="s">
        <v>886</v>
      </c>
    </row>
    <row r="3420" spans="2:7" x14ac:dyDescent="0.15">
      <c r="B3420" s="301"/>
      <c r="C3420" s="143" t="s">
        <v>387</v>
      </c>
      <c r="D3420" s="70">
        <f>VLOOKUP(C3420,基本字段定义!$B$3:$C$3013,2,FALSE)</f>
        <v>599</v>
      </c>
      <c r="E3420" s="92" t="s">
        <v>388</v>
      </c>
      <c r="F3420" s="92"/>
      <c r="G3420" s="151" t="s">
        <v>389</v>
      </c>
    </row>
    <row r="3421" spans="2:7" x14ac:dyDescent="0.15">
      <c r="B3421" s="301"/>
      <c r="C3421" s="143" t="s">
        <v>431</v>
      </c>
      <c r="D3421" s="70">
        <f>VLOOKUP(C3421,基本字段定义!$B$3:$C$3013,2,FALSE)</f>
        <v>571</v>
      </c>
      <c r="E3421" s="92" t="s">
        <v>432</v>
      </c>
      <c r="F3421" s="92"/>
      <c r="G3421" s="151" t="s">
        <v>433</v>
      </c>
    </row>
    <row r="3422" spans="2:7" x14ac:dyDescent="0.15">
      <c r="B3422" s="301"/>
      <c r="C3422" s="143" t="s">
        <v>666</v>
      </c>
      <c r="D3422" s="70">
        <f>VLOOKUP(C3422,基本字段定义!$B$3:$C$3013,2,FALSE)</f>
        <v>719</v>
      </c>
      <c r="E3422" s="92" t="s">
        <v>506</v>
      </c>
      <c r="F3422" s="92"/>
      <c r="G3422" s="151" t="s">
        <v>683</v>
      </c>
    </row>
    <row r="3423" spans="2:7" x14ac:dyDescent="0.15">
      <c r="B3423" s="301"/>
      <c r="C3423" s="143" t="s">
        <v>685</v>
      </c>
      <c r="D3423" s="70">
        <f>VLOOKUP(C3423,基本字段定义!$B$3:$C$3013,2,FALSE)</f>
        <v>722</v>
      </c>
      <c r="E3423" s="92" t="s">
        <v>506</v>
      </c>
      <c r="F3423" s="92"/>
      <c r="G3423" s="151" t="s">
        <v>686</v>
      </c>
    </row>
    <row r="3424" spans="2:7" x14ac:dyDescent="0.15">
      <c r="B3424" s="301"/>
      <c r="C3424" s="143" t="s">
        <v>1579</v>
      </c>
      <c r="D3424" s="70">
        <f>VLOOKUP(C3424,基本字段定义!$B$3:$C$3013,2,FALSE)</f>
        <v>1894</v>
      </c>
      <c r="E3424" s="92" t="s">
        <v>424</v>
      </c>
      <c r="F3424" s="92"/>
      <c r="G3424" s="151" t="s">
        <v>1809</v>
      </c>
    </row>
    <row r="3425" spans="2:7" x14ac:dyDescent="0.15">
      <c r="B3425" s="301"/>
      <c r="C3425" s="143" t="s">
        <v>707</v>
      </c>
      <c r="D3425" s="70">
        <f>VLOOKUP(C3425,基本字段定义!$B$3:$C$3013,2,FALSE)</f>
        <v>528</v>
      </c>
      <c r="E3425" s="92" t="s">
        <v>424</v>
      </c>
      <c r="F3425" s="92"/>
      <c r="G3425" s="151" t="s">
        <v>950</v>
      </c>
    </row>
    <row r="3426" spans="2:7" x14ac:dyDescent="0.15">
      <c r="B3426" s="301"/>
      <c r="C3426" s="143" t="s">
        <v>709</v>
      </c>
      <c r="D3426" s="70">
        <f>VLOOKUP(C3426,基本字段定义!$B$3:$C$3013,2,FALSE)</f>
        <v>524</v>
      </c>
      <c r="E3426" s="92" t="s">
        <v>1810</v>
      </c>
      <c r="F3426" s="92"/>
      <c r="G3426" s="151" t="s">
        <v>951</v>
      </c>
    </row>
    <row r="3427" spans="2:7" x14ac:dyDescent="0.15">
      <c r="B3427" s="301"/>
      <c r="C3427" s="143" t="s">
        <v>1361</v>
      </c>
      <c r="D3427" s="70">
        <f>VLOOKUP(C3427,基本字段定义!$B$3:$C$3013,2,FALSE)</f>
        <v>1430</v>
      </c>
      <c r="E3427" s="92" t="s">
        <v>1615</v>
      </c>
      <c r="F3427" s="92"/>
      <c r="G3427" s="151" t="s">
        <v>4137</v>
      </c>
    </row>
    <row r="3428" spans="2:7" x14ac:dyDescent="0.15">
      <c r="B3428" s="301"/>
      <c r="C3428" s="143" t="s">
        <v>1811</v>
      </c>
      <c r="D3428" s="70">
        <f>VLOOKUP(C3428,基本字段定义!$B$3:$C$3013,2,FALSE)</f>
        <v>4219</v>
      </c>
      <c r="E3428" s="92" t="s">
        <v>1615</v>
      </c>
      <c r="F3428" s="92"/>
      <c r="G3428" s="151" t="s">
        <v>1812</v>
      </c>
    </row>
    <row r="3429" spans="2:7" x14ac:dyDescent="0.15">
      <c r="B3429" s="301"/>
      <c r="C3429" s="143" t="s">
        <v>1531</v>
      </c>
      <c r="D3429" s="70">
        <f>VLOOKUP(C3429,基本字段定义!$B$3:$C$3013,2,FALSE)</f>
        <v>1083</v>
      </c>
      <c r="E3429" s="92" t="s">
        <v>424</v>
      </c>
      <c r="F3429" s="92"/>
      <c r="G3429" s="151" t="s">
        <v>1532</v>
      </c>
    </row>
    <row r="3430" spans="2:7" x14ac:dyDescent="0.15">
      <c r="B3430" s="301"/>
      <c r="C3430" s="143" t="s">
        <v>1291</v>
      </c>
      <c r="D3430" s="70">
        <f>VLOOKUP(C3430,基本字段定义!$B$3:$C$3013,2,FALSE)</f>
        <v>517</v>
      </c>
      <c r="E3430" s="92" t="s">
        <v>1615</v>
      </c>
      <c r="F3430" s="92"/>
      <c r="G3430" s="151" t="s">
        <v>1533</v>
      </c>
    </row>
    <row r="3431" spans="2:7" x14ac:dyDescent="0.15">
      <c r="B3431" s="301"/>
      <c r="C3431" s="143" t="s">
        <v>1406</v>
      </c>
      <c r="D3431" s="70">
        <f>VLOOKUP(C3431,基本字段定义!$B$3:$C$3013,2,FALSE)</f>
        <v>1733</v>
      </c>
      <c r="E3431" s="92" t="s">
        <v>1615</v>
      </c>
      <c r="F3431" s="92"/>
      <c r="G3431" s="151" t="s">
        <v>1813</v>
      </c>
    </row>
    <row r="3432" spans="2:7" x14ac:dyDescent="0.15">
      <c r="B3432" s="301"/>
      <c r="C3432" s="143" t="s">
        <v>767</v>
      </c>
      <c r="D3432" s="70">
        <f>VLOOKUP(C3432,基本字段定义!$B$3:$C$3013,2,FALSE)</f>
        <v>526</v>
      </c>
      <c r="E3432" s="92" t="s">
        <v>424</v>
      </c>
      <c r="F3432" s="92"/>
      <c r="G3432" s="151" t="s">
        <v>974</v>
      </c>
    </row>
    <row r="3433" spans="2:7" x14ac:dyDescent="0.15">
      <c r="B3433" s="301"/>
      <c r="C3433" s="143" t="s">
        <v>1814</v>
      </c>
      <c r="D3433" s="70">
        <f>VLOOKUP(C3433,基本字段定义!$B$3:$C$3013,2,FALSE)</f>
        <v>4136</v>
      </c>
      <c r="E3433" s="92" t="s">
        <v>424</v>
      </c>
      <c r="F3433" s="92"/>
      <c r="G3433" s="151" t="s">
        <v>1815</v>
      </c>
    </row>
    <row r="3434" spans="2:7" x14ac:dyDescent="0.15">
      <c r="B3434" s="301"/>
      <c r="C3434" s="143" t="s">
        <v>1602</v>
      </c>
      <c r="D3434" s="70">
        <f>VLOOKUP(C3434,基本字段定义!$B$3:$C$3013,2,FALSE)</f>
        <v>4220</v>
      </c>
      <c r="E3434" s="92" t="s">
        <v>563</v>
      </c>
      <c r="F3434" s="92"/>
      <c r="G3434" s="151" t="s">
        <v>1603</v>
      </c>
    </row>
    <row r="3435" spans="2:7" x14ac:dyDescent="0.15">
      <c r="B3435" s="301"/>
      <c r="C3435" s="143" t="s">
        <v>916</v>
      </c>
      <c r="D3435" s="70">
        <f>VLOOKUP(C3435,基本字段定义!$B$3:$C$3013,2,FALSE)</f>
        <v>681</v>
      </c>
      <c r="E3435" s="92" t="s">
        <v>424</v>
      </c>
      <c r="F3435" s="92"/>
      <c r="G3435" s="151" t="s">
        <v>918</v>
      </c>
    </row>
    <row r="3436" spans="2:7" x14ac:dyDescent="0.15">
      <c r="B3436" s="301"/>
      <c r="C3436" s="143" t="s">
        <v>959</v>
      </c>
      <c r="D3436" s="70">
        <f>VLOOKUP(C3436,基本字段定义!$B$3:$C$3013,2,FALSE)</f>
        <v>1011</v>
      </c>
      <c r="E3436" s="92" t="s">
        <v>432</v>
      </c>
      <c r="F3436" s="92"/>
      <c r="G3436" s="151" t="s">
        <v>963</v>
      </c>
    </row>
    <row r="3437" spans="2:7" x14ac:dyDescent="0.15">
      <c r="B3437" s="301"/>
      <c r="C3437" s="143" t="s">
        <v>903</v>
      </c>
      <c r="D3437" s="70">
        <f>VLOOKUP(C3437,基本字段定义!$B$3:$C$3013,2,FALSE)</f>
        <v>522</v>
      </c>
      <c r="E3437" s="92" t="s">
        <v>635</v>
      </c>
      <c r="F3437" s="92"/>
      <c r="G3437" s="151" t="s">
        <v>972</v>
      </c>
    </row>
    <row r="3438" spans="2:7" x14ac:dyDescent="0.15">
      <c r="B3438" s="301"/>
      <c r="C3438" s="143" t="s">
        <v>1816</v>
      </c>
      <c r="D3438" s="70">
        <f>VLOOKUP(C3438,基本字段定义!$B$3:$C$3013,2,FALSE)</f>
        <v>4221</v>
      </c>
      <c r="E3438" s="92" t="s">
        <v>424</v>
      </c>
      <c r="F3438" s="92"/>
      <c r="G3438" s="151" t="s">
        <v>1583</v>
      </c>
    </row>
    <row r="3439" spans="2:7" x14ac:dyDescent="0.15">
      <c r="B3439" s="301"/>
      <c r="C3439" s="143" t="s">
        <v>1582</v>
      </c>
      <c r="D3439" s="70">
        <f>VLOOKUP(C3439,基本字段定义!$B$3:$C$3013,2,FALSE)</f>
        <v>1252</v>
      </c>
      <c r="E3439" s="92" t="s">
        <v>424</v>
      </c>
      <c r="F3439" s="92"/>
      <c r="G3439" s="151" t="s">
        <v>1817</v>
      </c>
    </row>
    <row r="3440" spans="2:7" x14ac:dyDescent="0.15">
      <c r="B3440" s="301"/>
      <c r="C3440" s="143" t="s">
        <v>512</v>
      </c>
      <c r="D3440" s="70">
        <f>VLOOKUP(C3440,基本字段定义!$B$3:$C$3013,2,FALSE)</f>
        <v>590</v>
      </c>
      <c r="E3440" s="92" t="s">
        <v>424</v>
      </c>
      <c r="F3440" s="92"/>
      <c r="G3440" s="151" t="s">
        <v>1496</v>
      </c>
    </row>
    <row r="3441" spans="2:7" x14ac:dyDescent="0.15">
      <c r="B3441" s="301"/>
      <c r="C3441" s="143" t="s">
        <v>1794</v>
      </c>
      <c r="D3441" s="70">
        <f>VLOOKUP(C3441,基本字段定义!$B$3:$C$3013,2,FALSE)</f>
        <v>4099</v>
      </c>
      <c r="E3441" s="92" t="s">
        <v>424</v>
      </c>
      <c r="F3441" s="92"/>
      <c r="G3441" s="151" t="s">
        <v>1818</v>
      </c>
    </row>
    <row r="3442" spans="2:7" x14ac:dyDescent="0.15">
      <c r="B3442" s="301"/>
      <c r="C3442" s="143" t="s">
        <v>1410</v>
      </c>
      <c r="D3442" s="70">
        <f>VLOOKUP(C3442,基本字段定义!$B$3:$C$3013,2,FALSE)</f>
        <v>1941</v>
      </c>
      <c r="E3442" s="92" t="s">
        <v>424</v>
      </c>
      <c r="F3442" s="92"/>
      <c r="G3442" s="151" t="s">
        <v>1819</v>
      </c>
    </row>
    <row r="3443" spans="2:7" x14ac:dyDescent="0.15">
      <c r="B3443" s="301"/>
      <c r="C3443" s="143" t="s">
        <v>806</v>
      </c>
      <c r="D3443" s="70">
        <f>VLOOKUP(C3443,基本字段定义!$B$3:$C$3013,2,FALSE)</f>
        <v>683</v>
      </c>
      <c r="E3443" s="92" t="s">
        <v>424</v>
      </c>
      <c r="F3443" s="92"/>
      <c r="G3443" s="151" t="s">
        <v>1820</v>
      </c>
    </row>
    <row r="3444" spans="2:7" x14ac:dyDescent="0.15">
      <c r="B3444" s="301"/>
      <c r="C3444" s="143" t="s">
        <v>1557</v>
      </c>
      <c r="D3444" s="70">
        <f>VLOOKUP(C3444,基本字段定义!$B$3:$C$3013,2,FALSE)</f>
        <v>1248</v>
      </c>
      <c r="E3444" s="92" t="s">
        <v>1613</v>
      </c>
      <c r="F3444" s="92"/>
      <c r="G3444" s="151" t="s">
        <v>1821</v>
      </c>
    </row>
    <row r="3445" spans="2:7" x14ac:dyDescent="0.15">
      <c r="B3445" s="301"/>
      <c r="C3445" s="143" t="s">
        <v>1796</v>
      </c>
      <c r="D3445" s="70">
        <f>VLOOKUP(C3445,基本字段定义!$B$3:$C$3013,2,FALSE)</f>
        <v>1445</v>
      </c>
      <c r="E3445" s="92" t="s">
        <v>424</v>
      </c>
      <c r="F3445" s="92"/>
      <c r="G3445" s="151" t="s">
        <v>1797</v>
      </c>
    </row>
    <row r="3446" spans="2:7" x14ac:dyDescent="0.15">
      <c r="B3446" s="301"/>
      <c r="C3446" s="143" t="s">
        <v>1822</v>
      </c>
      <c r="D3446" s="70">
        <f>VLOOKUP(C3446,基本字段定义!$B$3:$C$3013,2,FALSE)</f>
        <v>9001</v>
      </c>
      <c r="E3446" s="92" t="s">
        <v>487</v>
      </c>
      <c r="F3446" s="92"/>
      <c r="G3446" s="151" t="s">
        <v>1721</v>
      </c>
    </row>
    <row r="3447" spans="2:7" x14ac:dyDescent="0.15">
      <c r="B3447" s="301"/>
      <c r="C3447" s="143" t="s">
        <v>808</v>
      </c>
      <c r="D3447" s="70">
        <f>VLOOKUP(C3447,基本字段定义!$B$3:$C$3013,2,FALSE)</f>
        <v>1907</v>
      </c>
      <c r="E3447" s="92" t="s">
        <v>365</v>
      </c>
      <c r="F3447" s="92"/>
      <c r="G3447" s="151" t="s">
        <v>809</v>
      </c>
    </row>
    <row r="3448" spans="2:7" x14ac:dyDescent="0.15">
      <c r="B3448" s="301"/>
      <c r="C3448" s="143" t="s">
        <v>1114</v>
      </c>
      <c r="D3448" s="70">
        <f>VLOOKUP(C3448,基本字段定义!$B$3:$C$3013,2,FALSE)</f>
        <v>9237</v>
      </c>
      <c r="E3448" s="92" t="s">
        <v>424</v>
      </c>
      <c r="F3448" s="92"/>
      <c r="G3448" s="151" t="s">
        <v>1115</v>
      </c>
    </row>
    <row r="3449" spans="2:7" x14ac:dyDescent="0.15">
      <c r="B3449" s="301"/>
      <c r="C3449" s="143" t="s">
        <v>567</v>
      </c>
      <c r="D3449" s="70">
        <f>VLOOKUP(C3449,基本字段定义!$B$3:$C$3013,2,FALSE)</f>
        <v>619</v>
      </c>
      <c r="E3449" s="92" t="s">
        <v>1615</v>
      </c>
      <c r="F3449" s="92"/>
      <c r="G3449" s="151" t="s">
        <v>1823</v>
      </c>
    </row>
    <row r="3450" spans="2:7" x14ac:dyDescent="0.15">
      <c r="B3450" s="301"/>
      <c r="C3450" s="143" t="s">
        <v>906</v>
      </c>
      <c r="D3450" s="70">
        <f>VLOOKUP(C3450,基本字段定义!$B$3:$C$3013,2,FALSE)</f>
        <v>1935</v>
      </c>
      <c r="E3450" s="92" t="s">
        <v>506</v>
      </c>
      <c r="F3450" s="92"/>
      <c r="G3450" s="151" t="s">
        <v>1824</v>
      </c>
    </row>
    <row r="3451" spans="2:7" x14ac:dyDescent="0.15">
      <c r="B3451" s="301"/>
      <c r="C3451" s="143" t="s">
        <v>1825</v>
      </c>
      <c r="D3451" s="70">
        <f>VLOOKUP(C3451,基本字段定义!$B$3:$C$3013,2,FALSE)</f>
        <v>2704</v>
      </c>
      <c r="E3451" s="92" t="s">
        <v>1826</v>
      </c>
      <c r="F3451" s="92"/>
      <c r="G3451" s="151" t="s">
        <v>1827</v>
      </c>
    </row>
    <row r="3452" spans="2:7" x14ac:dyDescent="0.15">
      <c r="B3452" s="301"/>
      <c r="C3452" s="143" t="s">
        <v>1454</v>
      </c>
      <c r="D3452" s="70">
        <f>VLOOKUP(C3452,基本字段定义!$B$3:$C$3013,2,FALSE)</f>
        <v>551</v>
      </c>
      <c r="E3452" s="92" t="s">
        <v>1615</v>
      </c>
      <c r="F3452" s="92"/>
      <c r="G3452" s="151" t="s">
        <v>1828</v>
      </c>
    </row>
    <row r="3453" spans="2:7" x14ac:dyDescent="0.15">
      <c r="B3453" s="301"/>
      <c r="C3453" s="143" t="s">
        <v>1829</v>
      </c>
      <c r="D3453" s="70">
        <f>VLOOKUP(C3453,基本字段定义!$B$3:$C$3013,2,FALSE)</f>
        <v>1241</v>
      </c>
      <c r="E3453" s="92" t="s">
        <v>424</v>
      </c>
      <c r="F3453" s="92"/>
      <c r="G3453" s="151" t="s">
        <v>1830</v>
      </c>
    </row>
    <row r="3454" spans="2:7" x14ac:dyDescent="0.15">
      <c r="B3454" s="301"/>
      <c r="C3454" s="143" t="s">
        <v>1831</v>
      </c>
      <c r="D3454" s="70">
        <f>VLOOKUP(C3454,基本字段定义!$B$3:$C$3013,2,FALSE)</f>
        <v>4107</v>
      </c>
      <c r="E3454" s="92" t="s">
        <v>1615</v>
      </c>
      <c r="F3454" s="92"/>
      <c r="G3454" s="151" t="s">
        <v>1832</v>
      </c>
    </row>
    <row r="3455" spans="2:7" x14ac:dyDescent="0.15">
      <c r="B3455" s="301"/>
      <c r="C3455" s="143" t="s">
        <v>1833</v>
      </c>
      <c r="D3455" s="70">
        <f>VLOOKUP(C3455,基本字段定义!$B$3:$C$3013,2,FALSE)</f>
        <v>2006</v>
      </c>
      <c r="E3455" s="92" t="s">
        <v>1615</v>
      </c>
      <c r="F3455" s="92"/>
      <c r="G3455" s="151" t="s">
        <v>1834</v>
      </c>
    </row>
    <row r="3456" spans="2:7" x14ac:dyDescent="0.15">
      <c r="B3456" s="301"/>
      <c r="C3456" s="143" t="s">
        <v>1835</v>
      </c>
      <c r="D3456" s="70">
        <f>VLOOKUP(C3456,基本字段定义!$B$3:$C$3013,2,FALSE)</f>
        <v>964</v>
      </c>
      <c r="E3456" s="92" t="s">
        <v>1836</v>
      </c>
      <c r="F3456" s="92"/>
      <c r="G3456" s="151" t="s">
        <v>1837</v>
      </c>
    </row>
    <row r="3457" spans="2:7" x14ac:dyDescent="0.15">
      <c r="B3457" s="301"/>
      <c r="C3457" s="143" t="s">
        <v>906</v>
      </c>
      <c r="D3457" s="70">
        <f>VLOOKUP(C3457,基本字段定义!$B$3:$C$3013,2,FALSE)</f>
        <v>1935</v>
      </c>
      <c r="E3457" s="92" t="s">
        <v>365</v>
      </c>
      <c r="F3457" s="92"/>
      <c r="G3457" s="151" t="s">
        <v>1619</v>
      </c>
    </row>
    <row r="3458" spans="2:7" x14ac:dyDescent="0.15">
      <c r="B3458" s="301"/>
      <c r="C3458" s="143" t="s">
        <v>908</v>
      </c>
      <c r="D3458" s="70">
        <f>VLOOKUP(C3458,基本字段定义!$B$3:$C$3013,2,FALSE)</f>
        <v>1936</v>
      </c>
      <c r="E3458" s="92" t="s">
        <v>365</v>
      </c>
      <c r="F3458" s="92"/>
      <c r="G3458" s="151" t="s">
        <v>1838</v>
      </c>
    </row>
    <row r="3459" spans="2:7" x14ac:dyDescent="0.15">
      <c r="B3459" s="301"/>
      <c r="C3459" s="143" t="s">
        <v>1621</v>
      </c>
      <c r="D3459" s="70">
        <f>VLOOKUP(C3459,基本字段定义!$B$3:$C$3013,2,FALSE)</f>
        <v>1937</v>
      </c>
      <c r="E3459" s="92" t="s">
        <v>363</v>
      </c>
      <c r="F3459" s="92"/>
      <c r="G3459" s="151" t="s">
        <v>1839</v>
      </c>
    </row>
    <row r="3460" spans="2:7" x14ac:dyDescent="0.15">
      <c r="B3460" s="301"/>
      <c r="C3460" s="143" t="s">
        <v>1623</v>
      </c>
      <c r="D3460" s="70">
        <f>VLOOKUP(C3460,基本字段定义!$B$3:$C$3013,2,FALSE)</f>
        <v>2505</v>
      </c>
      <c r="E3460" s="92" t="s">
        <v>365</v>
      </c>
      <c r="F3460" s="92"/>
      <c r="G3460" s="151" t="s">
        <v>1840</v>
      </c>
    </row>
    <row r="3461" spans="2:7" x14ac:dyDescent="0.15">
      <c r="B3461" s="301"/>
      <c r="C3461" s="143" t="s">
        <v>1631</v>
      </c>
      <c r="D3461" s="70">
        <f>VLOOKUP(C3461,基本字段定义!$B$3:$C$3013,2,FALSE)</f>
        <v>1271</v>
      </c>
      <c r="E3461" s="92" t="s">
        <v>563</v>
      </c>
      <c r="F3461" s="92"/>
      <c r="G3461" s="151" t="s">
        <v>1632</v>
      </c>
    </row>
    <row r="3462" spans="2:7" x14ac:dyDescent="0.15">
      <c r="B3462" s="301"/>
      <c r="C3462" s="143" t="s">
        <v>802</v>
      </c>
      <c r="D3462" s="70">
        <f>VLOOKUP(C3462,基本字段定义!$B$3:$C$3013,2,FALSE)</f>
        <v>1603</v>
      </c>
      <c r="E3462" s="92" t="s">
        <v>563</v>
      </c>
      <c r="F3462" s="92"/>
      <c r="G3462" s="151" t="s">
        <v>1630</v>
      </c>
    </row>
    <row r="3463" spans="2:7" x14ac:dyDescent="0.15">
      <c r="B3463" s="301"/>
      <c r="C3463" s="143" t="s">
        <v>1841</v>
      </c>
      <c r="D3463" s="70">
        <f>VLOOKUP(C3463,基本字段定义!$B$3:$C$3013,2,FALSE)</f>
        <v>9336</v>
      </c>
      <c r="E3463" s="92" t="s">
        <v>424</v>
      </c>
      <c r="F3463" s="92"/>
      <c r="G3463" s="151" t="s">
        <v>1842</v>
      </c>
    </row>
    <row r="3464" spans="2:7" x14ac:dyDescent="0.15">
      <c r="B3464" s="301"/>
      <c r="C3464" s="69" t="s">
        <v>463</v>
      </c>
      <c r="D3464" s="70">
        <f>VLOOKUP(C3464,基本字段定义!$B$3:$C$3013,2,FALSE)</f>
        <v>680</v>
      </c>
      <c r="E3464" s="71" t="s">
        <v>424</v>
      </c>
      <c r="F3464" s="71"/>
      <c r="G3464" s="73" t="s">
        <v>1802</v>
      </c>
    </row>
    <row r="3465" spans="2:7" x14ac:dyDescent="0.15">
      <c r="B3465" s="301"/>
      <c r="C3465" s="158" t="s">
        <v>1577</v>
      </c>
      <c r="D3465" s="159">
        <f>VLOOKUP(C3465,基本字段定义!$B$3:$C$3013,2,FALSE)</f>
        <v>1950</v>
      </c>
      <c r="E3465" s="160" t="s">
        <v>424</v>
      </c>
      <c r="F3465" s="160"/>
      <c r="G3465" s="161" t="s">
        <v>1843</v>
      </c>
    </row>
    <row r="3466" spans="2:7" x14ac:dyDescent="0.15">
      <c r="B3466" s="301"/>
      <c r="C3466" s="143" t="s">
        <v>1587</v>
      </c>
      <c r="D3466" s="70">
        <f>VLOOKUP(C3466,基本字段定义!$B$3:$C$3013,2,FALSE)</f>
        <v>3609</v>
      </c>
      <c r="E3466" s="92" t="s">
        <v>424</v>
      </c>
      <c r="F3466" s="92"/>
      <c r="G3466" s="151" t="s">
        <v>1588</v>
      </c>
    </row>
    <row r="3467" spans="2:7" x14ac:dyDescent="0.15">
      <c r="B3467" s="301"/>
      <c r="C3467" s="143" t="s">
        <v>1607</v>
      </c>
      <c r="D3467" s="70">
        <f>VLOOKUP(C3467,基本字段定义!$B$3:$C$3013,2,FALSE)</f>
        <v>1756</v>
      </c>
      <c r="E3467" s="92" t="s">
        <v>365</v>
      </c>
      <c r="F3467" s="92"/>
      <c r="G3467" s="151" t="s">
        <v>1608</v>
      </c>
    </row>
    <row r="3468" spans="2:7" x14ac:dyDescent="0.15">
      <c r="B3468" s="301"/>
      <c r="C3468" s="143" t="s">
        <v>1774</v>
      </c>
      <c r="D3468" s="70">
        <f>VLOOKUP(C3468,基本字段定义!$B$3:$C$3013,2,FALSE)</f>
        <v>564</v>
      </c>
      <c r="E3468" s="92" t="s">
        <v>424</v>
      </c>
      <c r="F3468" s="92"/>
      <c r="G3468" s="151" t="s">
        <v>1844</v>
      </c>
    </row>
    <row r="3469" spans="2:7" x14ac:dyDescent="0.15">
      <c r="B3469" s="301"/>
      <c r="C3469" s="143" t="s">
        <v>1845</v>
      </c>
      <c r="D3469" s="70">
        <f>VLOOKUP(C3469,基本字段定义!$B$3:$C$3013,2,FALSE)</f>
        <v>2506</v>
      </c>
      <c r="E3469" s="92" t="s">
        <v>432</v>
      </c>
      <c r="F3469" s="92"/>
      <c r="G3469" s="151" t="s">
        <v>1846</v>
      </c>
    </row>
    <row r="3470" spans="2:7" ht="14.25" thickBot="1" x14ac:dyDescent="0.2">
      <c r="B3470" s="305"/>
      <c r="C3470" s="144" t="s">
        <v>614</v>
      </c>
      <c r="D3470" s="83">
        <f>VLOOKUP(C3470,基本字段定义!$B$3:$C$3013,2,FALSE)</f>
        <v>763</v>
      </c>
      <c r="E3470" s="77" t="s">
        <v>424</v>
      </c>
      <c r="F3470" s="77"/>
      <c r="G3470" s="162" t="s">
        <v>1847</v>
      </c>
    </row>
    <row r="3471" spans="2:7" ht="14.25" thickBot="1" x14ac:dyDescent="0.2"/>
    <row r="3472" spans="2:7" x14ac:dyDescent="0.15">
      <c r="B3472" s="57" t="s">
        <v>163</v>
      </c>
      <c r="C3472" s="84">
        <v>204543</v>
      </c>
      <c r="D3472" s="85"/>
      <c r="E3472" s="86"/>
      <c r="F3472" s="58" t="s">
        <v>352</v>
      </c>
      <c r="G3472" s="59"/>
    </row>
    <row r="3473" spans="2:7" x14ac:dyDescent="0.15">
      <c r="B3473" s="60" t="s">
        <v>353</v>
      </c>
      <c r="C3473" s="87" t="str">
        <f>VLOOKUP(C3472,功能索引!$C$3:$D$278,2,FALSE)</f>
        <v>根据客户号查询快速微贷可折算金额</v>
      </c>
      <c r="D3473" s="88"/>
      <c r="E3473" s="89"/>
      <c r="F3473" s="61" t="s">
        <v>165</v>
      </c>
      <c r="G3473" s="62" t="str">
        <f>VLOOKUP(C3472,功能索引!$C$3:$E3530,3,FALSE)</f>
        <v>Y</v>
      </c>
    </row>
    <row r="3474" spans="2:7" x14ac:dyDescent="0.15">
      <c r="B3474" s="299" t="s">
        <v>354</v>
      </c>
      <c r="C3474" s="99"/>
      <c r="D3474" s="100"/>
      <c r="E3474" s="100"/>
      <c r="F3474" s="100"/>
      <c r="G3474" s="101"/>
    </row>
    <row r="3475" spans="2:7" ht="14.25" thickBot="1" x14ac:dyDescent="0.2">
      <c r="B3475" s="304"/>
      <c r="C3475" s="102"/>
      <c r="D3475" s="103"/>
      <c r="E3475" s="103"/>
      <c r="F3475" s="103"/>
      <c r="G3475" s="104"/>
    </row>
    <row r="3476" spans="2:7" x14ac:dyDescent="0.15">
      <c r="B3476" s="298" t="s">
        <v>355</v>
      </c>
      <c r="C3476" s="58" t="s">
        <v>356</v>
      </c>
      <c r="D3476" s="58" t="s">
        <v>357</v>
      </c>
      <c r="E3476" s="58" t="s">
        <v>358</v>
      </c>
      <c r="F3476" s="58" t="s">
        <v>359</v>
      </c>
      <c r="G3476" s="64" t="s">
        <v>360</v>
      </c>
    </row>
    <row r="3477" spans="2:7" x14ac:dyDescent="0.15">
      <c r="B3477" s="306"/>
      <c r="C3477" s="65" t="s">
        <v>428</v>
      </c>
      <c r="D3477" s="66">
        <f>VLOOKUP(C3477,基本字段定义!$B$3:$C$3013,2,FALSE)</f>
        <v>605</v>
      </c>
      <c r="E3477" s="67" t="s">
        <v>365</v>
      </c>
      <c r="F3477" s="67" t="s">
        <v>169</v>
      </c>
      <c r="G3477" s="68" t="s">
        <v>430</v>
      </c>
    </row>
    <row r="3478" spans="2:7" x14ac:dyDescent="0.15">
      <c r="B3478" s="306"/>
      <c r="C3478" s="65" t="s">
        <v>1587</v>
      </c>
      <c r="D3478" s="66">
        <f>VLOOKUP(C3478,基本字段定义!$B$3:$C$3013,2,FALSE)</f>
        <v>3609</v>
      </c>
      <c r="E3478" s="67" t="s">
        <v>365</v>
      </c>
      <c r="F3478" s="67" t="s">
        <v>169</v>
      </c>
      <c r="G3478" s="68" t="s">
        <v>1588</v>
      </c>
    </row>
    <row r="3479" spans="2:7" x14ac:dyDescent="0.15">
      <c r="B3479" s="306"/>
      <c r="C3479" s="65" t="s">
        <v>387</v>
      </c>
      <c r="D3479" s="66">
        <f>VLOOKUP(C3479,基本字段定义!$B$3:$C$3013,2,FALSE)</f>
        <v>599</v>
      </c>
      <c r="E3479" s="67" t="s">
        <v>365</v>
      </c>
      <c r="F3479" s="67"/>
      <c r="G3479" s="68" t="s">
        <v>389</v>
      </c>
    </row>
    <row r="3480" spans="2:7" x14ac:dyDescent="0.15">
      <c r="B3480" s="306"/>
      <c r="C3480" s="65" t="s">
        <v>666</v>
      </c>
      <c r="D3480" s="66">
        <f>VLOOKUP(C3480,基本字段定义!$B$3:$C$3013,2,FALSE)</f>
        <v>719</v>
      </c>
      <c r="E3480" s="67" t="s">
        <v>365</v>
      </c>
      <c r="F3480" s="67"/>
      <c r="G3480" s="68" t="s">
        <v>683</v>
      </c>
    </row>
    <row r="3481" spans="2:7" x14ac:dyDescent="0.15">
      <c r="B3481" s="306"/>
      <c r="C3481" s="65" t="s">
        <v>1848</v>
      </c>
      <c r="D3481" s="66">
        <f>VLOOKUP(C3481,基本字段定义!$B$3:$C$3013,2,FALSE)</f>
        <v>1027</v>
      </c>
      <c r="E3481" s="67" t="s">
        <v>563</v>
      </c>
      <c r="F3481" s="67"/>
      <c r="G3481" s="68" t="s">
        <v>1849</v>
      </c>
    </row>
    <row r="3482" spans="2:7" x14ac:dyDescent="0.15">
      <c r="B3482" s="306"/>
      <c r="C3482" s="65" t="s">
        <v>431</v>
      </c>
      <c r="D3482" s="66">
        <v>571</v>
      </c>
      <c r="E3482" s="67" t="s">
        <v>365</v>
      </c>
      <c r="F3482" s="67"/>
      <c r="G3482" s="68" t="s">
        <v>433</v>
      </c>
    </row>
    <row r="3483" spans="2:7" x14ac:dyDescent="0.15">
      <c r="B3483" s="299"/>
      <c r="C3483" s="65" t="s">
        <v>1607</v>
      </c>
      <c r="D3483" s="66">
        <f>VLOOKUP(C3483,基本字段定义!$B$3:$C$3013,2,FALSE)</f>
        <v>1756</v>
      </c>
      <c r="E3483" s="67" t="s">
        <v>365</v>
      </c>
      <c r="F3483" s="67"/>
      <c r="G3483" s="68" t="s">
        <v>430</v>
      </c>
    </row>
    <row r="3484" spans="2:7" x14ac:dyDescent="0.15">
      <c r="B3484" s="300" t="s">
        <v>361</v>
      </c>
      <c r="C3484" s="91" t="s">
        <v>387</v>
      </c>
      <c r="D3484" s="70">
        <f>VLOOKUP(C3484,基本字段定义!$B$3:$C$3013,2,FALSE)</f>
        <v>599</v>
      </c>
      <c r="E3484" s="92" t="s">
        <v>365</v>
      </c>
      <c r="F3484" s="93"/>
      <c r="G3484" s="94" t="s">
        <v>389</v>
      </c>
    </row>
    <row r="3485" spans="2:7" x14ac:dyDescent="0.15">
      <c r="B3485" s="301"/>
      <c r="C3485" s="69" t="s">
        <v>666</v>
      </c>
      <c r="D3485" s="70">
        <f>VLOOKUP(C3485,基本字段定义!$B$3:$C$3013,2,FALSE)</f>
        <v>719</v>
      </c>
      <c r="E3485" s="71" t="s">
        <v>365</v>
      </c>
      <c r="F3485" s="70"/>
      <c r="G3485" s="73" t="s">
        <v>683</v>
      </c>
    </row>
    <row r="3486" spans="2:7" x14ac:dyDescent="0.15">
      <c r="B3486" s="301"/>
      <c r="C3486" s="91" t="s">
        <v>759</v>
      </c>
      <c r="D3486" s="93">
        <v>720</v>
      </c>
      <c r="E3486" s="92" t="s">
        <v>365</v>
      </c>
      <c r="F3486" s="93"/>
      <c r="G3486" s="94" t="s">
        <v>760</v>
      </c>
    </row>
    <row r="3487" spans="2:7" x14ac:dyDescent="0.15">
      <c r="B3487" s="301"/>
      <c r="C3487" s="91" t="s">
        <v>1598</v>
      </c>
      <c r="D3487" s="93">
        <f>VLOOKUP(C3487,基本字段定义!$B$3:$C$3013,2,FALSE)</f>
        <v>1801</v>
      </c>
      <c r="E3487" s="92" t="s">
        <v>365</v>
      </c>
      <c r="F3487" s="93"/>
      <c r="G3487" s="94" t="s">
        <v>1850</v>
      </c>
    </row>
    <row r="3488" spans="2:7" x14ac:dyDescent="0.15">
      <c r="B3488" s="301"/>
      <c r="C3488" s="91" t="s">
        <v>691</v>
      </c>
      <c r="D3488" s="93">
        <f>VLOOKUP(C3488,基本字段定义!$B$3:$C$3013,2,FALSE)</f>
        <v>729</v>
      </c>
      <c r="E3488" s="92" t="s">
        <v>365</v>
      </c>
      <c r="F3488" s="93"/>
      <c r="G3488" s="94" t="s">
        <v>1851</v>
      </c>
    </row>
    <row r="3489" spans="2:7" x14ac:dyDescent="0.15">
      <c r="B3489" s="301"/>
      <c r="C3489" s="91" t="s">
        <v>839</v>
      </c>
      <c r="D3489" s="93">
        <f>VLOOKUP(C3489,基本字段定义!$B$3:$C$3013,2,FALSE)</f>
        <v>615</v>
      </c>
      <c r="E3489" s="92" t="s">
        <v>365</v>
      </c>
      <c r="F3489" s="93"/>
      <c r="G3489" s="94" t="s">
        <v>1852</v>
      </c>
    </row>
    <row r="3490" spans="2:7" x14ac:dyDescent="0.15">
      <c r="B3490" s="301"/>
      <c r="C3490" s="91" t="s">
        <v>687</v>
      </c>
      <c r="D3490" s="93">
        <f>VLOOKUP(C3490,基本字段定义!$B$3:$C$3013,2,FALSE)</f>
        <v>591</v>
      </c>
      <c r="E3490" s="92" t="s">
        <v>365</v>
      </c>
      <c r="F3490" s="93"/>
      <c r="G3490" s="94" t="s">
        <v>1702</v>
      </c>
    </row>
    <row r="3491" spans="2:7" x14ac:dyDescent="0.15">
      <c r="B3491" s="301"/>
      <c r="C3491" s="91" t="s">
        <v>1853</v>
      </c>
      <c r="D3491" s="93">
        <f>VLOOKUP(C3491,基本字段定义!$B$3:$C$3013,2,FALSE)</f>
        <v>1212</v>
      </c>
      <c r="E3491" s="92" t="s">
        <v>365</v>
      </c>
      <c r="F3491" s="93"/>
      <c r="G3491" s="94" t="s">
        <v>1854</v>
      </c>
    </row>
    <row r="3492" spans="2:7" x14ac:dyDescent="0.15">
      <c r="B3492" s="301"/>
      <c r="C3492" s="91" t="s">
        <v>693</v>
      </c>
      <c r="D3492" s="93">
        <f>VLOOKUP(C3492,基本字段定义!$B$3:$C$3013,2,FALSE)</f>
        <v>726</v>
      </c>
      <c r="E3492" s="92" t="s">
        <v>365</v>
      </c>
      <c r="F3492" s="93"/>
      <c r="G3492" s="163" t="s">
        <v>694</v>
      </c>
    </row>
    <row r="3493" spans="2:7" x14ac:dyDescent="0.15">
      <c r="B3493" s="301"/>
      <c r="C3493" s="91" t="s">
        <v>1848</v>
      </c>
      <c r="D3493" s="93">
        <f>VLOOKUP(C3493,基本字段定义!$B$3:$C$3013,2,FALSE)</f>
        <v>1027</v>
      </c>
      <c r="E3493" s="92" t="s">
        <v>365</v>
      </c>
      <c r="F3493" s="93"/>
      <c r="G3493" s="163" t="s">
        <v>1855</v>
      </c>
    </row>
    <row r="3494" spans="2:7" x14ac:dyDescent="0.15">
      <c r="B3494" s="301"/>
      <c r="C3494" s="69" t="s">
        <v>1856</v>
      </c>
      <c r="D3494" s="96">
        <f>VLOOKUP(C3494,基本字段定义!$B$3:$C$3013,2,FALSE)</f>
        <v>4172</v>
      </c>
      <c r="E3494" s="96" t="s">
        <v>365</v>
      </c>
      <c r="F3494" s="69"/>
      <c r="G3494" s="164" t="s">
        <v>1857</v>
      </c>
    </row>
    <row r="3495" spans="2:7" x14ac:dyDescent="0.15">
      <c r="B3495" s="301"/>
      <c r="C3495" s="152" t="s">
        <v>802</v>
      </c>
      <c r="D3495" s="152">
        <f>VLOOKUP(C3495,基本字段定义!$B$3:$C$3013,2,FALSE)</f>
        <v>1603</v>
      </c>
      <c r="E3495" s="165" t="s">
        <v>363</v>
      </c>
      <c r="F3495" s="152"/>
      <c r="G3495" s="166" t="s">
        <v>1630</v>
      </c>
    </row>
    <row r="3496" spans="2:7" ht="14.25" thickBot="1" x14ac:dyDescent="0.2">
      <c r="B3496" s="305"/>
      <c r="C3496" s="75" t="s">
        <v>1631</v>
      </c>
      <c r="D3496" s="75">
        <f>VLOOKUP(C3496,基本字段定义!$B$3:$C$3013,2,FALSE)</f>
        <v>1271</v>
      </c>
      <c r="E3496" s="167" t="s">
        <v>363</v>
      </c>
      <c r="F3496" s="75"/>
      <c r="G3496" s="168" t="s">
        <v>1632</v>
      </c>
    </row>
    <row r="3498" spans="2:7" x14ac:dyDescent="0.15">
      <c r="B3498" s="57" t="s">
        <v>163</v>
      </c>
      <c r="C3498" s="84">
        <v>204591</v>
      </c>
      <c r="D3498" s="85"/>
      <c r="E3498" s="86"/>
      <c r="F3498" s="58" t="s">
        <v>352</v>
      </c>
      <c r="G3498" s="59"/>
    </row>
    <row r="3499" spans="2:7" x14ac:dyDescent="0.15">
      <c r="B3499" s="60" t="s">
        <v>353</v>
      </c>
      <c r="C3499" s="87" t="str">
        <f>VLOOKUP(C3498,功能索引!$C$3:$D$278,2,FALSE)</f>
        <v>查询质押回购履约金比例</v>
      </c>
      <c r="D3499" s="88"/>
      <c r="E3499" s="89"/>
      <c r="F3499" s="61" t="s">
        <v>397</v>
      </c>
      <c r="G3499" s="62">
        <f>VLOOKUP(C3498,功能索引!$C$3:$E3546,3,FALSE)</f>
        <v>0</v>
      </c>
    </row>
    <row r="3500" spans="2:7" x14ac:dyDescent="0.15">
      <c r="B3500" s="299" t="s">
        <v>354</v>
      </c>
      <c r="C3500" s="99"/>
      <c r="D3500" s="100"/>
      <c r="E3500" s="100"/>
      <c r="F3500" s="100"/>
      <c r="G3500" s="101"/>
    </row>
    <row r="3501" spans="2:7" ht="14.25" thickBot="1" x14ac:dyDescent="0.2">
      <c r="B3501" s="304"/>
      <c r="C3501" s="102"/>
      <c r="D3501" s="103"/>
      <c r="E3501" s="103"/>
      <c r="F3501" s="103"/>
      <c r="G3501" s="104"/>
    </row>
    <row r="3502" spans="2:7" x14ac:dyDescent="0.15">
      <c r="B3502" s="298" t="s">
        <v>355</v>
      </c>
      <c r="C3502" s="58" t="s">
        <v>356</v>
      </c>
      <c r="D3502" s="58" t="s">
        <v>357</v>
      </c>
      <c r="E3502" s="58" t="s">
        <v>358</v>
      </c>
      <c r="F3502" s="58" t="s">
        <v>359</v>
      </c>
      <c r="G3502" s="64" t="s">
        <v>360</v>
      </c>
    </row>
    <row r="3503" spans="2:7" x14ac:dyDescent="0.15">
      <c r="B3503" s="299"/>
      <c r="C3503" s="65" t="s">
        <v>1146</v>
      </c>
      <c r="D3503" s="66">
        <f>VLOOKUP(C3503,基本字段定义!$B$3:$C$3013,2,FALSE)</f>
        <v>1077</v>
      </c>
      <c r="E3503" s="67" t="s">
        <v>365</v>
      </c>
      <c r="F3503" s="67" t="s">
        <v>169</v>
      </c>
      <c r="G3503" s="68" t="s">
        <v>1147</v>
      </c>
    </row>
    <row r="3504" spans="2:7" x14ac:dyDescent="0.15">
      <c r="B3504" s="299"/>
      <c r="C3504" s="65" t="s">
        <v>1631</v>
      </c>
      <c r="D3504" s="66">
        <f>VLOOKUP(C3504,基本字段定义!$B$3:$C$3013,2,FALSE)</f>
        <v>1271</v>
      </c>
      <c r="E3504" s="67" t="s">
        <v>365</v>
      </c>
      <c r="F3504" s="67"/>
      <c r="G3504" s="90" t="s">
        <v>1858</v>
      </c>
    </row>
    <row r="3505" spans="2:7" x14ac:dyDescent="0.15">
      <c r="B3505" s="300" t="s">
        <v>361</v>
      </c>
      <c r="C3505" s="91" t="s">
        <v>362</v>
      </c>
      <c r="D3505" s="70">
        <f>VLOOKUP(C3505,基本字段定义!$B$3:$C$3013,2,FALSE)</f>
        <v>507</v>
      </c>
      <c r="E3505" s="92" t="s">
        <v>365</v>
      </c>
      <c r="F3505" s="93"/>
      <c r="G3505" s="94" t="s">
        <v>403</v>
      </c>
    </row>
    <row r="3506" spans="2:7" x14ac:dyDescent="0.15">
      <c r="B3506" s="301"/>
      <c r="C3506" s="69" t="s">
        <v>364</v>
      </c>
      <c r="D3506" s="70">
        <f>VLOOKUP(C3506,基本字段定义!$B$3:$C$3013,2,FALSE)</f>
        <v>508</v>
      </c>
      <c r="E3506" s="71" t="s">
        <v>365</v>
      </c>
      <c r="F3506" s="70"/>
      <c r="G3506" s="73" t="s">
        <v>404</v>
      </c>
    </row>
    <row r="3507" spans="2:7" x14ac:dyDescent="0.15">
      <c r="B3507" s="301"/>
      <c r="C3507" s="91" t="s">
        <v>1270</v>
      </c>
      <c r="D3507" s="93">
        <f>VLOOKUP(C3507,基本字段定义!$B$3:$C$3013,2,FALSE)</f>
        <v>869</v>
      </c>
      <c r="E3507" s="92" t="s">
        <v>365</v>
      </c>
      <c r="F3507" s="93"/>
      <c r="G3507" s="94" t="s">
        <v>1859</v>
      </c>
    </row>
    <row r="3508" spans="2:7" x14ac:dyDescent="0.15">
      <c r="B3508" s="301"/>
      <c r="C3508" s="91" t="s">
        <v>1291</v>
      </c>
      <c r="D3508" s="93">
        <f>VLOOKUP(C3508,基本字段定义!$B$3:$C$3013,2,FALSE)</f>
        <v>517</v>
      </c>
      <c r="E3508" s="92" t="s">
        <v>365</v>
      </c>
      <c r="F3508" s="93"/>
      <c r="G3508" s="94" t="s">
        <v>1860</v>
      </c>
    </row>
    <row r="3509" spans="2:7" x14ac:dyDescent="0.15">
      <c r="B3509" s="301"/>
      <c r="C3509" s="91" t="s">
        <v>709</v>
      </c>
      <c r="D3509" s="93">
        <f>VLOOKUP(C3509,基本字段定义!$B$3:$C$3013,2,FALSE)</f>
        <v>524</v>
      </c>
      <c r="E3509" s="92" t="s">
        <v>365</v>
      </c>
      <c r="F3509" s="93"/>
      <c r="G3509" s="94" t="s">
        <v>1861</v>
      </c>
    </row>
    <row r="3510" spans="2:7" x14ac:dyDescent="0.15">
      <c r="B3510" s="301"/>
      <c r="C3510" s="91" t="s">
        <v>1631</v>
      </c>
      <c r="D3510" s="93">
        <f>VLOOKUP(C3510,基本字段定义!$B$3:$C$3013,2,FALSE)</f>
        <v>1271</v>
      </c>
      <c r="E3510" s="92" t="s">
        <v>365</v>
      </c>
      <c r="F3510" s="93"/>
      <c r="G3510" s="94" t="s">
        <v>1862</v>
      </c>
    </row>
    <row r="3511" spans="2:7" x14ac:dyDescent="0.15">
      <c r="B3511" s="301"/>
      <c r="C3511" s="91" t="s">
        <v>1863</v>
      </c>
      <c r="D3511" s="93">
        <f>VLOOKUP(C3511,基本字段定义!$B$3:$C$3013,2,FALSE)</f>
        <v>1178</v>
      </c>
      <c r="E3511" s="92" t="s">
        <v>365</v>
      </c>
      <c r="F3511" s="93"/>
      <c r="G3511" s="94" t="s">
        <v>1864</v>
      </c>
    </row>
    <row r="3512" spans="2:7" x14ac:dyDescent="0.15">
      <c r="B3512" s="301"/>
      <c r="C3512" s="91" t="s">
        <v>1595</v>
      </c>
      <c r="D3512" s="93">
        <v>9318</v>
      </c>
      <c r="E3512" s="92" t="s">
        <v>365</v>
      </c>
      <c r="F3512" s="93"/>
      <c r="G3512" s="163" t="s">
        <v>1782</v>
      </c>
    </row>
    <row r="3513" spans="2:7" x14ac:dyDescent="0.15">
      <c r="B3513" s="301"/>
      <c r="C3513" s="91" t="s">
        <v>1611</v>
      </c>
      <c r="D3513" s="93">
        <v>1951</v>
      </c>
      <c r="E3513" s="92" t="s">
        <v>365</v>
      </c>
      <c r="F3513" s="93"/>
      <c r="G3513" s="163" t="s">
        <v>1865</v>
      </c>
    </row>
    <row r="3514" spans="2:7" x14ac:dyDescent="0.15">
      <c r="B3514" s="301"/>
      <c r="C3514" s="91" t="s">
        <v>1557</v>
      </c>
      <c r="D3514" s="93">
        <v>1248</v>
      </c>
      <c r="E3514" s="92" t="s">
        <v>365</v>
      </c>
      <c r="F3514" s="93"/>
      <c r="G3514" s="163" t="s">
        <v>1866</v>
      </c>
    </row>
    <row r="3515" spans="2:7" x14ac:dyDescent="0.15">
      <c r="B3515" s="301"/>
      <c r="C3515" s="91" t="s">
        <v>1600</v>
      </c>
      <c r="D3515" s="93">
        <v>9147</v>
      </c>
      <c r="E3515" s="92" t="s">
        <v>365</v>
      </c>
      <c r="F3515" s="93"/>
      <c r="G3515" s="163" t="s">
        <v>1601</v>
      </c>
    </row>
    <row r="3516" spans="2:7" ht="14.25" thickBot="1" x14ac:dyDescent="0.2">
      <c r="B3516" s="305"/>
      <c r="C3516" s="75"/>
      <c r="D3516" s="75"/>
      <c r="E3516" s="167"/>
      <c r="F3516" s="75"/>
      <c r="G3516" s="75"/>
    </row>
    <row r="3518" spans="2:7" x14ac:dyDescent="0.15">
      <c r="B3518" s="57" t="s">
        <v>163</v>
      </c>
      <c r="C3518" s="84">
        <v>304233</v>
      </c>
      <c r="D3518" s="85"/>
      <c r="E3518" s="86"/>
      <c r="F3518" s="58" t="s">
        <v>352</v>
      </c>
      <c r="G3518" s="59"/>
    </row>
    <row r="3519" spans="2:7" x14ac:dyDescent="0.15">
      <c r="B3519" s="60" t="s">
        <v>353</v>
      </c>
      <c r="C3519" s="87" t="str">
        <f>VLOOKUP(C3518,功能索引!$C$3:$D$278,2,FALSE)</f>
        <v>查询质押回购标的证券_FOR快速微贷</v>
      </c>
      <c r="D3519" s="88"/>
      <c r="E3519" s="89"/>
      <c r="F3519" s="61" t="s">
        <v>397</v>
      </c>
      <c r="G3519" s="62" t="str">
        <f>VLOOKUP(C3518,功能索引!$C$3:$E3562,3,FALSE)</f>
        <v>Y</v>
      </c>
    </row>
    <row r="3520" spans="2:7" x14ac:dyDescent="0.15">
      <c r="B3520" s="299" t="s">
        <v>354</v>
      </c>
      <c r="C3520" s="99"/>
      <c r="D3520" s="100"/>
      <c r="E3520" s="100"/>
      <c r="F3520" s="100"/>
      <c r="G3520" s="101"/>
    </row>
    <row r="3521" spans="2:7" ht="14.25" thickBot="1" x14ac:dyDescent="0.2">
      <c r="B3521" s="304"/>
      <c r="C3521" s="102"/>
      <c r="D3521" s="103"/>
      <c r="E3521" s="103"/>
      <c r="F3521" s="103"/>
      <c r="G3521" s="104"/>
    </row>
    <row r="3522" spans="2:7" x14ac:dyDescent="0.15">
      <c r="B3522" s="298" t="s">
        <v>355</v>
      </c>
      <c r="C3522" s="58" t="s">
        <v>356</v>
      </c>
      <c r="D3522" s="58" t="s">
        <v>357</v>
      </c>
      <c r="E3522" s="58" t="s">
        <v>358</v>
      </c>
      <c r="F3522" s="58" t="s">
        <v>359</v>
      </c>
      <c r="G3522" s="64" t="s">
        <v>360</v>
      </c>
    </row>
    <row r="3523" spans="2:7" x14ac:dyDescent="0.15">
      <c r="B3523" s="299"/>
      <c r="C3523" s="65" t="s">
        <v>1587</v>
      </c>
      <c r="D3523" s="66">
        <f>VLOOKUP(C3523,基本字段定义!$B$3:$C$3013,2,FALSE)</f>
        <v>3609</v>
      </c>
      <c r="E3523" s="67" t="s">
        <v>363</v>
      </c>
      <c r="F3523" s="67" t="s">
        <v>363</v>
      </c>
      <c r="G3523" s="68" t="s">
        <v>1588</v>
      </c>
    </row>
    <row r="3524" spans="2:7" x14ac:dyDescent="0.15">
      <c r="B3524" s="299"/>
      <c r="C3524" s="65" t="s">
        <v>387</v>
      </c>
      <c r="D3524" s="66">
        <f>VLOOKUP(C3524,基本字段定义!$B$3:$C$3013,2,FALSE)</f>
        <v>599</v>
      </c>
      <c r="E3524" s="67" t="s">
        <v>365</v>
      </c>
      <c r="F3524" s="67" t="s">
        <v>363</v>
      </c>
      <c r="G3524" s="68"/>
    </row>
    <row r="3525" spans="2:7" x14ac:dyDescent="0.15">
      <c r="B3525" s="299"/>
      <c r="C3525" s="65" t="s">
        <v>666</v>
      </c>
      <c r="D3525" s="66">
        <f>VLOOKUP(C3525,基本字段定义!$B$3:$C$3013,2,FALSE)</f>
        <v>719</v>
      </c>
      <c r="E3525" s="67" t="s">
        <v>365</v>
      </c>
      <c r="F3525" s="67" t="s">
        <v>363</v>
      </c>
      <c r="G3525" s="68"/>
    </row>
    <row r="3526" spans="2:7" x14ac:dyDescent="0.15">
      <c r="B3526" s="299"/>
      <c r="C3526" s="65" t="s">
        <v>1701</v>
      </c>
      <c r="D3526" s="66">
        <v>1185</v>
      </c>
      <c r="E3526" s="67" t="s">
        <v>365</v>
      </c>
      <c r="F3526" s="67" t="s">
        <v>363</v>
      </c>
      <c r="G3526" s="68" t="s">
        <v>1867</v>
      </c>
    </row>
    <row r="3527" spans="2:7" x14ac:dyDescent="0.15">
      <c r="B3527" s="299"/>
      <c r="C3527" s="65" t="s">
        <v>529</v>
      </c>
      <c r="D3527" s="66">
        <f>VLOOKUP(C3527,基本字段定义!$B$3:$C$3013,2,FALSE)</f>
        <v>1332</v>
      </c>
      <c r="E3527" s="67" t="s">
        <v>365</v>
      </c>
      <c r="F3527" s="67" t="s">
        <v>169</v>
      </c>
      <c r="G3527" s="68" t="s">
        <v>1868</v>
      </c>
    </row>
    <row r="3528" spans="2:7" x14ac:dyDescent="0.15">
      <c r="B3528" s="299"/>
      <c r="C3528" s="65" t="s">
        <v>1579</v>
      </c>
      <c r="D3528" s="66">
        <f>VLOOKUP(C3528,基本字段定义!$B$3:$C$3013,2,FALSE)</f>
        <v>1894</v>
      </c>
      <c r="E3528" s="67" t="s">
        <v>365</v>
      </c>
      <c r="F3528" s="67" t="s">
        <v>169</v>
      </c>
      <c r="G3528" s="90" t="s">
        <v>1869</v>
      </c>
    </row>
    <row r="3529" spans="2:7" x14ac:dyDescent="0.15">
      <c r="B3529" s="300" t="s">
        <v>361</v>
      </c>
      <c r="C3529" s="91" t="s">
        <v>362</v>
      </c>
      <c r="D3529" s="70">
        <f>VLOOKUP(C3529,基本字段定义!$B$3:$C$3013,2,FALSE)</f>
        <v>507</v>
      </c>
      <c r="E3529" s="92" t="s">
        <v>365</v>
      </c>
      <c r="F3529" s="93"/>
      <c r="G3529" s="94" t="s">
        <v>403</v>
      </c>
    </row>
    <row r="3530" spans="2:7" x14ac:dyDescent="0.15">
      <c r="B3530" s="301"/>
      <c r="C3530" s="69" t="s">
        <v>364</v>
      </c>
      <c r="D3530" s="70">
        <f>VLOOKUP(C3530,基本字段定义!$B$3:$C$3013,2,FALSE)</f>
        <v>508</v>
      </c>
      <c r="E3530" s="71" t="s">
        <v>365</v>
      </c>
      <c r="F3530" s="70"/>
      <c r="G3530" s="73" t="s">
        <v>404</v>
      </c>
    </row>
    <row r="3531" spans="2:7" x14ac:dyDescent="0.15">
      <c r="B3531" s="301"/>
      <c r="C3531" s="91" t="s">
        <v>1579</v>
      </c>
      <c r="D3531" s="93">
        <f>VLOOKUP(C3531,基本字段定义!$B$3:$C$3013,2,FALSE)</f>
        <v>1894</v>
      </c>
      <c r="E3531" s="92" t="s">
        <v>365</v>
      </c>
      <c r="F3531" s="93"/>
      <c r="G3531" s="94" t="s">
        <v>1801</v>
      </c>
    </row>
    <row r="3532" spans="2:7" x14ac:dyDescent="0.15">
      <c r="B3532" s="301"/>
      <c r="C3532" s="91" t="s">
        <v>529</v>
      </c>
      <c r="D3532" s="93">
        <f>VLOOKUP(C3532,基本字段定义!$B$3:$C$3013,2,FALSE)</f>
        <v>1332</v>
      </c>
      <c r="E3532" s="92" t="s">
        <v>365</v>
      </c>
      <c r="F3532" s="93"/>
      <c r="G3532" s="94" t="s">
        <v>358</v>
      </c>
    </row>
    <row r="3533" spans="2:7" x14ac:dyDescent="0.15">
      <c r="B3533" s="301"/>
      <c r="C3533" s="91" t="s">
        <v>1870</v>
      </c>
      <c r="D3533" s="93">
        <f>VLOOKUP(C3533,基本字段定义!$B$3:$C$3013,2,FALSE)</f>
        <v>1802</v>
      </c>
      <c r="E3533" s="92" t="s">
        <v>365</v>
      </c>
      <c r="F3533" s="93"/>
      <c r="G3533" s="94" t="s">
        <v>1871</v>
      </c>
    </row>
    <row r="3534" spans="2:7" x14ac:dyDescent="0.15">
      <c r="B3534" s="301"/>
      <c r="C3534" s="91" t="s">
        <v>1853</v>
      </c>
      <c r="D3534" s="93">
        <f>VLOOKUP(C3534,基本字段定义!$B$3:$C$3013,2,FALSE)</f>
        <v>1212</v>
      </c>
      <c r="E3534" s="92" t="s">
        <v>365</v>
      </c>
      <c r="F3534" s="93"/>
      <c r="G3534" s="94" t="s">
        <v>1597</v>
      </c>
    </row>
    <row r="3535" spans="2:7" x14ac:dyDescent="0.15">
      <c r="B3535" s="301"/>
      <c r="C3535" s="91" t="s">
        <v>1872</v>
      </c>
      <c r="D3535" s="93">
        <f>VLOOKUP(C3535,基本字段定义!$B$3:$C$3013,2,FALSE)</f>
        <v>3202</v>
      </c>
      <c r="E3535" s="92" t="s">
        <v>365</v>
      </c>
      <c r="F3535" s="93"/>
      <c r="G3535" s="94" t="s">
        <v>1873</v>
      </c>
    </row>
    <row r="3536" spans="2:7" x14ac:dyDescent="0.15">
      <c r="B3536" s="301"/>
      <c r="C3536" s="91" t="s">
        <v>666</v>
      </c>
      <c r="D3536" s="93">
        <f>VLOOKUP(C3536,基本字段定义!$B$3:$C$3013,2,FALSE)</f>
        <v>719</v>
      </c>
      <c r="E3536" s="92" t="s">
        <v>365</v>
      </c>
      <c r="F3536" s="93"/>
      <c r="G3536" s="94" t="s">
        <v>683</v>
      </c>
    </row>
    <row r="3537" spans="2:7" x14ac:dyDescent="0.15">
      <c r="B3537" s="301"/>
      <c r="C3537" s="91" t="s">
        <v>685</v>
      </c>
      <c r="D3537" s="93">
        <f>VLOOKUP(C3537,基本字段定义!$B$3:$C$3013,2,FALSE)</f>
        <v>722</v>
      </c>
      <c r="E3537" s="92" t="s">
        <v>365</v>
      </c>
      <c r="F3537" s="93"/>
      <c r="G3537" s="94" t="s">
        <v>686</v>
      </c>
    </row>
    <row r="3538" spans="2:7" x14ac:dyDescent="0.15">
      <c r="B3538" s="301"/>
      <c r="C3538" s="91" t="s">
        <v>387</v>
      </c>
      <c r="D3538" s="93">
        <f>VLOOKUP(C3538,基本字段定义!$B$3:$C$3013,2,FALSE)</f>
        <v>599</v>
      </c>
      <c r="E3538" s="92" t="s">
        <v>365</v>
      </c>
      <c r="F3538" s="93"/>
      <c r="G3538" s="94" t="s">
        <v>389</v>
      </c>
    </row>
    <row r="3539" spans="2:7" x14ac:dyDescent="0.15">
      <c r="B3539" s="301"/>
      <c r="C3539" s="69" t="s">
        <v>1587</v>
      </c>
      <c r="D3539" s="69">
        <f>VLOOKUP(C3539,基本字段定义!$B$3:$C$3013,2,FALSE)</f>
        <v>3609</v>
      </c>
      <c r="E3539" s="96" t="s">
        <v>363</v>
      </c>
      <c r="F3539" s="69"/>
      <c r="G3539" s="164" t="s">
        <v>1588</v>
      </c>
    </row>
    <row r="3540" spans="2:7" x14ac:dyDescent="0.15">
      <c r="B3540" s="301"/>
      <c r="C3540" s="69" t="s">
        <v>802</v>
      </c>
      <c r="D3540" s="69">
        <f>VLOOKUP(C3540,基本字段定义!$B$3:$C$3013,2,FALSE)</f>
        <v>1603</v>
      </c>
      <c r="E3540" s="96" t="s">
        <v>363</v>
      </c>
      <c r="F3540" s="69"/>
      <c r="G3540" s="164" t="s">
        <v>1630</v>
      </c>
    </row>
    <row r="3541" spans="2:7" ht="14.25" thickBot="1" x14ac:dyDescent="0.2">
      <c r="B3541" s="305"/>
      <c r="C3541" s="75" t="s">
        <v>1631</v>
      </c>
      <c r="D3541" s="75">
        <f>VLOOKUP(C3541,基本字段定义!$B$3:$C$3013,2,FALSE)</f>
        <v>1271</v>
      </c>
      <c r="E3541" s="167" t="s">
        <v>363</v>
      </c>
      <c r="F3541" s="75"/>
      <c r="G3541" s="168" t="s">
        <v>1632</v>
      </c>
    </row>
    <row r="3543" spans="2:7" x14ac:dyDescent="0.15">
      <c r="B3543" s="57" t="s">
        <v>163</v>
      </c>
      <c r="C3543" s="84">
        <v>204974</v>
      </c>
      <c r="D3543" s="85"/>
      <c r="E3543" s="86"/>
      <c r="F3543" s="58" t="s">
        <v>352</v>
      </c>
      <c r="G3543" s="59"/>
    </row>
    <row r="3544" spans="2:7" x14ac:dyDescent="0.15">
      <c r="B3544" s="60" t="s">
        <v>353</v>
      </c>
      <c r="C3544" s="87" t="str">
        <f>VLOOKUP(C3543,功能索引!$C$3:$D$278,2,FALSE)</f>
        <v>查询融券白名单信息</v>
      </c>
      <c r="D3544" s="88"/>
      <c r="E3544" s="89"/>
      <c r="F3544" s="61" t="s">
        <v>397</v>
      </c>
      <c r="G3544" s="62" t="str">
        <f>VLOOKUP(C3543,功能索引!$C$3:$E3583,3,FALSE)</f>
        <v>Y</v>
      </c>
    </row>
    <row r="3545" spans="2:7" x14ac:dyDescent="0.15">
      <c r="B3545" s="299" t="s">
        <v>354</v>
      </c>
      <c r="C3545" s="99"/>
      <c r="D3545" s="100"/>
      <c r="E3545" s="100"/>
      <c r="F3545" s="100"/>
      <c r="G3545" s="101"/>
    </row>
    <row r="3546" spans="2:7" ht="14.25" thickBot="1" x14ac:dyDescent="0.2">
      <c r="B3546" s="304"/>
      <c r="C3546" s="102"/>
      <c r="D3546" s="103"/>
      <c r="E3546" s="103"/>
      <c r="F3546" s="103"/>
      <c r="G3546" s="104"/>
    </row>
    <row r="3547" spans="2:7" x14ac:dyDescent="0.15">
      <c r="B3547" s="298" t="s">
        <v>355</v>
      </c>
      <c r="C3547" s="58" t="s">
        <v>356</v>
      </c>
      <c r="D3547" s="58" t="s">
        <v>357</v>
      </c>
      <c r="E3547" s="58" t="s">
        <v>358</v>
      </c>
      <c r="F3547" s="58" t="s">
        <v>359</v>
      </c>
      <c r="G3547" s="64" t="s">
        <v>360</v>
      </c>
    </row>
    <row r="3548" spans="2:7" x14ac:dyDescent="0.15">
      <c r="B3548" s="299"/>
      <c r="C3548" s="65" t="s">
        <v>399</v>
      </c>
      <c r="D3548" s="66">
        <f>VLOOKUP(C3548,基本字段定义!$B$3:$C$3013,2,FALSE)</f>
        <v>697</v>
      </c>
      <c r="E3548" s="67" t="s">
        <v>365</v>
      </c>
      <c r="F3548" s="67"/>
      <c r="G3548" s="68" t="s">
        <v>400</v>
      </c>
    </row>
    <row r="3549" spans="2:7" x14ac:dyDescent="0.15">
      <c r="B3549" s="299"/>
      <c r="C3549" s="65" t="s">
        <v>428</v>
      </c>
      <c r="D3549" s="66">
        <f>VLOOKUP(C3549,基本字段定义!$B$3:$C$3013,2,FALSE)</f>
        <v>605</v>
      </c>
      <c r="E3549" s="67" t="s">
        <v>429</v>
      </c>
      <c r="F3549" s="67"/>
      <c r="G3549" s="68" t="s">
        <v>430</v>
      </c>
    </row>
    <row r="3550" spans="2:7" x14ac:dyDescent="0.15">
      <c r="B3550" s="299"/>
      <c r="C3550" s="65" t="s">
        <v>443</v>
      </c>
      <c r="D3550" s="66">
        <f>VLOOKUP(C3550,基本字段定义!$B$3:$C$3013,2,FALSE)</f>
        <v>610</v>
      </c>
      <c r="E3550" s="67" t="s">
        <v>388</v>
      </c>
      <c r="F3550" s="67"/>
      <c r="G3550" s="68" t="s">
        <v>886</v>
      </c>
    </row>
    <row r="3551" spans="2:7" x14ac:dyDescent="0.15">
      <c r="B3551" s="299"/>
      <c r="C3551" s="65" t="s">
        <v>387</v>
      </c>
      <c r="D3551" s="66">
        <f>VLOOKUP(C3551,基本字段定义!$B$3:$C$3013,2,FALSE)</f>
        <v>599</v>
      </c>
      <c r="E3551" s="67" t="s">
        <v>388</v>
      </c>
      <c r="F3551" s="67"/>
      <c r="G3551" s="68" t="s">
        <v>389</v>
      </c>
    </row>
    <row r="3552" spans="2:7" x14ac:dyDescent="0.15">
      <c r="B3552" s="299"/>
      <c r="C3552" s="65" t="s">
        <v>666</v>
      </c>
      <c r="D3552" s="66">
        <f>VLOOKUP(C3552,基本字段定义!$B$3:$C$3013,2,FALSE)</f>
        <v>719</v>
      </c>
      <c r="E3552" s="67" t="s">
        <v>506</v>
      </c>
      <c r="F3552" s="67"/>
      <c r="G3552" s="68" t="s">
        <v>683</v>
      </c>
    </row>
    <row r="3553" spans="2:7" x14ac:dyDescent="0.15">
      <c r="B3553" s="299"/>
      <c r="C3553" s="65" t="s">
        <v>518</v>
      </c>
      <c r="D3553" s="66">
        <f>VLOOKUP(C3553,基本字段定义!$B$3:$C$3013,2,FALSE)</f>
        <v>981</v>
      </c>
      <c r="E3553" s="67" t="s">
        <v>1375</v>
      </c>
      <c r="F3553" s="67"/>
      <c r="G3553" s="90" t="s">
        <v>519</v>
      </c>
    </row>
    <row r="3554" spans="2:7" x14ac:dyDescent="0.15">
      <c r="B3554" s="300" t="s">
        <v>361</v>
      </c>
      <c r="C3554" s="91" t="s">
        <v>399</v>
      </c>
      <c r="D3554" s="70">
        <f>VLOOKUP(C3554,基本字段定义!$B$3:$C$3013,2,FALSE)</f>
        <v>697</v>
      </c>
      <c r="E3554" s="92" t="s">
        <v>365</v>
      </c>
      <c r="F3554" s="93"/>
      <c r="G3554" s="94" t="s">
        <v>400</v>
      </c>
    </row>
    <row r="3555" spans="2:7" x14ac:dyDescent="0.15">
      <c r="B3555" s="301"/>
      <c r="C3555" s="91" t="s">
        <v>428</v>
      </c>
      <c r="D3555" s="70">
        <f>VLOOKUP(C3555,基本字段定义!$B$3:$C$3013,2,FALSE)</f>
        <v>605</v>
      </c>
      <c r="E3555" s="92" t="s">
        <v>429</v>
      </c>
      <c r="F3555" s="70"/>
      <c r="G3555" s="94" t="s">
        <v>430</v>
      </c>
    </row>
    <row r="3556" spans="2:7" x14ac:dyDescent="0.15">
      <c r="B3556" s="301"/>
      <c r="C3556" s="91" t="s">
        <v>443</v>
      </c>
      <c r="D3556" s="93">
        <f>VLOOKUP(C3556,基本字段定义!$B$3:$C$3013,2,FALSE)</f>
        <v>610</v>
      </c>
      <c r="E3556" s="92" t="s">
        <v>388</v>
      </c>
      <c r="F3556" s="93"/>
      <c r="G3556" s="94" t="s">
        <v>886</v>
      </c>
    </row>
    <row r="3557" spans="2:7" x14ac:dyDescent="0.15">
      <c r="B3557" s="301"/>
      <c r="C3557" s="91" t="s">
        <v>387</v>
      </c>
      <c r="D3557" s="93">
        <f>VLOOKUP(C3557,基本字段定义!$B$3:$C$3013,2,FALSE)</f>
        <v>599</v>
      </c>
      <c r="E3557" s="92" t="s">
        <v>388</v>
      </c>
      <c r="F3557" s="93"/>
      <c r="G3557" s="94" t="s">
        <v>389</v>
      </c>
    </row>
    <row r="3558" spans="2:7" x14ac:dyDescent="0.15">
      <c r="B3558" s="301"/>
      <c r="C3558" s="91" t="s">
        <v>666</v>
      </c>
      <c r="D3558" s="93">
        <f>VLOOKUP(C3558,基本字段定义!$B$3:$C$3013,2,FALSE)</f>
        <v>719</v>
      </c>
      <c r="E3558" s="92" t="s">
        <v>506</v>
      </c>
      <c r="F3558" s="93"/>
      <c r="G3558" s="94" t="s">
        <v>683</v>
      </c>
    </row>
    <row r="3559" spans="2:7" x14ac:dyDescent="0.15">
      <c r="B3559" s="301"/>
      <c r="C3559" s="91" t="s">
        <v>518</v>
      </c>
      <c r="D3559" s="93">
        <f>VLOOKUP(C3559,基本字段定义!$B$3:$C$3013,2,FALSE)</f>
        <v>981</v>
      </c>
      <c r="E3559" s="92" t="s">
        <v>1375</v>
      </c>
      <c r="F3559" s="93"/>
      <c r="G3559" s="94" t="s">
        <v>519</v>
      </c>
    </row>
    <row r="3560" spans="2:7" ht="14.25" thickBot="1" x14ac:dyDescent="0.2">
      <c r="B3560" s="305"/>
      <c r="C3560" s="69"/>
      <c r="D3560" s="69"/>
      <c r="E3560" s="96"/>
      <c r="F3560" s="69"/>
      <c r="G3560" s="69"/>
    </row>
    <row r="3562" spans="2:7" x14ac:dyDescent="0.15">
      <c r="B3562" s="57" t="s">
        <v>163</v>
      </c>
      <c r="C3562" s="84">
        <v>302018</v>
      </c>
      <c r="D3562" s="85"/>
      <c r="E3562" s="86"/>
      <c r="F3562" s="58" t="s">
        <v>352</v>
      </c>
      <c r="G3562" s="59"/>
    </row>
    <row r="3563" spans="2:7" x14ac:dyDescent="0.15">
      <c r="B3563" s="60" t="s">
        <v>353</v>
      </c>
      <c r="C3563" s="87" t="str">
        <f>VLOOKUP(C3562,功能索引!$C$3:$D$278,2,FALSE)</f>
        <v>客户资料变更明细查询</v>
      </c>
      <c r="D3563" s="88"/>
      <c r="E3563" s="89"/>
      <c r="F3563" s="61" t="s">
        <v>165</v>
      </c>
      <c r="G3563" s="62" t="str">
        <f>VLOOKUP(C3562,功能索引!$C$3:$E3637,3,FALSE)</f>
        <v>Y</v>
      </c>
    </row>
    <row r="3564" spans="2:7" x14ac:dyDescent="0.15">
      <c r="B3564" s="299" t="s">
        <v>354</v>
      </c>
      <c r="C3564" s="99"/>
      <c r="D3564" s="100"/>
      <c r="E3564" s="100"/>
      <c r="F3564" s="100"/>
      <c r="G3564" s="101"/>
    </row>
    <row r="3565" spans="2:7" ht="14.25" thickBot="1" x14ac:dyDescent="0.2">
      <c r="B3565" s="304"/>
      <c r="C3565" s="102"/>
      <c r="D3565" s="103"/>
      <c r="E3565" s="103"/>
      <c r="F3565" s="103"/>
      <c r="G3565" s="104"/>
    </row>
    <row r="3566" spans="2:7" x14ac:dyDescent="0.15">
      <c r="B3566" s="298" t="s">
        <v>355</v>
      </c>
      <c r="C3566" s="58" t="s">
        <v>356</v>
      </c>
      <c r="D3566" s="58" t="s">
        <v>357</v>
      </c>
      <c r="E3566" s="58" t="s">
        <v>358</v>
      </c>
      <c r="F3566" s="58" t="s">
        <v>359</v>
      </c>
      <c r="G3566" s="64" t="s">
        <v>360</v>
      </c>
    </row>
    <row r="3567" spans="2:7" x14ac:dyDescent="0.15">
      <c r="B3567" s="299"/>
      <c r="C3567" s="65" t="s">
        <v>428</v>
      </c>
      <c r="D3567" s="66">
        <f>VLOOKUP(C3567,基本字段定义!$B$3:$C$3013,2,FALSE)</f>
        <v>605</v>
      </c>
      <c r="E3567" s="67" t="s">
        <v>429</v>
      </c>
      <c r="F3567" s="67" t="s">
        <v>169</v>
      </c>
      <c r="G3567" s="68" t="s">
        <v>430</v>
      </c>
    </row>
    <row r="3568" spans="2:7" ht="25.5" x14ac:dyDescent="0.15">
      <c r="B3568" s="299"/>
      <c r="C3568" s="65" t="s">
        <v>522</v>
      </c>
      <c r="D3568" s="66">
        <f>VLOOKUP(C3568,基本字段定义!$B$3:$C$3013,2,FALSE)</f>
        <v>694</v>
      </c>
      <c r="E3568" s="67" t="s">
        <v>365</v>
      </c>
      <c r="F3568" s="67"/>
      <c r="G3568" s="90" t="s">
        <v>1874</v>
      </c>
    </row>
    <row r="3569" spans="2:7" x14ac:dyDescent="0.15">
      <c r="B3569" s="299"/>
      <c r="C3569" s="65" t="s">
        <v>1875</v>
      </c>
      <c r="D3569" s="66">
        <f>VLOOKUP(C3569,基本字段定义!$B$3:$C$3013,2,FALSE)</f>
        <v>970</v>
      </c>
      <c r="E3569" s="67" t="s">
        <v>432</v>
      </c>
      <c r="F3569" s="67"/>
      <c r="G3569" s="68" t="s">
        <v>1876</v>
      </c>
    </row>
    <row r="3570" spans="2:7" x14ac:dyDescent="0.15">
      <c r="B3570" s="299"/>
      <c r="C3570" s="65" t="s">
        <v>510</v>
      </c>
      <c r="D3570" s="66">
        <f>VLOOKUP(C3570,基本字段定义!$B$3:$C$3013,2,FALSE)</f>
        <v>618</v>
      </c>
      <c r="E3570" s="67" t="s">
        <v>506</v>
      </c>
      <c r="F3570" s="67"/>
      <c r="G3570" s="68" t="s">
        <v>1050</v>
      </c>
    </row>
    <row r="3571" spans="2:7" x14ac:dyDescent="0.15">
      <c r="B3571" s="299"/>
      <c r="C3571" s="65" t="s">
        <v>512</v>
      </c>
      <c r="D3571" s="66">
        <f>VLOOKUP(C3571,基本字段定义!$B$3:$C$3013,2,FALSE)</f>
        <v>590</v>
      </c>
      <c r="E3571" s="67" t="s">
        <v>363</v>
      </c>
      <c r="F3571" s="67"/>
      <c r="G3571" s="68" t="s">
        <v>1155</v>
      </c>
    </row>
    <row r="3572" spans="2:7" x14ac:dyDescent="0.15">
      <c r="B3572" s="299"/>
      <c r="C3572" s="65" t="s">
        <v>612</v>
      </c>
      <c r="D3572" s="66">
        <f>VLOOKUP(C3572,基本字段定义!$B$3:$C$3013,2,FALSE)</f>
        <v>9109</v>
      </c>
      <c r="E3572" s="67" t="s">
        <v>363</v>
      </c>
      <c r="F3572" s="67"/>
      <c r="G3572" s="68" t="s">
        <v>613</v>
      </c>
    </row>
    <row r="3573" spans="2:7" x14ac:dyDescent="0.15">
      <c r="B3573" s="299"/>
      <c r="C3573" s="65" t="s">
        <v>616</v>
      </c>
      <c r="D3573" s="66">
        <f>VLOOKUP(C3573,基本字段定义!$B$3:$C$3013,2,FALSE)</f>
        <v>9110</v>
      </c>
      <c r="E3573" s="67" t="s">
        <v>363</v>
      </c>
      <c r="F3573" s="67"/>
      <c r="G3573" s="68" t="s">
        <v>937</v>
      </c>
    </row>
    <row r="3574" spans="2:7" x14ac:dyDescent="0.15">
      <c r="B3574" s="299"/>
      <c r="C3574" s="65" t="s">
        <v>614</v>
      </c>
      <c r="D3574" s="66">
        <f>VLOOKUP(C3574,基本字段定义!$B$3:$C$3013,2,FALSE)</f>
        <v>763</v>
      </c>
      <c r="E3574" s="67" t="s">
        <v>497</v>
      </c>
      <c r="F3574" s="67"/>
      <c r="G3574" s="68" t="s">
        <v>938</v>
      </c>
    </row>
    <row r="3575" spans="2:7" x14ac:dyDescent="0.15">
      <c r="B3575" s="299" t="s">
        <v>361</v>
      </c>
      <c r="C3575" s="69" t="s">
        <v>614</v>
      </c>
      <c r="D3575" s="70">
        <f>VLOOKUP(C3575,基本字段定义!$B$3:$C$3013,2,FALSE)</f>
        <v>763</v>
      </c>
      <c r="E3575" s="71" t="s">
        <v>365</v>
      </c>
      <c r="F3575" s="71"/>
      <c r="G3575" s="73" t="s">
        <v>618</v>
      </c>
    </row>
    <row r="3576" spans="2:7" x14ac:dyDescent="0.15">
      <c r="B3576" s="299"/>
      <c r="C3576" s="69" t="s">
        <v>1877</v>
      </c>
      <c r="D3576" s="70">
        <f>VLOOKUP(C3576,基本字段定义!$B$3:$C$3013,2,FALSE)</f>
        <v>569</v>
      </c>
      <c r="E3576" s="71" t="s">
        <v>365</v>
      </c>
      <c r="F3576" s="71"/>
      <c r="G3576" s="73" t="s">
        <v>400</v>
      </c>
    </row>
    <row r="3577" spans="2:7" x14ac:dyDescent="0.15">
      <c r="B3577" s="299"/>
      <c r="C3577" s="69" t="s">
        <v>544</v>
      </c>
      <c r="D3577" s="70">
        <f>VLOOKUP(C3577,基本字段定义!$B$3:$C$3013,2,FALSE)</f>
        <v>1055</v>
      </c>
      <c r="E3577" s="71" t="s">
        <v>365</v>
      </c>
      <c r="F3577" s="71"/>
      <c r="G3577" s="73" t="s">
        <v>1878</v>
      </c>
    </row>
    <row r="3578" spans="2:7" x14ac:dyDescent="0.15">
      <c r="B3578" s="299"/>
      <c r="C3578" s="69" t="s">
        <v>620</v>
      </c>
      <c r="D3578" s="70">
        <f>VLOOKUP(C3578,基本字段定义!$B$3:$C$3013,2,FALSE)</f>
        <v>865</v>
      </c>
      <c r="E3578" s="71" t="s">
        <v>363</v>
      </c>
      <c r="F3578" s="71"/>
      <c r="G3578" s="73" t="s">
        <v>621</v>
      </c>
    </row>
    <row r="3579" spans="2:7" x14ac:dyDescent="0.15">
      <c r="B3579" s="299"/>
      <c r="C3579" s="69" t="s">
        <v>522</v>
      </c>
      <c r="D3579" s="70">
        <f>VLOOKUP(C3579,基本字段定义!$B$3:$C$3013,2,FALSE)</f>
        <v>694</v>
      </c>
      <c r="E3579" s="71" t="s">
        <v>363</v>
      </c>
      <c r="F3579" s="71"/>
      <c r="G3579" s="73" t="s">
        <v>1879</v>
      </c>
    </row>
    <row r="3580" spans="2:7" x14ac:dyDescent="0.15">
      <c r="B3580" s="299"/>
      <c r="C3580" s="69" t="s">
        <v>496</v>
      </c>
      <c r="D3580" s="70">
        <f>VLOOKUP(C3580,基本字段定义!$B$3:$C$3013,2,FALSE)</f>
        <v>730</v>
      </c>
      <c r="E3580" s="71" t="s">
        <v>365</v>
      </c>
      <c r="F3580" s="71"/>
      <c r="G3580" s="73" t="s">
        <v>1546</v>
      </c>
    </row>
    <row r="3581" spans="2:7" x14ac:dyDescent="0.15">
      <c r="B3581" s="299"/>
      <c r="C3581" s="69" t="s">
        <v>1880</v>
      </c>
      <c r="D3581" s="70">
        <f>VLOOKUP(C3581,基本字段定义!$B$3:$C$3013,2,FALSE)</f>
        <v>1984</v>
      </c>
      <c r="E3581" s="71" t="s">
        <v>365</v>
      </c>
      <c r="F3581" s="71"/>
      <c r="G3581" s="73" t="s">
        <v>1881</v>
      </c>
    </row>
    <row r="3582" spans="2:7" x14ac:dyDescent="0.15">
      <c r="B3582" s="299"/>
      <c r="C3582" s="69" t="s">
        <v>601</v>
      </c>
      <c r="D3582" s="70">
        <f>VLOOKUP(C3582,基本字段定义!$B$3:$C$3013,2,FALSE)</f>
        <v>797</v>
      </c>
      <c r="E3582" s="71" t="s">
        <v>365</v>
      </c>
      <c r="F3582" s="71"/>
      <c r="G3582" s="73" t="s">
        <v>602</v>
      </c>
    </row>
    <row r="3583" spans="2:7" x14ac:dyDescent="0.15">
      <c r="B3583" s="299"/>
      <c r="C3583" s="69" t="s">
        <v>393</v>
      </c>
      <c r="D3583" s="70">
        <f>VLOOKUP(C3583,基本字段定义!$B$3:$C$3013,2,FALSE)</f>
        <v>651</v>
      </c>
      <c r="E3583" s="71" t="s">
        <v>363</v>
      </c>
      <c r="F3583" s="71"/>
      <c r="G3583" s="73" t="s">
        <v>1517</v>
      </c>
    </row>
    <row r="3584" spans="2:7" x14ac:dyDescent="0.15">
      <c r="B3584" s="299"/>
      <c r="C3584" s="69" t="s">
        <v>399</v>
      </c>
      <c r="D3584" s="70">
        <f>VLOOKUP(C3584,基本字段定义!$B$3:$C$3013,2,FALSE)</f>
        <v>697</v>
      </c>
      <c r="E3584" s="71" t="s">
        <v>365</v>
      </c>
      <c r="F3584" s="71"/>
      <c r="G3584" s="73" t="s">
        <v>400</v>
      </c>
    </row>
    <row r="3585" spans="2:7" ht="14.25" thickBot="1" x14ac:dyDescent="0.2">
      <c r="B3585" s="304"/>
      <c r="C3585" s="75"/>
      <c r="D3585" s="83"/>
      <c r="E3585" s="77"/>
      <c r="F3585" s="77"/>
      <c r="G3585" s="78"/>
    </row>
    <row r="3587" spans="2:7" x14ac:dyDescent="0.15">
      <c r="B3587" s="57" t="s">
        <v>163</v>
      </c>
      <c r="C3587" s="291">
        <v>303009</v>
      </c>
      <c r="D3587" s="291"/>
      <c r="E3587" s="291"/>
      <c r="F3587" s="58" t="s">
        <v>352</v>
      </c>
      <c r="G3587" s="59"/>
    </row>
    <row r="3588" spans="2:7" x14ac:dyDescent="0.15">
      <c r="B3588" s="60" t="s">
        <v>353</v>
      </c>
      <c r="C3588" s="290" t="str">
        <f>VLOOKUP(C3587,功能索引!$C$3:$D$278,2,FALSE)</f>
        <v>查询客户资金冻结明细</v>
      </c>
      <c r="D3588" s="290"/>
      <c r="E3588" s="290"/>
      <c r="F3588" s="61" t="s">
        <v>165</v>
      </c>
      <c r="G3588" s="62" t="str">
        <f>VLOOKUP(C3587,功能索引!$C$3:$E3601,3,FALSE)</f>
        <v>Y</v>
      </c>
    </row>
    <row r="3589" spans="2:7" x14ac:dyDescent="0.15">
      <c r="B3589" s="299" t="s">
        <v>354</v>
      </c>
      <c r="C3589" s="284"/>
      <c r="D3589" s="285"/>
      <c r="E3589" s="285"/>
      <c r="F3589" s="285"/>
      <c r="G3589" s="286"/>
    </row>
    <row r="3590" spans="2:7" ht="14.25" thickBot="1" x14ac:dyDescent="0.2">
      <c r="B3590" s="304"/>
      <c r="C3590" s="287"/>
      <c r="D3590" s="288"/>
      <c r="E3590" s="288"/>
      <c r="F3590" s="288"/>
      <c r="G3590" s="289"/>
    </row>
    <row r="3591" spans="2:7" x14ac:dyDescent="0.15">
      <c r="B3591" s="298" t="s">
        <v>355</v>
      </c>
      <c r="C3591" s="58" t="s">
        <v>356</v>
      </c>
      <c r="D3591" s="58" t="s">
        <v>357</v>
      </c>
      <c r="E3591" s="58" t="s">
        <v>358</v>
      </c>
      <c r="F3591" s="58" t="s">
        <v>359</v>
      </c>
      <c r="G3591" s="64" t="s">
        <v>360</v>
      </c>
    </row>
    <row r="3592" spans="2:7" x14ac:dyDescent="0.15">
      <c r="B3592" s="306"/>
      <c r="C3592" s="169" t="s">
        <v>428</v>
      </c>
      <c r="D3592" s="106">
        <f>VLOOKUP(C3592,基本字段定义!$B$3:$C$3013,2,FALSE)</f>
        <v>605</v>
      </c>
      <c r="E3592" s="106"/>
      <c r="F3592" s="106" t="s">
        <v>169</v>
      </c>
      <c r="G3592" s="170" t="s">
        <v>430</v>
      </c>
    </row>
    <row r="3593" spans="2:7" x14ac:dyDescent="0.15">
      <c r="B3593" s="306"/>
      <c r="C3593" s="169" t="s">
        <v>614</v>
      </c>
      <c r="D3593" s="106">
        <f>VLOOKUP(C3593,基本字段定义!$B$3:$C$3013,2,FALSE)</f>
        <v>763</v>
      </c>
      <c r="E3593" s="106" t="s">
        <v>365</v>
      </c>
      <c r="F3593" s="106"/>
      <c r="G3593" s="170" t="s">
        <v>615</v>
      </c>
    </row>
    <row r="3594" spans="2:7" x14ac:dyDescent="0.15">
      <c r="B3594" s="306"/>
      <c r="C3594" s="169" t="s">
        <v>612</v>
      </c>
      <c r="D3594" s="106">
        <f>VLOOKUP(C3594,基本字段定义!$B$3:$C$3013,2,FALSE)</f>
        <v>9109</v>
      </c>
      <c r="E3594" s="106" t="s">
        <v>363</v>
      </c>
      <c r="F3594" s="106"/>
      <c r="G3594" s="170" t="s">
        <v>613</v>
      </c>
    </row>
    <row r="3595" spans="2:7" x14ac:dyDescent="0.15">
      <c r="B3595" s="299"/>
      <c r="C3595" s="169" t="s">
        <v>616</v>
      </c>
      <c r="D3595" s="106">
        <f>VLOOKUP(C3595,基本字段定义!$B$3:$C$3013,2,FALSE)</f>
        <v>9110</v>
      </c>
      <c r="E3595" s="106" t="s">
        <v>363</v>
      </c>
      <c r="F3595" s="106"/>
      <c r="G3595" s="170" t="s">
        <v>1882</v>
      </c>
    </row>
    <row r="3596" spans="2:7" x14ac:dyDescent="0.15">
      <c r="B3596" s="299"/>
      <c r="C3596" s="169" t="s">
        <v>510</v>
      </c>
      <c r="D3596" s="106">
        <f>VLOOKUP(C3596,基本字段定义!$B$3:$C$3013,2,FALSE)</f>
        <v>618</v>
      </c>
      <c r="E3596" s="106" t="s">
        <v>363</v>
      </c>
      <c r="F3596" s="106"/>
      <c r="G3596" s="170" t="s">
        <v>1050</v>
      </c>
    </row>
    <row r="3597" spans="2:7" x14ac:dyDescent="0.15">
      <c r="B3597" s="299"/>
      <c r="C3597" s="169" t="s">
        <v>512</v>
      </c>
      <c r="D3597" s="106">
        <f>VLOOKUP(C3597,基本字段定义!$B$3:$C$3013,2,FALSE)</f>
        <v>590</v>
      </c>
      <c r="E3597" s="106" t="s">
        <v>363</v>
      </c>
      <c r="F3597" s="106"/>
      <c r="G3597" s="170" t="s">
        <v>1155</v>
      </c>
    </row>
    <row r="3598" spans="2:7" x14ac:dyDescent="0.15">
      <c r="B3598" s="299" t="s">
        <v>361</v>
      </c>
      <c r="C3598" s="69" t="s">
        <v>614</v>
      </c>
      <c r="D3598" s="70">
        <f>VLOOKUP(C3598,基本字段定义!$B$3:$C$3013,2,FALSE)</f>
        <v>763</v>
      </c>
      <c r="E3598" s="71" t="s">
        <v>363</v>
      </c>
      <c r="F3598" s="71" t="s">
        <v>1883</v>
      </c>
      <c r="G3598" s="73"/>
    </row>
    <row r="3599" spans="2:7" x14ac:dyDescent="0.15">
      <c r="B3599" s="299"/>
      <c r="C3599" s="69" t="s">
        <v>1884</v>
      </c>
      <c r="D3599" s="70">
        <f>VLOOKUP(C3599,基本字段定义!$B$3:$C$3013,2,FALSE)</f>
        <v>1465</v>
      </c>
      <c r="E3599" s="71" t="s">
        <v>371</v>
      </c>
      <c r="F3599" s="71" t="s">
        <v>1885</v>
      </c>
      <c r="G3599" s="73"/>
    </row>
    <row r="3600" spans="2:7" x14ac:dyDescent="0.15">
      <c r="B3600" s="299"/>
      <c r="C3600" s="69" t="s">
        <v>1877</v>
      </c>
      <c r="D3600" s="70">
        <f>VLOOKUP(C3600,基本字段定义!$B$3:$C$3013,2,FALSE)</f>
        <v>569</v>
      </c>
      <c r="E3600" s="71" t="s">
        <v>371</v>
      </c>
      <c r="F3600" s="71" t="s">
        <v>1886</v>
      </c>
      <c r="G3600" s="73"/>
    </row>
    <row r="3601" spans="2:7" x14ac:dyDescent="0.15">
      <c r="B3601" s="299"/>
      <c r="C3601" s="69" t="s">
        <v>620</v>
      </c>
      <c r="D3601" s="70">
        <f>VLOOKUP(C3601,基本字段定义!$B$3:$C$3013,2,FALSE)</f>
        <v>865</v>
      </c>
      <c r="E3601" s="71" t="s">
        <v>363</v>
      </c>
      <c r="F3601" s="71" t="s">
        <v>621</v>
      </c>
      <c r="G3601" s="73"/>
    </row>
    <row r="3602" spans="2:7" x14ac:dyDescent="0.15">
      <c r="B3602" s="299"/>
      <c r="C3602" s="69" t="s">
        <v>1661</v>
      </c>
      <c r="D3602" s="70">
        <f>VLOOKUP(C3601,基本字段定义!$B$3:$C$3013,2,FALSE)</f>
        <v>865</v>
      </c>
      <c r="E3602" s="71" t="s">
        <v>371</v>
      </c>
      <c r="F3602" s="71" t="s">
        <v>1887</v>
      </c>
      <c r="G3602" s="73"/>
    </row>
    <row r="3603" spans="2:7" x14ac:dyDescent="0.15">
      <c r="B3603" s="299"/>
      <c r="C3603" s="69" t="s">
        <v>443</v>
      </c>
      <c r="D3603" s="70">
        <f>VLOOKUP(C3602,基本字段定义!$B$3:$C$3013,2,FALSE)</f>
        <v>800</v>
      </c>
      <c r="E3603" s="71" t="s">
        <v>388</v>
      </c>
      <c r="F3603" s="71" t="s">
        <v>886</v>
      </c>
      <c r="G3603" s="73"/>
    </row>
    <row r="3604" spans="2:7" x14ac:dyDescent="0.15">
      <c r="B3604" s="299"/>
      <c r="C3604" s="69" t="s">
        <v>428</v>
      </c>
      <c r="D3604" s="70">
        <f>VLOOKUP(C3603,基本字段定义!$B$3:$C$3013,2,FALSE)</f>
        <v>610</v>
      </c>
      <c r="E3604" s="71" t="s">
        <v>429</v>
      </c>
      <c r="F3604" s="71" t="s">
        <v>430</v>
      </c>
      <c r="G3604" s="73"/>
    </row>
    <row r="3605" spans="2:7" x14ac:dyDescent="0.15">
      <c r="B3605" s="299"/>
      <c r="C3605" s="69" t="s">
        <v>399</v>
      </c>
      <c r="D3605" s="70">
        <f>VLOOKUP(C3604,基本字段定义!$B$3:$C$3013,2,FALSE)</f>
        <v>605</v>
      </c>
      <c r="E3605" s="71" t="s">
        <v>371</v>
      </c>
      <c r="F3605" s="71" t="s">
        <v>400</v>
      </c>
      <c r="G3605" s="73"/>
    </row>
    <row r="3606" spans="2:7" x14ac:dyDescent="0.15">
      <c r="B3606" s="299"/>
      <c r="C3606" s="69" t="s">
        <v>550</v>
      </c>
      <c r="D3606" s="70">
        <f>VLOOKUP(C3605,基本字段定义!$B$3:$C$3013,2,FALSE)</f>
        <v>697</v>
      </c>
      <c r="E3606" s="71" t="s">
        <v>553</v>
      </c>
      <c r="F3606" s="71" t="s">
        <v>551</v>
      </c>
      <c r="G3606" s="73"/>
    </row>
    <row r="3607" spans="2:7" x14ac:dyDescent="0.15">
      <c r="B3607" s="299"/>
      <c r="C3607" s="69" t="s">
        <v>446</v>
      </c>
      <c r="D3607" s="70">
        <f>VLOOKUP(C3606,基本字段定义!$B$3:$C$3013,2,FALSE)</f>
        <v>511</v>
      </c>
      <c r="E3607" s="71" t="s">
        <v>438</v>
      </c>
      <c r="F3607" s="71" t="s">
        <v>823</v>
      </c>
      <c r="G3607" s="73"/>
    </row>
    <row r="3608" spans="2:7" x14ac:dyDescent="0.15">
      <c r="B3608" s="299"/>
      <c r="C3608" s="69" t="s">
        <v>548</v>
      </c>
      <c r="D3608" s="70">
        <f>VLOOKUP(C3607,基本字段定义!$B$3:$C$3013,2,FALSE)</f>
        <v>613</v>
      </c>
      <c r="E3608" s="71" t="s">
        <v>579</v>
      </c>
      <c r="F3608" s="71" t="s">
        <v>676</v>
      </c>
      <c r="G3608" s="73"/>
    </row>
    <row r="3609" spans="2:7" x14ac:dyDescent="0.15">
      <c r="B3609" s="299"/>
      <c r="C3609" s="69" t="s">
        <v>496</v>
      </c>
      <c r="D3609" s="70">
        <f>VLOOKUP(C3609,基本字段定义!$B$3:$C$3013,2,FALSE)</f>
        <v>730</v>
      </c>
      <c r="E3609" s="71" t="s">
        <v>485</v>
      </c>
      <c r="F3609" s="71" t="s">
        <v>1546</v>
      </c>
      <c r="G3609" s="73"/>
    </row>
    <row r="3610" spans="2:7" x14ac:dyDescent="0.15">
      <c r="B3610" s="299"/>
      <c r="C3610" s="69" t="s">
        <v>1888</v>
      </c>
      <c r="D3610" s="70">
        <f>VLOOKUP(C3610,基本字段定义!$B$3:$C$3013,2,FALSE)</f>
        <v>1140</v>
      </c>
      <c r="E3610" s="71" t="s">
        <v>363</v>
      </c>
      <c r="F3610" s="71" t="s">
        <v>1889</v>
      </c>
      <c r="G3610" s="73"/>
    </row>
    <row r="3611" spans="2:7" x14ac:dyDescent="0.15">
      <c r="B3611" s="299"/>
      <c r="C3611" s="69" t="s">
        <v>1066</v>
      </c>
      <c r="D3611" s="70">
        <f>VLOOKUP(C3611,基本字段定义!$B$3:$C$3013,2,FALSE)</f>
        <v>9150</v>
      </c>
      <c r="E3611" s="71" t="s">
        <v>363</v>
      </c>
      <c r="F3611" s="71" t="s">
        <v>1890</v>
      </c>
      <c r="G3611" s="73"/>
    </row>
    <row r="3612" spans="2:7" x14ac:dyDescent="0.15">
      <c r="B3612" s="299"/>
      <c r="C3612" s="69" t="s">
        <v>1880</v>
      </c>
      <c r="D3612" s="70">
        <f>VLOOKUP(C3612,基本字段定义!$B$3:$C$3013,2,FALSE)</f>
        <v>1984</v>
      </c>
      <c r="E3612" s="71" t="s">
        <v>363</v>
      </c>
      <c r="F3612" s="71" t="s">
        <v>1881</v>
      </c>
      <c r="G3612" s="73"/>
    </row>
    <row r="3613" spans="2:7" x14ac:dyDescent="0.15">
      <c r="B3613" s="299"/>
      <c r="C3613" s="69" t="s">
        <v>601</v>
      </c>
      <c r="D3613" s="70">
        <f>VLOOKUP(C3613,基本字段定义!$B$3:$C$3013,2,FALSE)</f>
        <v>797</v>
      </c>
      <c r="E3613" s="71" t="s">
        <v>363</v>
      </c>
      <c r="F3613" s="71" t="s">
        <v>602</v>
      </c>
      <c r="G3613" s="73"/>
    </row>
    <row r="3614" spans="2:7" x14ac:dyDescent="0.15">
      <c r="B3614" s="299"/>
      <c r="C3614" s="69" t="s">
        <v>393</v>
      </c>
      <c r="D3614" s="70">
        <f>VLOOKUP(C3614,基本字段定义!$B$3:$C$3013,2,FALSE)</f>
        <v>651</v>
      </c>
      <c r="E3614" s="71" t="s">
        <v>1375</v>
      </c>
      <c r="F3614" s="71" t="s">
        <v>619</v>
      </c>
      <c r="G3614" s="73"/>
    </row>
    <row r="3615" spans="2:7" x14ac:dyDescent="0.15">
      <c r="B3615" s="299"/>
      <c r="C3615" s="69" t="s">
        <v>1891</v>
      </c>
      <c r="D3615" s="70">
        <f>VLOOKUP(C3615,基本字段定义!$B$3:$C$3013,2,FALSE)</f>
        <v>533</v>
      </c>
      <c r="E3615" s="71" t="s">
        <v>1892</v>
      </c>
      <c r="F3615" s="71" t="s">
        <v>1893</v>
      </c>
      <c r="G3615" s="73" t="s">
        <v>1894</v>
      </c>
    </row>
    <row r="3616" spans="2:7" x14ac:dyDescent="0.15">
      <c r="B3616" s="299"/>
      <c r="C3616" s="69" t="s">
        <v>542</v>
      </c>
      <c r="D3616" s="70">
        <f>VLOOKUP(C3616,基本字段定义!$B$3:$C$3013,2,FALSE)</f>
        <v>756</v>
      </c>
      <c r="E3616" s="71" t="s">
        <v>1892</v>
      </c>
      <c r="F3616" s="71" t="s">
        <v>543</v>
      </c>
      <c r="G3616" s="73"/>
    </row>
    <row r="3617" spans="2:7" ht="14.25" thickBot="1" x14ac:dyDescent="0.2">
      <c r="B3617" s="304"/>
      <c r="C3617" s="75" t="s">
        <v>608</v>
      </c>
      <c r="D3617" s="83">
        <f>VLOOKUP(C3617,基本字段定义!$B$3:$C$3013,2,FALSE)</f>
        <v>808</v>
      </c>
      <c r="E3617" s="77" t="s">
        <v>1615</v>
      </c>
      <c r="F3617" s="77" t="s">
        <v>1471</v>
      </c>
      <c r="G3617" s="78"/>
    </row>
    <row r="3619" spans="2:7" x14ac:dyDescent="0.15">
      <c r="B3619" s="57" t="s">
        <v>163</v>
      </c>
      <c r="C3619" s="84">
        <v>204583</v>
      </c>
      <c r="D3619" s="85"/>
      <c r="E3619" s="86"/>
      <c r="F3619" s="58" t="s">
        <v>352</v>
      </c>
      <c r="G3619" s="59"/>
    </row>
    <row r="3620" spans="2:7" x14ac:dyDescent="0.15">
      <c r="B3620" s="60" t="s">
        <v>353</v>
      </c>
      <c r="C3620" s="87" t="s">
        <v>280</v>
      </c>
      <c r="D3620" s="88"/>
      <c r="E3620" s="89"/>
      <c r="F3620" s="61" t="s">
        <v>165</v>
      </c>
      <c r="G3620" s="62">
        <v>0</v>
      </c>
    </row>
    <row r="3621" spans="2:7" x14ac:dyDescent="0.15">
      <c r="B3621" s="299" t="s">
        <v>354</v>
      </c>
      <c r="C3621" s="99" t="s">
        <v>280</v>
      </c>
      <c r="D3621" s="100"/>
      <c r="E3621" s="100"/>
      <c r="F3621" s="100"/>
      <c r="G3621" s="101"/>
    </row>
    <row r="3622" spans="2:7" ht="14.25" thickBot="1" x14ac:dyDescent="0.2">
      <c r="B3622" s="304"/>
      <c r="C3622" s="102"/>
      <c r="D3622" s="103"/>
      <c r="E3622" s="103"/>
      <c r="F3622" s="103"/>
      <c r="G3622" s="104"/>
    </row>
    <row r="3623" spans="2:7" x14ac:dyDescent="0.15">
      <c r="B3623" s="298" t="s">
        <v>355</v>
      </c>
      <c r="C3623" s="58" t="s">
        <v>356</v>
      </c>
      <c r="D3623" s="58" t="s">
        <v>357</v>
      </c>
      <c r="E3623" s="58" t="s">
        <v>358</v>
      </c>
      <c r="F3623" s="58" t="s">
        <v>359</v>
      </c>
      <c r="G3623" s="171" t="s">
        <v>360</v>
      </c>
    </row>
    <row r="3624" spans="2:7" x14ac:dyDescent="0.15">
      <c r="B3624" s="299"/>
      <c r="C3624" s="169" t="s">
        <v>1720</v>
      </c>
      <c r="D3624" s="106">
        <f>VLOOKUP(C3624,基本字段定义!$B$3:$C$3013,2,FALSE)</f>
        <v>889</v>
      </c>
      <c r="E3624" s="106" t="s">
        <v>363</v>
      </c>
      <c r="F3624" s="106" t="s">
        <v>169</v>
      </c>
      <c r="G3624" s="172" t="s">
        <v>1895</v>
      </c>
    </row>
    <row r="3625" spans="2:7" x14ac:dyDescent="0.15">
      <c r="B3625" s="299"/>
      <c r="C3625" s="169" t="s">
        <v>1816</v>
      </c>
      <c r="D3625" s="106">
        <f>VLOOKUP(C3625,基本字段定义!$B$3:$C$3013,2,FALSE)</f>
        <v>4221</v>
      </c>
      <c r="E3625" s="106" t="s">
        <v>1375</v>
      </c>
      <c r="F3625" s="106" t="s">
        <v>169</v>
      </c>
      <c r="G3625" s="172" t="s">
        <v>1583</v>
      </c>
    </row>
    <row r="3626" spans="2:7" x14ac:dyDescent="0.15">
      <c r="B3626" s="299"/>
      <c r="C3626" s="169" t="s">
        <v>428</v>
      </c>
      <c r="D3626" s="106">
        <f>VLOOKUP(C3626,基本字段定义!$B$3:$C$3013,2,FALSE)</f>
        <v>605</v>
      </c>
      <c r="E3626" s="106" t="s">
        <v>365</v>
      </c>
      <c r="F3626" s="106" t="s">
        <v>169</v>
      </c>
      <c r="G3626" s="172" t="s">
        <v>430</v>
      </c>
    </row>
    <row r="3627" spans="2:7" x14ac:dyDescent="0.15">
      <c r="B3627" s="299"/>
      <c r="C3627" s="169" t="s">
        <v>387</v>
      </c>
      <c r="D3627" s="106">
        <f>VLOOKUP(C3627,基本字段定义!$B$3:$C$3013,2,FALSE)</f>
        <v>599</v>
      </c>
      <c r="E3627" s="106" t="s">
        <v>365</v>
      </c>
      <c r="F3627" s="106" t="s">
        <v>169</v>
      </c>
      <c r="G3627" s="172" t="s">
        <v>389</v>
      </c>
    </row>
    <row r="3628" spans="2:7" x14ac:dyDescent="0.15">
      <c r="B3628" s="299"/>
      <c r="C3628" s="169" t="s">
        <v>431</v>
      </c>
      <c r="D3628" s="106">
        <f>VLOOKUP(C3628,基本字段定义!$B$3:$C$3013,2,FALSE)</f>
        <v>571</v>
      </c>
      <c r="E3628" s="106" t="s">
        <v>365</v>
      </c>
      <c r="F3628" s="106" t="s">
        <v>169</v>
      </c>
      <c r="G3628" s="172" t="s">
        <v>433</v>
      </c>
    </row>
    <row r="3629" spans="2:7" x14ac:dyDescent="0.15">
      <c r="B3629" s="299"/>
      <c r="C3629" s="169" t="s">
        <v>1361</v>
      </c>
      <c r="D3629" s="106">
        <f>VLOOKUP(C3629,基本字段定义!$B$3:$C$3013,2,FALSE)</f>
        <v>1430</v>
      </c>
      <c r="E3629" s="106" t="s">
        <v>1615</v>
      </c>
      <c r="F3629" s="106" t="s">
        <v>169</v>
      </c>
      <c r="G3629" s="172" t="s">
        <v>1896</v>
      </c>
    </row>
    <row r="3630" spans="2:7" x14ac:dyDescent="0.15">
      <c r="B3630" s="299"/>
      <c r="C3630" s="169" t="s">
        <v>1557</v>
      </c>
      <c r="D3630" s="106">
        <f>VLOOKUP(C3630,基本字段定义!$B$3:$C$3013,2,FALSE)</f>
        <v>1248</v>
      </c>
      <c r="E3630" s="106" t="s">
        <v>1615</v>
      </c>
      <c r="F3630" s="106" t="s">
        <v>169</v>
      </c>
      <c r="G3630" s="172" t="s">
        <v>1522</v>
      </c>
    </row>
    <row r="3631" spans="2:7" ht="15" customHeight="1" x14ac:dyDescent="0.15">
      <c r="B3631" s="301" t="s">
        <v>361</v>
      </c>
      <c r="C3631" s="69" t="s">
        <v>362</v>
      </c>
      <c r="D3631" s="70">
        <f>VLOOKUP(C3631,基本字段定义!$B$3:$C$3013,2,FALSE)</f>
        <v>507</v>
      </c>
      <c r="E3631" s="71" t="s">
        <v>363</v>
      </c>
      <c r="F3631" s="71"/>
      <c r="G3631" s="73"/>
    </row>
    <row r="3632" spans="2:7" ht="14.25" customHeight="1" thickBot="1" x14ac:dyDescent="0.2">
      <c r="B3632" s="305"/>
      <c r="C3632" s="75" t="s">
        <v>364</v>
      </c>
      <c r="D3632" s="83">
        <f>VLOOKUP(C3632,基本字段定义!$B$3:$C$3013,2,FALSE)</f>
        <v>508</v>
      </c>
      <c r="E3632" s="77" t="s">
        <v>365</v>
      </c>
      <c r="F3632" s="77"/>
      <c r="G3632" s="173"/>
    </row>
    <row r="3634" spans="2:7" x14ac:dyDescent="0.15">
      <c r="B3634" s="57" t="s">
        <v>163</v>
      </c>
      <c r="C3634" s="291">
        <v>204567</v>
      </c>
      <c r="D3634" s="291"/>
      <c r="E3634" s="291"/>
      <c r="F3634" s="58" t="s">
        <v>352</v>
      </c>
      <c r="G3634" s="59"/>
    </row>
    <row r="3635" spans="2:7" x14ac:dyDescent="0.15">
      <c r="B3635" s="60" t="s">
        <v>353</v>
      </c>
      <c r="C3635" s="290" t="str">
        <f>VLOOKUP(C3634,功能索引!$C$3:$D$278,2,FALSE)</f>
        <v>约定购回合约信息查询</v>
      </c>
      <c r="D3635" s="290"/>
      <c r="E3635" s="290"/>
      <c r="F3635" s="61" t="s">
        <v>165</v>
      </c>
      <c r="G3635" s="62" t="str">
        <f>VLOOKUP(C3634,功能索引!$C$3:$E3649,3,FALSE)</f>
        <v>Y</v>
      </c>
    </row>
    <row r="3636" spans="2:7" ht="13.5" customHeight="1" x14ac:dyDescent="0.15">
      <c r="B3636" s="299" t="s">
        <v>354</v>
      </c>
      <c r="C3636" s="284" t="s">
        <v>278</v>
      </c>
      <c r="D3636" s="285"/>
      <c r="E3636" s="285"/>
      <c r="F3636" s="285"/>
      <c r="G3636" s="286"/>
    </row>
    <row r="3637" spans="2:7" ht="14.25" thickBot="1" x14ac:dyDescent="0.2">
      <c r="B3637" s="304"/>
      <c r="C3637" s="287"/>
      <c r="D3637" s="288"/>
      <c r="E3637" s="288"/>
      <c r="F3637" s="288"/>
      <c r="G3637" s="289"/>
    </row>
    <row r="3638" spans="2:7" x14ac:dyDescent="0.15">
      <c r="B3638" s="298" t="s">
        <v>355</v>
      </c>
      <c r="C3638" s="58" t="s">
        <v>356</v>
      </c>
      <c r="D3638" s="58" t="s">
        <v>357</v>
      </c>
      <c r="E3638" s="58" t="s">
        <v>358</v>
      </c>
      <c r="F3638" s="58" t="s">
        <v>359</v>
      </c>
      <c r="G3638" s="64" t="s">
        <v>360</v>
      </c>
    </row>
    <row r="3639" spans="2:7" x14ac:dyDescent="0.15">
      <c r="B3639" s="306"/>
      <c r="C3639" s="169" t="s">
        <v>428</v>
      </c>
      <c r="D3639" s="106">
        <f>VLOOKUP(C3639,基本字段定义!$B$3:$C$3013,2,FALSE)</f>
        <v>605</v>
      </c>
      <c r="E3639" s="106" t="s">
        <v>365</v>
      </c>
      <c r="F3639" s="106" t="s">
        <v>169</v>
      </c>
      <c r="G3639" s="170" t="s">
        <v>430</v>
      </c>
    </row>
    <row r="3640" spans="2:7" x14ac:dyDescent="0.15">
      <c r="B3640" s="306"/>
      <c r="C3640" s="169" t="s">
        <v>431</v>
      </c>
      <c r="D3640" s="106">
        <f>VLOOKUP(C3640,基本字段定义!$B$3:$C$3013,2,FALSE)</f>
        <v>571</v>
      </c>
      <c r="E3640" s="106" t="s">
        <v>365</v>
      </c>
      <c r="F3640" s="106"/>
      <c r="G3640" s="170" t="s">
        <v>433</v>
      </c>
    </row>
    <row r="3641" spans="2:7" x14ac:dyDescent="0.15">
      <c r="B3641" s="306"/>
      <c r="C3641" s="169" t="s">
        <v>903</v>
      </c>
      <c r="D3641" s="106">
        <f>VLOOKUP(C3641,基本字段定义!$B$3:$C$3013,2,FALSE)</f>
        <v>522</v>
      </c>
      <c r="E3641" s="106" t="s">
        <v>363</v>
      </c>
      <c r="F3641" s="106"/>
      <c r="G3641" s="170" t="s">
        <v>972</v>
      </c>
    </row>
    <row r="3642" spans="2:7" x14ac:dyDescent="0.15">
      <c r="B3642" s="299"/>
      <c r="C3642" s="169" t="s">
        <v>1720</v>
      </c>
      <c r="D3642" s="106">
        <f>VLOOKUP(C3642,基本字段定义!$B$3:$C$3013,2,FALSE)</f>
        <v>889</v>
      </c>
      <c r="E3642" s="106" t="s">
        <v>363</v>
      </c>
      <c r="F3642" s="106"/>
      <c r="G3642" s="170" t="s">
        <v>1788</v>
      </c>
    </row>
    <row r="3643" spans="2:7" x14ac:dyDescent="0.15">
      <c r="B3643" s="299"/>
      <c r="C3643" s="169" t="s">
        <v>1897</v>
      </c>
      <c r="D3643" s="106">
        <f>VLOOKUP(C3643,基本字段定义!$B$3:$C$3013,2,FALSE)</f>
        <v>4225</v>
      </c>
      <c r="E3643" s="106" t="s">
        <v>365</v>
      </c>
      <c r="F3643" s="106"/>
      <c r="G3643" s="170" t="s">
        <v>1898</v>
      </c>
    </row>
    <row r="3644" spans="2:7" x14ac:dyDescent="0.15">
      <c r="B3644" s="299"/>
      <c r="C3644" s="169" t="s">
        <v>1146</v>
      </c>
      <c r="D3644" s="106">
        <f>VLOOKUP(C3644,基本字段定义!$B$3:$C$3013,2,FALSE)</f>
        <v>1077</v>
      </c>
      <c r="E3644" s="106" t="s">
        <v>363</v>
      </c>
      <c r="F3644" s="106"/>
      <c r="G3644" s="170" t="s">
        <v>1147</v>
      </c>
    </row>
    <row r="3645" spans="2:7" x14ac:dyDescent="0.15">
      <c r="B3645" s="299"/>
      <c r="C3645" s="169" t="s">
        <v>399</v>
      </c>
      <c r="D3645" s="106">
        <f>VLOOKUP(C3645,基本字段定义!$B$3:$C$3013,2,FALSE)</f>
        <v>697</v>
      </c>
      <c r="E3645" s="106" t="s">
        <v>365</v>
      </c>
      <c r="F3645" s="106"/>
      <c r="G3645" s="170" t="s">
        <v>1899</v>
      </c>
    </row>
    <row r="3646" spans="2:7" x14ac:dyDescent="0.15">
      <c r="B3646" s="299"/>
      <c r="C3646" s="169" t="s">
        <v>443</v>
      </c>
      <c r="D3646" s="106">
        <f>VLOOKUP(C3646,基本字段定义!$B$3:$C$3013,2,FALSE)</f>
        <v>610</v>
      </c>
      <c r="E3646" s="106" t="s">
        <v>365</v>
      </c>
      <c r="F3646" s="106"/>
      <c r="G3646" s="170" t="s">
        <v>1900</v>
      </c>
    </row>
    <row r="3647" spans="2:7" x14ac:dyDescent="0.15">
      <c r="B3647" s="299"/>
      <c r="C3647" s="169" t="s">
        <v>806</v>
      </c>
      <c r="D3647" s="106">
        <f>VLOOKUP(C3647,基本字段定义!$B$3:$C$3013,2,FALSE)</f>
        <v>683</v>
      </c>
      <c r="E3647" s="106" t="s">
        <v>363</v>
      </c>
      <c r="F3647" s="106"/>
      <c r="G3647" s="170" t="s">
        <v>1013</v>
      </c>
    </row>
    <row r="3648" spans="2:7" x14ac:dyDescent="0.15">
      <c r="B3648" s="299"/>
      <c r="C3648" s="169" t="s">
        <v>767</v>
      </c>
      <c r="D3648" s="106">
        <f>VLOOKUP(C3648,基本字段定义!$B$3:$C$3013,2,FALSE)</f>
        <v>526</v>
      </c>
      <c r="E3648" s="106" t="s">
        <v>363</v>
      </c>
      <c r="F3648" s="106"/>
      <c r="G3648" s="170" t="s">
        <v>974</v>
      </c>
    </row>
    <row r="3649" spans="2:7" x14ac:dyDescent="0.15">
      <c r="B3649" s="299"/>
      <c r="C3649" s="169" t="s">
        <v>666</v>
      </c>
      <c r="D3649" s="106">
        <f>VLOOKUP(C3649,基本字段定义!$B$3:$C$3013,2,FALSE)</f>
        <v>719</v>
      </c>
      <c r="E3649" s="106" t="s">
        <v>365</v>
      </c>
      <c r="F3649" s="106"/>
      <c r="G3649" s="170" t="s">
        <v>683</v>
      </c>
    </row>
    <row r="3650" spans="2:7" x14ac:dyDescent="0.15">
      <c r="B3650" s="299"/>
      <c r="C3650" s="169" t="s">
        <v>510</v>
      </c>
      <c r="D3650" s="106">
        <f>VLOOKUP(C3650,基本字段定义!$B$3:$C$3013,2,FALSE)</f>
        <v>618</v>
      </c>
      <c r="E3650" s="106" t="s">
        <v>363</v>
      </c>
      <c r="F3650" s="106"/>
      <c r="G3650" s="170" t="s">
        <v>1050</v>
      </c>
    </row>
    <row r="3651" spans="2:7" x14ac:dyDescent="0.15">
      <c r="B3651" s="299"/>
      <c r="C3651" s="169" t="s">
        <v>512</v>
      </c>
      <c r="D3651" s="106">
        <f>VLOOKUP(C3651,基本字段定义!$B$3:$C$3013,2,FALSE)</f>
        <v>590</v>
      </c>
      <c r="E3651" s="106" t="s">
        <v>363</v>
      </c>
      <c r="F3651" s="106"/>
      <c r="G3651" s="170" t="s">
        <v>1155</v>
      </c>
    </row>
    <row r="3652" spans="2:7" ht="54" customHeight="1" x14ac:dyDescent="0.15">
      <c r="B3652" s="299"/>
      <c r="C3652" s="169" t="s">
        <v>585</v>
      </c>
      <c r="D3652" s="106">
        <f>VLOOKUP(C3652,基本字段定义!$B$3:$C$3013,2,FALSE)</f>
        <v>9020</v>
      </c>
      <c r="E3652" s="106" t="s">
        <v>365</v>
      </c>
      <c r="F3652" s="106"/>
      <c r="G3652" s="174" t="s">
        <v>1901</v>
      </c>
    </row>
    <row r="3653" spans="2:7" x14ac:dyDescent="0.15">
      <c r="B3653" s="299"/>
      <c r="C3653" s="69" t="s">
        <v>1720</v>
      </c>
      <c r="D3653" s="70">
        <f>VLOOKUP(C3653,基本字段定义!$B$3:$C$3013,2,FALSE)</f>
        <v>889</v>
      </c>
      <c r="E3653" s="71" t="s">
        <v>363</v>
      </c>
      <c r="F3653" s="71"/>
      <c r="G3653" s="175" t="s">
        <v>1788</v>
      </c>
    </row>
    <row r="3654" spans="2:7" x14ac:dyDescent="0.15">
      <c r="B3654" s="299"/>
      <c r="C3654" s="69" t="s">
        <v>1146</v>
      </c>
      <c r="D3654" s="70">
        <f>VLOOKUP(C3654,基本字段定义!$B$3:$C$3013,2,FALSE)</f>
        <v>1077</v>
      </c>
      <c r="E3654" s="71" t="s">
        <v>363</v>
      </c>
      <c r="F3654" s="71"/>
      <c r="G3654" s="175" t="s">
        <v>1147</v>
      </c>
    </row>
    <row r="3655" spans="2:7" x14ac:dyDescent="0.15">
      <c r="B3655" s="299"/>
      <c r="C3655" s="69" t="s">
        <v>428</v>
      </c>
      <c r="D3655" s="70">
        <f>VLOOKUP(C3655,基本字段定义!$B$3:$C$3013,2,FALSE)</f>
        <v>605</v>
      </c>
      <c r="E3655" s="71" t="s">
        <v>363</v>
      </c>
      <c r="F3655" s="71"/>
      <c r="G3655" s="175" t="s">
        <v>621</v>
      </c>
    </row>
    <row r="3656" spans="2:7" x14ac:dyDescent="0.15">
      <c r="B3656" s="299"/>
      <c r="C3656" s="69" t="s">
        <v>446</v>
      </c>
      <c r="D3656" s="70">
        <f>VLOOKUP(C3656,基本字段定义!$B$3:$C$3013,2,FALSE)</f>
        <v>613</v>
      </c>
      <c r="E3656" s="71" t="s">
        <v>365</v>
      </c>
      <c r="F3656" s="71"/>
      <c r="G3656" s="175" t="s">
        <v>886</v>
      </c>
    </row>
    <row r="3657" spans="2:7" x14ac:dyDescent="0.15">
      <c r="B3657" s="299"/>
      <c r="C3657" s="69" t="s">
        <v>428</v>
      </c>
      <c r="D3657" s="70">
        <f>VLOOKUP(C3657,基本字段定义!$B$3:$C$3013,2,FALSE)</f>
        <v>605</v>
      </c>
      <c r="E3657" s="71" t="s">
        <v>429</v>
      </c>
      <c r="F3657" s="71"/>
      <c r="G3657" s="175" t="s">
        <v>430</v>
      </c>
    </row>
    <row r="3658" spans="2:7" x14ac:dyDescent="0.15">
      <c r="B3658" s="299"/>
      <c r="C3658" s="69" t="s">
        <v>399</v>
      </c>
      <c r="D3658" s="70">
        <f>VLOOKUP(C3658,基本字段定义!$B$3:$C$3013,2,FALSE)</f>
        <v>697</v>
      </c>
      <c r="E3658" s="71" t="s">
        <v>365</v>
      </c>
      <c r="F3658" s="71"/>
      <c r="G3658" s="175" t="s">
        <v>400</v>
      </c>
    </row>
    <row r="3659" spans="2:7" x14ac:dyDescent="0.15">
      <c r="B3659" s="299"/>
      <c r="C3659" s="69" t="s">
        <v>443</v>
      </c>
      <c r="D3659" s="70">
        <f>VLOOKUP(C3659,基本字段定义!$B$3:$C$3013,2,FALSE)</f>
        <v>610</v>
      </c>
      <c r="E3659" s="71" t="s">
        <v>365</v>
      </c>
      <c r="F3659" s="71"/>
      <c r="G3659" s="175" t="s">
        <v>886</v>
      </c>
    </row>
    <row r="3660" spans="2:7" x14ac:dyDescent="0.15">
      <c r="B3660" s="299"/>
      <c r="C3660" s="69" t="s">
        <v>387</v>
      </c>
      <c r="D3660" s="70">
        <f>VLOOKUP(C3660,基本字段定义!$B$3:$C$3013,2,FALSE)</f>
        <v>599</v>
      </c>
      <c r="E3660" s="71" t="s">
        <v>365</v>
      </c>
      <c r="F3660" s="71"/>
      <c r="G3660" s="175" t="s">
        <v>389</v>
      </c>
    </row>
    <row r="3661" spans="2:7" x14ac:dyDescent="0.15">
      <c r="B3661" s="299"/>
      <c r="C3661" s="69" t="s">
        <v>431</v>
      </c>
      <c r="D3661" s="70">
        <f>VLOOKUP(C3661,基本字段定义!$B$3:$C$3013,2,FALSE)</f>
        <v>571</v>
      </c>
      <c r="E3661" s="71" t="s">
        <v>365</v>
      </c>
      <c r="F3661" s="71"/>
      <c r="G3661" s="175" t="s">
        <v>433</v>
      </c>
    </row>
    <row r="3662" spans="2:7" x14ac:dyDescent="0.15">
      <c r="B3662" s="299"/>
      <c r="C3662" s="69" t="s">
        <v>666</v>
      </c>
      <c r="D3662" s="70">
        <f>VLOOKUP(C3662,基本字段定义!$B$3:$C$3013,2,FALSE)</f>
        <v>719</v>
      </c>
      <c r="E3662" s="71" t="s">
        <v>365</v>
      </c>
      <c r="F3662" s="71"/>
      <c r="G3662" s="175" t="s">
        <v>683</v>
      </c>
    </row>
    <row r="3663" spans="2:7" x14ac:dyDescent="0.15">
      <c r="B3663" s="299"/>
      <c r="C3663" s="69" t="s">
        <v>685</v>
      </c>
      <c r="D3663" s="70">
        <f>VLOOKUP(C3663,基本字段定义!$B$3:$C$3013,2,FALSE)</f>
        <v>722</v>
      </c>
      <c r="E3663" s="71" t="s">
        <v>365</v>
      </c>
      <c r="F3663" s="71"/>
      <c r="G3663" s="175" t="s">
        <v>686</v>
      </c>
    </row>
    <row r="3664" spans="2:7" x14ac:dyDescent="0.15">
      <c r="B3664" s="299"/>
      <c r="C3664" s="69" t="s">
        <v>707</v>
      </c>
      <c r="D3664" s="70">
        <f>VLOOKUP(C3664,基本字段定义!$B$3:$C$3013,2,FALSE)</f>
        <v>528</v>
      </c>
      <c r="E3664" s="71" t="s">
        <v>363</v>
      </c>
      <c r="F3664" s="71"/>
      <c r="G3664" s="175" t="s">
        <v>950</v>
      </c>
    </row>
    <row r="3665" spans="2:7" x14ac:dyDescent="0.15">
      <c r="B3665" s="299"/>
      <c r="C3665" s="69" t="s">
        <v>709</v>
      </c>
      <c r="D3665" s="70">
        <f>VLOOKUP(C3665,基本字段定义!$B$3:$C$3013,2,FALSE)</f>
        <v>524</v>
      </c>
      <c r="E3665" s="71" t="s">
        <v>1615</v>
      </c>
      <c r="F3665" s="71"/>
      <c r="G3665" s="175" t="s">
        <v>1902</v>
      </c>
    </row>
    <row r="3666" spans="2:7" x14ac:dyDescent="0.15">
      <c r="B3666" s="299"/>
      <c r="C3666" s="69" t="s">
        <v>1361</v>
      </c>
      <c r="D3666" s="70">
        <f>VLOOKUP(C3666,基本字段定义!$B$3:$C$3013,2,FALSE)</f>
        <v>1430</v>
      </c>
      <c r="E3666" s="71" t="s">
        <v>1615</v>
      </c>
      <c r="F3666" s="71"/>
      <c r="G3666" s="175" t="s">
        <v>1896</v>
      </c>
    </row>
    <row r="3667" spans="2:7" x14ac:dyDescent="0.15">
      <c r="B3667" s="299"/>
      <c r="C3667" s="69" t="s">
        <v>1811</v>
      </c>
      <c r="D3667" s="70">
        <f>VLOOKUP(C3667,基本字段定义!$B$3:$C$3013,2,FALSE)</f>
        <v>4219</v>
      </c>
      <c r="E3667" s="71" t="s">
        <v>1615</v>
      </c>
      <c r="F3667" s="71"/>
      <c r="G3667" s="175" t="s">
        <v>1903</v>
      </c>
    </row>
    <row r="3668" spans="2:7" x14ac:dyDescent="0.15">
      <c r="B3668" s="299"/>
      <c r="C3668" s="69" t="s">
        <v>767</v>
      </c>
      <c r="D3668" s="70">
        <f>VLOOKUP(C3668,基本字段定义!$B$3:$C$3013,2,FALSE)</f>
        <v>526</v>
      </c>
      <c r="E3668" s="71" t="s">
        <v>363</v>
      </c>
      <c r="F3668" s="71"/>
      <c r="G3668" s="175" t="s">
        <v>974</v>
      </c>
    </row>
    <row r="3669" spans="2:7" x14ac:dyDescent="0.15">
      <c r="B3669" s="299"/>
      <c r="C3669" s="69" t="s">
        <v>1814</v>
      </c>
      <c r="D3669" s="70">
        <f>VLOOKUP(C3669,基本字段定义!$B$3:$C$3013,2,FALSE)</f>
        <v>4136</v>
      </c>
      <c r="E3669" s="71" t="s">
        <v>363</v>
      </c>
      <c r="F3669" s="71"/>
      <c r="G3669" s="175" t="s">
        <v>1815</v>
      </c>
    </row>
    <row r="3670" spans="2:7" x14ac:dyDescent="0.15">
      <c r="B3670" s="299"/>
      <c r="C3670" s="69" t="s">
        <v>1602</v>
      </c>
      <c r="D3670" s="70">
        <f>VLOOKUP(C3670,基本字段定义!$B$3:$C$3013,2,FALSE)</f>
        <v>4220</v>
      </c>
      <c r="E3670" s="71" t="s">
        <v>1615</v>
      </c>
      <c r="F3670" s="71"/>
      <c r="G3670" s="175" t="s">
        <v>1603</v>
      </c>
    </row>
    <row r="3671" spans="2:7" x14ac:dyDescent="0.15">
      <c r="B3671" s="299"/>
      <c r="C3671" s="176" t="s">
        <v>916</v>
      </c>
      <c r="D3671" s="70">
        <f>VLOOKUP(C3671,基本字段定义!$B$3:$C$3013,2,FALSE)</f>
        <v>681</v>
      </c>
      <c r="E3671" s="71" t="s">
        <v>363</v>
      </c>
      <c r="F3671" s="71"/>
      <c r="G3671" s="175" t="s">
        <v>918</v>
      </c>
    </row>
    <row r="3672" spans="2:7" x14ac:dyDescent="0.15">
      <c r="B3672" s="299"/>
      <c r="C3672" s="176" t="s">
        <v>959</v>
      </c>
      <c r="D3672" s="70">
        <f>VLOOKUP(C3672,基本字段定义!$B$3:$C$3013,2,FALSE)</f>
        <v>1011</v>
      </c>
      <c r="E3672" s="71" t="s">
        <v>365</v>
      </c>
      <c r="F3672" s="71"/>
      <c r="G3672" s="175" t="s">
        <v>963</v>
      </c>
    </row>
    <row r="3673" spans="2:7" x14ac:dyDescent="0.15">
      <c r="B3673" s="299"/>
      <c r="C3673" s="176" t="s">
        <v>903</v>
      </c>
      <c r="D3673" s="70">
        <f>VLOOKUP(C3673,基本字段定义!$B$3:$C$3013,2,FALSE)</f>
        <v>522</v>
      </c>
      <c r="E3673" s="71" t="s">
        <v>365</v>
      </c>
      <c r="F3673" s="71"/>
      <c r="G3673" s="175" t="s">
        <v>972</v>
      </c>
    </row>
    <row r="3674" spans="2:7" x14ac:dyDescent="0.15">
      <c r="B3674" s="299"/>
      <c r="C3674" s="176" t="s">
        <v>1816</v>
      </c>
      <c r="D3674" s="70">
        <f>VLOOKUP(C3674,基本字段定义!$B$3:$C$3013,2,FALSE)</f>
        <v>4221</v>
      </c>
      <c r="E3674" s="71" t="s">
        <v>363</v>
      </c>
      <c r="F3674" s="71"/>
      <c r="G3674" s="175" t="s">
        <v>1583</v>
      </c>
    </row>
    <row r="3675" spans="2:7" x14ac:dyDescent="0.15">
      <c r="B3675" s="299"/>
      <c r="C3675" s="176" t="s">
        <v>1582</v>
      </c>
      <c r="D3675" s="70">
        <f>VLOOKUP(C3675,基本字段定义!$B$3:$C$3013,2,FALSE)</f>
        <v>1252</v>
      </c>
      <c r="E3675" s="71" t="s">
        <v>363</v>
      </c>
      <c r="F3675" s="71"/>
      <c r="G3675" s="175" t="s">
        <v>1904</v>
      </c>
    </row>
    <row r="3676" spans="2:7" x14ac:dyDescent="0.15">
      <c r="B3676" s="299"/>
      <c r="C3676" s="176" t="s">
        <v>512</v>
      </c>
      <c r="D3676" s="70">
        <f>VLOOKUP(C3676,基本字段定义!$B$3:$C$3013,2,FALSE)</f>
        <v>590</v>
      </c>
      <c r="E3676" s="71" t="s">
        <v>363</v>
      </c>
      <c r="F3676" s="71"/>
      <c r="G3676" s="175" t="s">
        <v>1496</v>
      </c>
    </row>
    <row r="3677" spans="2:7" x14ac:dyDescent="0.15">
      <c r="B3677" s="299"/>
      <c r="C3677" s="176" t="s">
        <v>1794</v>
      </c>
      <c r="D3677" s="70">
        <f>VLOOKUP(C3677,基本字段定义!$B$3:$C$3013,2,FALSE)</f>
        <v>4099</v>
      </c>
      <c r="E3677" s="71" t="s">
        <v>363</v>
      </c>
      <c r="F3677" s="71"/>
      <c r="G3677" s="175" t="s">
        <v>1905</v>
      </c>
    </row>
    <row r="3678" spans="2:7" x14ac:dyDescent="0.15">
      <c r="B3678" s="299"/>
      <c r="C3678" s="69" t="s">
        <v>1557</v>
      </c>
      <c r="D3678" s="70">
        <f>VLOOKUP(C3678,基本字段定义!$B$3:$C$3013,2,FALSE)</f>
        <v>1248</v>
      </c>
      <c r="E3678" s="71" t="s">
        <v>1615</v>
      </c>
      <c r="F3678" s="71"/>
      <c r="G3678" s="175" t="s">
        <v>1866</v>
      </c>
    </row>
    <row r="3679" spans="2:7" x14ac:dyDescent="0.15">
      <c r="B3679" s="300"/>
      <c r="C3679" s="91" t="s">
        <v>806</v>
      </c>
      <c r="D3679" s="93">
        <f>VLOOKUP(C3679,基本字段定义!$B$3:$C$3013,2,FALSE)</f>
        <v>683</v>
      </c>
      <c r="E3679" s="92" t="s">
        <v>363</v>
      </c>
      <c r="F3679" s="92"/>
      <c r="G3679" s="177" t="s">
        <v>1013</v>
      </c>
    </row>
    <row r="3680" spans="2:7" x14ac:dyDescent="0.15">
      <c r="B3680" s="300"/>
      <c r="C3680" s="91" t="s">
        <v>1897</v>
      </c>
      <c r="D3680" s="93">
        <f>VLOOKUP(C3680,基本字段定义!$B$3:$C$3013,2,FALSE)</f>
        <v>4225</v>
      </c>
      <c r="E3680" s="92" t="s">
        <v>363</v>
      </c>
      <c r="F3680" s="92"/>
      <c r="G3680" s="177" t="s">
        <v>1898</v>
      </c>
    </row>
    <row r="3681" spans="2:7" x14ac:dyDescent="0.15">
      <c r="B3681" s="300"/>
      <c r="C3681" s="91" t="s">
        <v>1049</v>
      </c>
      <c r="D3681" s="93">
        <f>VLOOKUP(C3681,基本字段定义!$B$3:$C$3013,2,FALSE)</f>
        <v>2061</v>
      </c>
      <c r="E3681" s="92" t="s">
        <v>363</v>
      </c>
      <c r="F3681" s="92"/>
      <c r="G3681" s="177" t="s">
        <v>1906</v>
      </c>
    </row>
    <row r="3682" spans="2:7" x14ac:dyDescent="0.15">
      <c r="B3682" s="300"/>
      <c r="C3682" s="91" t="s">
        <v>1907</v>
      </c>
      <c r="D3682" s="93">
        <f>VLOOKUP(C3682,基本字段定义!$B$3:$C$3013,2,FALSE)</f>
        <v>9151</v>
      </c>
      <c r="E3682" s="92" t="s">
        <v>365</v>
      </c>
      <c r="F3682" s="92"/>
      <c r="G3682" s="177" t="s">
        <v>1908</v>
      </c>
    </row>
    <row r="3683" spans="2:7" x14ac:dyDescent="0.15">
      <c r="B3683" s="300"/>
      <c r="C3683" s="91" t="s">
        <v>1796</v>
      </c>
      <c r="D3683" s="93">
        <f>VLOOKUP(C3683,基本字段定义!$B$3:$C$3013,2,FALSE)</f>
        <v>1445</v>
      </c>
      <c r="E3683" s="92" t="s">
        <v>363</v>
      </c>
      <c r="F3683" s="92"/>
      <c r="G3683" s="177" t="s">
        <v>1797</v>
      </c>
    </row>
    <row r="3684" spans="2:7" ht="14.25" thickBot="1" x14ac:dyDescent="0.2">
      <c r="B3684" s="304"/>
      <c r="C3684" s="75" t="s">
        <v>614</v>
      </c>
      <c r="D3684" s="83">
        <f>VLOOKUP(C3684,基本字段定义!$B$3:$C$3013,2,FALSE)</f>
        <v>763</v>
      </c>
      <c r="E3684" s="77" t="s">
        <v>363</v>
      </c>
      <c r="F3684" s="77"/>
      <c r="G3684" s="178"/>
    </row>
    <row r="3686" spans="2:7" x14ac:dyDescent="0.15">
      <c r="B3686" s="57" t="s">
        <v>163</v>
      </c>
      <c r="C3686" s="84">
        <v>204629</v>
      </c>
      <c r="D3686" s="85"/>
      <c r="E3686" s="86"/>
      <c r="F3686" s="58" t="s">
        <v>352</v>
      </c>
      <c r="G3686" s="59"/>
    </row>
    <row r="3687" spans="2:7" x14ac:dyDescent="0.15">
      <c r="B3687" s="60" t="s">
        <v>353</v>
      </c>
      <c r="C3687" s="87" t="str">
        <f>VLOOKUP(C3686,功能索引!$C$3:$D$278,2,FALSE)</f>
        <v>约定购回顺延明细查询</v>
      </c>
      <c r="D3687" s="88"/>
      <c r="E3687" s="89"/>
      <c r="F3687" s="61" t="s">
        <v>165</v>
      </c>
      <c r="G3687" s="62" t="str">
        <f>VLOOKUP(C3686,功能索引!$C$3:$E3762,3,FALSE)</f>
        <v>Y</v>
      </c>
    </row>
    <row r="3688" spans="2:7" x14ac:dyDescent="0.15">
      <c r="B3688" s="299" t="s">
        <v>354</v>
      </c>
      <c r="C3688" s="99"/>
      <c r="D3688" s="100"/>
      <c r="E3688" s="100"/>
      <c r="F3688" s="100"/>
      <c r="G3688" s="101"/>
    </row>
    <row r="3689" spans="2:7" ht="14.25" thickBot="1" x14ac:dyDescent="0.2">
      <c r="B3689" s="304"/>
      <c r="C3689" s="102"/>
      <c r="D3689" s="103"/>
      <c r="E3689" s="103"/>
      <c r="F3689" s="103"/>
      <c r="G3689" s="104"/>
    </row>
    <row r="3690" spans="2:7" x14ac:dyDescent="0.15">
      <c r="B3690" s="298" t="s">
        <v>355</v>
      </c>
      <c r="C3690" s="58" t="s">
        <v>356</v>
      </c>
      <c r="D3690" s="58" t="s">
        <v>357</v>
      </c>
      <c r="E3690" s="58" t="s">
        <v>358</v>
      </c>
      <c r="F3690" s="58" t="s">
        <v>359</v>
      </c>
      <c r="G3690" s="64" t="s">
        <v>360</v>
      </c>
    </row>
    <row r="3691" spans="2:7" x14ac:dyDescent="0.15">
      <c r="B3691" s="299"/>
      <c r="C3691" s="65" t="s">
        <v>428</v>
      </c>
      <c r="D3691" s="66">
        <f>VLOOKUP(C3691,基本字段定义!$B$3:$C$3013,2,FALSE)</f>
        <v>605</v>
      </c>
      <c r="E3691" s="67" t="s">
        <v>429</v>
      </c>
      <c r="F3691" s="67" t="s">
        <v>169</v>
      </c>
      <c r="G3691" s="68" t="s">
        <v>430</v>
      </c>
    </row>
    <row r="3692" spans="2:7" x14ac:dyDescent="0.15">
      <c r="B3692" s="299"/>
      <c r="C3692" s="65" t="s">
        <v>387</v>
      </c>
      <c r="D3692" s="66">
        <f>VLOOKUP(C3692,基本字段定义!$B$3:$C$3013,2,FALSE)</f>
        <v>599</v>
      </c>
      <c r="E3692" s="67" t="s">
        <v>365</v>
      </c>
      <c r="F3692" s="67"/>
      <c r="G3692" s="68" t="s">
        <v>389</v>
      </c>
    </row>
    <row r="3693" spans="2:7" x14ac:dyDescent="0.15">
      <c r="B3693" s="299"/>
      <c r="C3693" s="65" t="s">
        <v>399</v>
      </c>
      <c r="D3693" s="66">
        <f>VLOOKUP(C3693,基本字段定义!$B$3:$C$3013,2,FALSE)</f>
        <v>697</v>
      </c>
      <c r="E3693" s="67" t="s">
        <v>365</v>
      </c>
      <c r="F3693" s="67"/>
      <c r="G3693" s="68" t="s">
        <v>400</v>
      </c>
    </row>
    <row r="3694" spans="2:7" x14ac:dyDescent="0.15">
      <c r="B3694" s="299"/>
      <c r="C3694" s="65" t="s">
        <v>510</v>
      </c>
      <c r="D3694" s="66">
        <f>VLOOKUP(C3694,基本字段定义!$B$3:$C$3013,2,FALSE)</f>
        <v>618</v>
      </c>
      <c r="E3694" s="67" t="s">
        <v>363</v>
      </c>
      <c r="F3694" s="67"/>
      <c r="G3694" s="68" t="s">
        <v>1050</v>
      </c>
    </row>
    <row r="3695" spans="2:7" x14ac:dyDescent="0.15">
      <c r="B3695" s="299"/>
      <c r="C3695" s="65" t="s">
        <v>1720</v>
      </c>
      <c r="D3695" s="66">
        <f>VLOOKUP(C3695,基本字段定义!$B$3:$C$3013,2,FALSE)</f>
        <v>889</v>
      </c>
      <c r="E3695" s="67" t="s">
        <v>363</v>
      </c>
      <c r="F3695" s="67" t="s">
        <v>169</v>
      </c>
      <c r="G3695" s="68" t="s">
        <v>1909</v>
      </c>
    </row>
    <row r="3696" spans="2:7" x14ac:dyDescent="0.15">
      <c r="B3696" s="299" t="s">
        <v>361</v>
      </c>
      <c r="C3696" s="69" t="s">
        <v>1720</v>
      </c>
      <c r="D3696" s="70">
        <f>VLOOKUP(C3696,基本字段定义!$B$3:$C$3013,2,FALSE)</f>
        <v>889</v>
      </c>
      <c r="E3696" s="71" t="s">
        <v>365</v>
      </c>
      <c r="F3696" s="71"/>
      <c r="G3696" s="73" t="s">
        <v>1909</v>
      </c>
    </row>
    <row r="3697" spans="2:7" x14ac:dyDescent="0.15">
      <c r="B3697" s="299"/>
      <c r="C3697" s="69" t="s">
        <v>1146</v>
      </c>
      <c r="D3697" s="70">
        <f>VLOOKUP(C3697,基本字段定义!$B$3:$C$3013,2,FALSE)</f>
        <v>1077</v>
      </c>
      <c r="E3697" s="71" t="s">
        <v>365</v>
      </c>
      <c r="F3697" s="71"/>
      <c r="G3697" s="73" t="s">
        <v>1147</v>
      </c>
    </row>
    <row r="3698" spans="2:7" x14ac:dyDescent="0.15">
      <c r="B3698" s="299"/>
      <c r="C3698" s="69" t="s">
        <v>428</v>
      </c>
      <c r="D3698" s="70">
        <f>VLOOKUP(C3698,基本字段定义!$B$3:$C$3013,2,FALSE)</f>
        <v>605</v>
      </c>
      <c r="E3698" s="71" t="s">
        <v>365</v>
      </c>
      <c r="F3698" s="71"/>
      <c r="G3698" s="73" t="s">
        <v>430</v>
      </c>
    </row>
    <row r="3699" spans="2:7" x14ac:dyDescent="0.15">
      <c r="B3699" s="299"/>
      <c r="C3699" s="69" t="s">
        <v>446</v>
      </c>
      <c r="D3699" s="70">
        <f>VLOOKUP(C3699,基本字段定义!$B$3:$C$3013,2,FALSE)</f>
        <v>613</v>
      </c>
      <c r="E3699" s="71" t="s">
        <v>363</v>
      </c>
      <c r="F3699" s="71"/>
      <c r="G3699" s="73" t="s">
        <v>823</v>
      </c>
    </row>
    <row r="3700" spans="2:7" x14ac:dyDescent="0.15">
      <c r="B3700" s="299"/>
      <c r="C3700" s="69" t="s">
        <v>399</v>
      </c>
      <c r="D3700" s="70">
        <f>VLOOKUP(C3700,基本字段定义!$B$3:$C$3013,2,FALSE)</f>
        <v>697</v>
      </c>
      <c r="E3700" s="71" t="s">
        <v>363</v>
      </c>
      <c r="F3700" s="71"/>
      <c r="G3700" s="73" t="s">
        <v>400</v>
      </c>
    </row>
    <row r="3701" spans="2:7" x14ac:dyDescent="0.15">
      <c r="B3701" s="299"/>
      <c r="C3701" s="69" t="s">
        <v>387</v>
      </c>
      <c r="D3701" s="70">
        <f>VLOOKUP(C3701,基本字段定义!$B$3:$C$3013,2,FALSE)</f>
        <v>599</v>
      </c>
      <c r="E3701" s="71" t="s">
        <v>365</v>
      </c>
      <c r="F3701" s="71"/>
      <c r="G3701" s="73" t="s">
        <v>389</v>
      </c>
    </row>
    <row r="3702" spans="2:7" x14ac:dyDescent="0.15">
      <c r="B3702" s="299"/>
      <c r="C3702" s="69" t="s">
        <v>431</v>
      </c>
      <c r="D3702" s="70">
        <f>VLOOKUP(C3702,基本字段定义!$B$3:$C$3013,2,FALSE)</f>
        <v>571</v>
      </c>
      <c r="E3702" s="71" t="s">
        <v>365</v>
      </c>
      <c r="F3702" s="71"/>
      <c r="G3702" s="73" t="s">
        <v>433</v>
      </c>
    </row>
    <row r="3703" spans="2:7" x14ac:dyDescent="0.15">
      <c r="B3703" s="299"/>
      <c r="C3703" s="69" t="s">
        <v>510</v>
      </c>
      <c r="D3703" s="70">
        <f>VLOOKUP(C3703,基本字段定义!$B$3:$C$3013,2,FALSE)</f>
        <v>618</v>
      </c>
      <c r="E3703" s="71" t="s">
        <v>365</v>
      </c>
      <c r="F3703" s="71"/>
      <c r="G3703" s="73" t="s">
        <v>1050</v>
      </c>
    </row>
    <row r="3704" spans="2:7" x14ac:dyDescent="0.15">
      <c r="B3704" s="299"/>
      <c r="C3704" s="69" t="s">
        <v>512</v>
      </c>
      <c r="D3704" s="70">
        <f>VLOOKUP(C3704,基本字段定义!$B$3:$C$3013,2,FALSE)</f>
        <v>590</v>
      </c>
      <c r="E3704" s="71" t="s">
        <v>363</v>
      </c>
      <c r="F3704" s="71"/>
      <c r="G3704" s="73" t="s">
        <v>1155</v>
      </c>
    </row>
    <row r="3705" spans="2:7" x14ac:dyDescent="0.15">
      <c r="B3705" s="299"/>
      <c r="C3705" s="69" t="s">
        <v>1816</v>
      </c>
      <c r="D3705" s="70">
        <f>VLOOKUP(C3705,基本字段定义!$B$3:$C$3013,2,FALSE)</f>
        <v>4221</v>
      </c>
      <c r="E3705" s="71" t="s">
        <v>365</v>
      </c>
      <c r="F3705" s="71"/>
      <c r="G3705" s="73" t="s">
        <v>1583</v>
      </c>
    </row>
    <row r="3706" spans="2:7" x14ac:dyDescent="0.15">
      <c r="B3706" s="300"/>
      <c r="C3706" s="91" t="s">
        <v>1557</v>
      </c>
      <c r="D3706" s="93">
        <f>VLOOKUP(C3706,基本字段定义!$B$3:$C$3013,2,FALSE)</f>
        <v>1248</v>
      </c>
      <c r="E3706" s="92" t="s">
        <v>1615</v>
      </c>
      <c r="F3706" s="92"/>
      <c r="G3706" s="94" t="s">
        <v>1910</v>
      </c>
    </row>
    <row r="3707" spans="2:7" x14ac:dyDescent="0.15">
      <c r="B3707" s="300"/>
      <c r="C3707" s="91" t="s">
        <v>1361</v>
      </c>
      <c r="D3707" s="93">
        <f>VLOOKUP(C3707,基本字段定义!$B$3:$C$3013,2,FALSE)</f>
        <v>1430</v>
      </c>
      <c r="E3707" s="92" t="s">
        <v>1615</v>
      </c>
      <c r="F3707" s="92"/>
      <c r="G3707" s="94" t="s">
        <v>1896</v>
      </c>
    </row>
    <row r="3708" spans="2:7" ht="14.25" thickBot="1" x14ac:dyDescent="0.2">
      <c r="B3708" s="304"/>
      <c r="C3708" s="75" t="s">
        <v>1602</v>
      </c>
      <c r="D3708" s="83">
        <f>VLOOKUP(C3708,基本字段定义!$B$3:$C$3013,2,FALSE)</f>
        <v>4220</v>
      </c>
      <c r="E3708" s="77" t="s">
        <v>1615</v>
      </c>
      <c r="F3708" s="77"/>
      <c r="G3708" s="78" t="s">
        <v>1603</v>
      </c>
    </row>
    <row r="3710" spans="2:7" x14ac:dyDescent="0.15">
      <c r="B3710" s="57" t="s">
        <v>163</v>
      </c>
      <c r="C3710" s="84">
        <v>204972</v>
      </c>
      <c r="D3710" s="85"/>
      <c r="E3710" s="86"/>
      <c r="F3710" s="58" t="s">
        <v>352</v>
      </c>
      <c r="G3710" s="59"/>
    </row>
    <row r="3711" spans="2:7" x14ac:dyDescent="0.15">
      <c r="B3711" s="60" t="s">
        <v>353</v>
      </c>
      <c r="C3711" s="87" t="s">
        <v>335</v>
      </c>
      <c r="D3711" s="88"/>
      <c r="E3711" s="89"/>
      <c r="F3711" s="61" t="s">
        <v>397</v>
      </c>
      <c r="G3711" s="62">
        <f>VLOOKUP(C3710,$C$3:$E4008,3,FALSE)</f>
        <v>0</v>
      </c>
    </row>
    <row r="3712" spans="2:7" x14ac:dyDescent="0.15">
      <c r="B3712" s="299" t="s">
        <v>354</v>
      </c>
      <c r="C3712" s="99"/>
      <c r="D3712" s="100"/>
      <c r="E3712" s="100"/>
      <c r="F3712" s="100"/>
      <c r="G3712" s="101"/>
    </row>
    <row r="3713" spans="2:7" ht="14.25" thickBot="1" x14ac:dyDescent="0.2">
      <c r="B3713" s="304"/>
      <c r="C3713" s="102"/>
      <c r="D3713" s="103"/>
      <c r="E3713" s="103"/>
      <c r="F3713" s="103"/>
      <c r="G3713" s="104"/>
    </row>
    <row r="3714" spans="2:7" x14ac:dyDescent="0.15">
      <c r="B3714" s="298" t="s">
        <v>355</v>
      </c>
      <c r="C3714" s="58" t="s">
        <v>356</v>
      </c>
      <c r="D3714" s="58" t="s">
        <v>357</v>
      </c>
      <c r="E3714" s="58" t="s">
        <v>358</v>
      </c>
      <c r="F3714" s="58" t="s">
        <v>359</v>
      </c>
      <c r="G3714" s="64" t="s">
        <v>360</v>
      </c>
    </row>
    <row r="3715" spans="2:7" x14ac:dyDescent="0.15">
      <c r="B3715" s="299"/>
      <c r="C3715" s="65" t="s">
        <v>428</v>
      </c>
      <c r="D3715" s="66">
        <f>VLOOKUP(C3715,基本字段定义!$B$3:$C$3013,2,FALSE)</f>
        <v>605</v>
      </c>
      <c r="E3715" s="67" t="s">
        <v>429</v>
      </c>
      <c r="F3715" s="67"/>
      <c r="G3715" s="68" t="s">
        <v>430</v>
      </c>
    </row>
    <row r="3716" spans="2:7" x14ac:dyDescent="0.15">
      <c r="B3716" s="299"/>
      <c r="C3716" s="65" t="s">
        <v>431</v>
      </c>
      <c r="D3716" s="66">
        <f>VLOOKUP(C3716,基本字段定义!$B$3:$C$3013,2,FALSE)</f>
        <v>571</v>
      </c>
      <c r="E3716" s="67" t="s">
        <v>388</v>
      </c>
      <c r="F3716" s="67"/>
      <c r="G3716" s="68" t="s">
        <v>433</v>
      </c>
    </row>
    <row r="3717" spans="2:7" x14ac:dyDescent="0.15">
      <c r="B3717" s="299"/>
      <c r="C3717" s="65" t="s">
        <v>387</v>
      </c>
      <c r="D3717" s="66">
        <f>VLOOKUP(C3717,基本字段定义!$B$3:$C$3013,2,FALSE)</f>
        <v>599</v>
      </c>
      <c r="E3717" s="67" t="s">
        <v>388</v>
      </c>
      <c r="F3717" s="67"/>
      <c r="G3717" s="68" t="s">
        <v>389</v>
      </c>
    </row>
    <row r="3718" spans="2:7" x14ac:dyDescent="0.15">
      <c r="B3718" s="299"/>
      <c r="C3718" s="65" t="s">
        <v>666</v>
      </c>
      <c r="D3718" s="66">
        <f>VLOOKUP(C3718,基本字段定义!$B$3:$C$3013,2,FALSE)</f>
        <v>719</v>
      </c>
      <c r="E3718" s="67" t="s">
        <v>506</v>
      </c>
      <c r="F3718" s="67"/>
      <c r="G3718" s="68" t="s">
        <v>683</v>
      </c>
    </row>
    <row r="3719" spans="2:7" x14ac:dyDescent="0.15">
      <c r="B3719" s="300" t="s">
        <v>361</v>
      </c>
      <c r="C3719" s="91" t="s">
        <v>399</v>
      </c>
      <c r="D3719" s="70">
        <f>VLOOKUP(C3719,基本字段定义!$B$3:$C$3013,2,FALSE)</f>
        <v>697</v>
      </c>
      <c r="E3719" s="92" t="s">
        <v>365</v>
      </c>
      <c r="F3719" s="93"/>
      <c r="G3719" s="94" t="s">
        <v>400</v>
      </c>
    </row>
    <row r="3720" spans="2:7" x14ac:dyDescent="0.15">
      <c r="B3720" s="301"/>
      <c r="C3720" s="91" t="s">
        <v>428</v>
      </c>
      <c r="D3720" s="70">
        <f>VLOOKUP(C3720,基本字段定义!$B$3:$C$3013,2,FALSE)</f>
        <v>605</v>
      </c>
      <c r="E3720" s="92" t="s">
        <v>429</v>
      </c>
      <c r="F3720" s="70"/>
      <c r="G3720" s="94" t="s">
        <v>430</v>
      </c>
    </row>
    <row r="3721" spans="2:7" x14ac:dyDescent="0.15">
      <c r="B3721" s="301"/>
      <c r="C3721" s="91" t="s">
        <v>431</v>
      </c>
      <c r="D3721" s="93">
        <f>VLOOKUP(C3721,基本字段定义!$B$3:$C$3013,2,FALSE)</f>
        <v>571</v>
      </c>
      <c r="E3721" s="92" t="s">
        <v>388</v>
      </c>
      <c r="F3721" s="93"/>
      <c r="G3721" s="94" t="s">
        <v>433</v>
      </c>
    </row>
    <row r="3722" spans="2:7" x14ac:dyDescent="0.15">
      <c r="B3722" s="301"/>
      <c r="C3722" s="91" t="s">
        <v>387</v>
      </c>
      <c r="D3722" s="93">
        <f>VLOOKUP(C3722,基本字段定义!$B$3:$C$3013,2,FALSE)</f>
        <v>599</v>
      </c>
      <c r="E3722" s="92" t="s">
        <v>388</v>
      </c>
      <c r="F3722" s="93"/>
      <c r="G3722" s="94" t="s">
        <v>389</v>
      </c>
    </row>
    <row r="3723" spans="2:7" x14ac:dyDescent="0.15">
      <c r="B3723" s="301"/>
      <c r="C3723" s="91" t="s">
        <v>666</v>
      </c>
      <c r="D3723" s="93">
        <f>VLOOKUP(C3723,基本字段定义!$B$3:$C$3013,2,FALSE)</f>
        <v>719</v>
      </c>
      <c r="E3723" s="92" t="s">
        <v>506</v>
      </c>
      <c r="F3723" s="93"/>
      <c r="G3723" s="94" t="s">
        <v>683</v>
      </c>
    </row>
    <row r="3724" spans="2:7" x14ac:dyDescent="0.15">
      <c r="B3724" s="301"/>
      <c r="C3724" s="91" t="s">
        <v>1152</v>
      </c>
      <c r="D3724" s="93">
        <f>VLOOKUP(C3724,基本字段定义!$B$3:$C$3013,2,FALSE)</f>
        <v>9254</v>
      </c>
      <c r="E3724" s="92"/>
      <c r="F3724" s="93"/>
      <c r="G3724" s="175" t="s">
        <v>1911</v>
      </c>
    </row>
    <row r="3725" spans="2:7" x14ac:dyDescent="0.15">
      <c r="B3725" s="301"/>
      <c r="C3725" s="91" t="s">
        <v>1402</v>
      </c>
      <c r="D3725" s="93">
        <f>VLOOKUP(C3725,基本字段定义!$B$3:$C$3013,2,FALSE)</f>
        <v>1834</v>
      </c>
      <c r="E3725" s="92"/>
      <c r="F3725" s="93"/>
      <c r="G3725" s="175" t="s">
        <v>1912</v>
      </c>
    </row>
    <row r="3726" spans="2:7" x14ac:dyDescent="0.15">
      <c r="B3726" s="301"/>
      <c r="C3726" s="91" t="s">
        <v>565</v>
      </c>
      <c r="D3726" s="93">
        <f>VLOOKUP(C3726,基本字段定义!$B$3:$C$3013,2,FALSE)</f>
        <v>826</v>
      </c>
      <c r="E3726" s="92"/>
      <c r="F3726" s="93"/>
      <c r="G3726" s="175" t="s">
        <v>1913</v>
      </c>
    </row>
    <row r="3727" spans="2:7" ht="14.25" thickBot="1" x14ac:dyDescent="0.2">
      <c r="B3727" s="305"/>
      <c r="C3727" s="75" t="s">
        <v>968</v>
      </c>
      <c r="D3727" s="83">
        <f>VLOOKUP(C3727,基本字段定义!$B$3:$C$3013,2,FALSE)</f>
        <v>646</v>
      </c>
      <c r="E3727" s="167"/>
      <c r="F3727" s="75"/>
      <c r="G3727" s="168" t="s">
        <v>1914</v>
      </c>
    </row>
    <row r="3729" spans="2:7" x14ac:dyDescent="0.15">
      <c r="B3729" s="57" t="s">
        <v>163</v>
      </c>
      <c r="C3729" s="84">
        <v>204979</v>
      </c>
      <c r="D3729" s="85"/>
      <c r="E3729" s="86"/>
      <c r="F3729" s="58" t="s">
        <v>352</v>
      </c>
      <c r="G3729" s="59"/>
    </row>
    <row r="3730" spans="2:7" x14ac:dyDescent="0.15">
      <c r="B3730" s="60" t="s">
        <v>353</v>
      </c>
      <c r="C3730" s="87" t="s">
        <v>336</v>
      </c>
      <c r="D3730" s="88"/>
      <c r="E3730" s="89"/>
      <c r="F3730" s="61" t="s">
        <v>397</v>
      </c>
      <c r="G3730" s="62">
        <f>VLOOKUP(C3729,$C$3:$E4027,3,FALSE)</f>
        <v>0</v>
      </c>
    </row>
    <row r="3731" spans="2:7" x14ac:dyDescent="0.15">
      <c r="B3731" s="299" t="s">
        <v>354</v>
      </c>
      <c r="C3731" s="99"/>
      <c r="D3731" s="100"/>
      <c r="E3731" s="100"/>
      <c r="F3731" s="100"/>
      <c r="G3731" s="101"/>
    </row>
    <row r="3732" spans="2:7" ht="14.25" thickBot="1" x14ac:dyDescent="0.2">
      <c r="B3732" s="304"/>
      <c r="C3732" s="102"/>
      <c r="D3732" s="103"/>
      <c r="E3732" s="103"/>
      <c r="F3732" s="103"/>
      <c r="G3732" s="104"/>
    </row>
    <row r="3733" spans="2:7" x14ac:dyDescent="0.15">
      <c r="B3733" s="298" t="s">
        <v>355</v>
      </c>
      <c r="C3733" s="58" t="s">
        <v>356</v>
      </c>
      <c r="D3733" s="58" t="s">
        <v>357</v>
      </c>
      <c r="E3733" s="58" t="s">
        <v>358</v>
      </c>
      <c r="F3733" s="58" t="s">
        <v>359</v>
      </c>
      <c r="G3733" s="64" t="s">
        <v>360</v>
      </c>
    </row>
    <row r="3734" spans="2:7" x14ac:dyDescent="0.15">
      <c r="B3734" s="299"/>
      <c r="C3734" s="65" t="s">
        <v>428</v>
      </c>
      <c r="D3734" s="66">
        <f>VLOOKUP(C3734,基本字段定义!$B$3:$C$3013,2,FALSE)</f>
        <v>605</v>
      </c>
      <c r="E3734" s="67" t="s">
        <v>429</v>
      </c>
      <c r="F3734" s="67" t="s">
        <v>169</v>
      </c>
      <c r="G3734" s="68" t="s">
        <v>430</v>
      </c>
    </row>
    <row r="3735" spans="2:7" x14ac:dyDescent="0.15">
      <c r="B3735" s="299"/>
      <c r="C3735" s="65" t="s">
        <v>550</v>
      </c>
      <c r="D3735" s="66">
        <f>VLOOKUP(C3735,基本字段定义!$B$3:$C$3013,2,FALSE)</f>
        <v>511</v>
      </c>
      <c r="E3735" s="67" t="s">
        <v>388</v>
      </c>
      <c r="F3735" s="67"/>
      <c r="G3735" s="68" t="s">
        <v>1915</v>
      </c>
    </row>
    <row r="3736" spans="2:7" x14ac:dyDescent="0.15">
      <c r="B3736" s="300" t="s">
        <v>361</v>
      </c>
      <c r="C3736" s="91" t="s">
        <v>577</v>
      </c>
      <c r="D3736" s="93">
        <f>VLOOKUP(C3736,基本字段定义!$B$3:$C$3013,2,FALSE)</f>
        <v>1255</v>
      </c>
      <c r="E3736" s="92" t="s">
        <v>365</v>
      </c>
      <c r="F3736" s="93"/>
      <c r="G3736" s="94" t="s">
        <v>1736</v>
      </c>
    </row>
    <row r="3737" spans="2:7" x14ac:dyDescent="0.15">
      <c r="B3737" s="301"/>
      <c r="C3737" s="91" t="s">
        <v>1694</v>
      </c>
      <c r="D3737" s="93">
        <f>VLOOKUP(C3737,基本字段定义!$B$3:$C$3013,2,FALSE)</f>
        <v>1201</v>
      </c>
      <c r="E3737" s="92" t="s">
        <v>429</v>
      </c>
      <c r="F3737" s="70"/>
      <c r="G3737" s="94" t="s">
        <v>1916</v>
      </c>
    </row>
    <row r="3738" spans="2:7" x14ac:dyDescent="0.15">
      <c r="B3738" s="301"/>
      <c r="C3738" s="91" t="s">
        <v>1917</v>
      </c>
      <c r="D3738" s="93">
        <f>VLOOKUP(C3738,基本字段定义!$B$3:$C$3013,2,FALSE)</f>
        <v>1472</v>
      </c>
      <c r="E3738" s="92" t="s">
        <v>388</v>
      </c>
      <c r="F3738" s="93"/>
      <c r="G3738" s="94" t="s">
        <v>1918</v>
      </c>
    </row>
    <row r="3739" spans="2:7" ht="14.25" thickBot="1" x14ac:dyDescent="0.2">
      <c r="B3739" s="305"/>
      <c r="C3739" s="75"/>
      <c r="D3739" s="83"/>
      <c r="E3739" s="167"/>
      <c r="F3739" s="75"/>
      <c r="G3739" s="75"/>
    </row>
    <row r="3741" spans="2:7" x14ac:dyDescent="0.15">
      <c r="B3741" s="57" t="s">
        <v>163</v>
      </c>
      <c r="C3741" s="84">
        <v>204544</v>
      </c>
      <c r="D3741" s="85"/>
      <c r="E3741" s="86"/>
      <c r="F3741" s="58" t="s">
        <v>352</v>
      </c>
      <c r="G3741" s="59"/>
    </row>
    <row r="3742" spans="2:7" x14ac:dyDescent="0.15">
      <c r="B3742" s="60" t="s">
        <v>353</v>
      </c>
      <c r="C3742" s="320" t="s">
        <v>1919</v>
      </c>
      <c r="D3742" s="321"/>
      <c r="E3742" s="322"/>
      <c r="F3742" s="61" t="s">
        <v>397</v>
      </c>
      <c r="G3742" s="62">
        <f>VLOOKUP(C3741,$C$3:$E4039,3,FALSE)</f>
        <v>0</v>
      </c>
    </row>
    <row r="3743" spans="2:7" x14ac:dyDescent="0.15">
      <c r="B3743" s="299" t="s">
        <v>354</v>
      </c>
      <c r="C3743" s="99"/>
      <c r="D3743" s="100"/>
      <c r="E3743" s="100"/>
      <c r="F3743" s="100"/>
      <c r="G3743" s="101"/>
    </row>
    <row r="3744" spans="2:7" ht="14.25" thickBot="1" x14ac:dyDescent="0.2">
      <c r="B3744" s="304"/>
      <c r="C3744" s="102"/>
      <c r="D3744" s="103"/>
      <c r="E3744" s="103"/>
      <c r="F3744" s="103"/>
      <c r="G3744" s="104"/>
    </row>
    <row r="3745" spans="2:7" x14ac:dyDescent="0.15">
      <c r="B3745" s="298" t="s">
        <v>355</v>
      </c>
      <c r="C3745" s="58" t="s">
        <v>356</v>
      </c>
      <c r="D3745" s="58" t="s">
        <v>357</v>
      </c>
      <c r="E3745" s="58" t="s">
        <v>358</v>
      </c>
      <c r="F3745" s="58" t="s">
        <v>359</v>
      </c>
      <c r="G3745" s="64" t="s">
        <v>360</v>
      </c>
    </row>
    <row r="3746" spans="2:7" x14ac:dyDescent="0.15">
      <c r="B3746" s="299"/>
      <c r="C3746" s="65" t="s">
        <v>428</v>
      </c>
      <c r="D3746" s="66">
        <f>VLOOKUP(C3746,基本字段定义!$B$3:$C$3013,2,FALSE)</f>
        <v>605</v>
      </c>
      <c r="E3746" s="67" t="s">
        <v>429</v>
      </c>
      <c r="F3746" s="67" t="s">
        <v>169</v>
      </c>
      <c r="G3746" s="68" t="s">
        <v>430</v>
      </c>
    </row>
    <row r="3747" spans="2:7" x14ac:dyDescent="0.15">
      <c r="B3747" s="299"/>
      <c r="C3747" s="65" t="s">
        <v>548</v>
      </c>
      <c r="D3747" s="66">
        <f>VLOOKUP(C3747,基本字段定义!$B$3:$C$3013,2,FALSE)</f>
        <v>716</v>
      </c>
      <c r="E3747" s="67" t="s">
        <v>579</v>
      </c>
      <c r="F3747" s="67" t="s">
        <v>169</v>
      </c>
      <c r="G3747" s="68" t="s">
        <v>1920</v>
      </c>
    </row>
    <row r="3748" spans="2:7" x14ac:dyDescent="0.15">
      <c r="B3748" s="300" t="s">
        <v>361</v>
      </c>
      <c r="C3748" s="91" t="s">
        <v>567</v>
      </c>
      <c r="D3748" s="93">
        <f>VLOOKUP(C3748,基本字段定义!$B$3:$C$3013,2,FALSE)</f>
        <v>619</v>
      </c>
      <c r="E3748" s="92" t="s">
        <v>1615</v>
      </c>
      <c r="F3748" s="93"/>
      <c r="G3748" s="94" t="s">
        <v>1921</v>
      </c>
    </row>
    <row r="3749" spans="2:7" x14ac:dyDescent="0.15">
      <c r="B3749" s="301"/>
      <c r="C3749" s="91" t="s">
        <v>1922</v>
      </c>
      <c r="D3749" s="93">
        <v>1656</v>
      </c>
      <c r="E3749" s="92" t="s">
        <v>365</v>
      </c>
      <c r="F3749" s="93"/>
      <c r="G3749" s="94" t="s">
        <v>1923</v>
      </c>
    </row>
    <row r="3750" spans="2:7" x14ac:dyDescent="0.15">
      <c r="B3750" s="301"/>
      <c r="C3750" s="91" t="s">
        <v>362</v>
      </c>
      <c r="D3750" s="93">
        <f>VLOOKUP(C3750,基本字段定义!$B$3:$C$3013,2,FALSE)</f>
        <v>507</v>
      </c>
      <c r="E3750" s="92" t="s">
        <v>429</v>
      </c>
      <c r="F3750" s="70"/>
      <c r="G3750" s="94" t="s">
        <v>1924</v>
      </c>
    </row>
    <row r="3751" spans="2:7" x14ac:dyDescent="0.15">
      <c r="B3751" s="301"/>
      <c r="C3751" s="91" t="s">
        <v>364</v>
      </c>
      <c r="D3751" s="93">
        <f>VLOOKUP(C3751,基本字段定义!$B$3:$C$3013,2,FALSE)</f>
        <v>508</v>
      </c>
      <c r="E3751" s="92" t="s">
        <v>388</v>
      </c>
      <c r="F3751" s="93"/>
      <c r="G3751" s="94" t="s">
        <v>1925</v>
      </c>
    </row>
    <row r="3752" spans="2:7" ht="14.25" thickBot="1" x14ac:dyDescent="0.2">
      <c r="B3752" s="305"/>
      <c r="C3752" s="75"/>
      <c r="D3752" s="83"/>
      <c r="E3752" s="167"/>
      <c r="F3752" s="75"/>
      <c r="G3752" s="75"/>
    </row>
    <row r="3754" spans="2:7" x14ac:dyDescent="0.15">
      <c r="B3754" s="57" t="s">
        <v>163</v>
      </c>
      <c r="C3754" s="84">
        <v>303008</v>
      </c>
      <c r="D3754" s="85"/>
      <c r="E3754" s="86"/>
      <c r="F3754" s="58" t="s">
        <v>352</v>
      </c>
      <c r="G3754" s="59"/>
    </row>
    <row r="3755" spans="2:7" x14ac:dyDescent="0.15">
      <c r="B3755" s="60" t="s">
        <v>353</v>
      </c>
      <c r="C3755" s="320" t="s">
        <v>1926</v>
      </c>
      <c r="D3755" s="321"/>
      <c r="E3755" s="322"/>
      <c r="F3755" s="61" t="s">
        <v>397</v>
      </c>
      <c r="G3755" s="62">
        <f>VLOOKUP(C3754,$C$3:$E4051,3,FALSE)</f>
        <v>0</v>
      </c>
    </row>
    <row r="3756" spans="2:7" x14ac:dyDescent="0.15">
      <c r="B3756" s="299" t="s">
        <v>354</v>
      </c>
      <c r="C3756" s="99"/>
      <c r="D3756" s="100"/>
      <c r="E3756" s="100"/>
      <c r="F3756" s="100"/>
      <c r="G3756" s="101"/>
    </row>
    <row r="3757" spans="2:7" ht="14.25" thickBot="1" x14ac:dyDescent="0.2">
      <c r="B3757" s="304"/>
      <c r="C3757" s="102"/>
      <c r="D3757" s="103"/>
      <c r="E3757" s="103"/>
      <c r="F3757" s="103"/>
      <c r="G3757" s="104"/>
    </row>
    <row r="3758" spans="2:7" x14ac:dyDescent="0.15">
      <c r="B3758" s="298" t="s">
        <v>355</v>
      </c>
      <c r="C3758" s="58" t="s">
        <v>356</v>
      </c>
      <c r="D3758" s="58" t="s">
        <v>357</v>
      </c>
      <c r="E3758" s="58" t="s">
        <v>358</v>
      </c>
      <c r="F3758" s="58" t="s">
        <v>359</v>
      </c>
      <c r="G3758" s="64" t="s">
        <v>360</v>
      </c>
    </row>
    <row r="3759" spans="2:7" x14ac:dyDescent="0.15">
      <c r="B3759" s="299"/>
      <c r="C3759" s="65" t="s">
        <v>428</v>
      </c>
      <c r="D3759" s="66">
        <f>VLOOKUP(C3759,基本字段定义!$B$3:$C$3013,2,FALSE)</f>
        <v>605</v>
      </c>
      <c r="E3759" s="67" t="s">
        <v>429</v>
      </c>
      <c r="F3759" s="67" t="s">
        <v>169</v>
      </c>
      <c r="G3759" s="68" t="s">
        <v>430</v>
      </c>
    </row>
    <row r="3760" spans="2:7" x14ac:dyDescent="0.15">
      <c r="B3760" s="299"/>
      <c r="C3760" s="65" t="s">
        <v>548</v>
      </c>
      <c r="D3760" s="66">
        <f>VLOOKUP(C3760,基本字段定义!$B$3:$C$3013,2,FALSE)</f>
        <v>716</v>
      </c>
      <c r="E3760" s="67" t="s">
        <v>579</v>
      </c>
      <c r="F3760" s="67" t="s">
        <v>169</v>
      </c>
      <c r="G3760" s="68" t="s">
        <v>1920</v>
      </c>
    </row>
    <row r="3761" spans="2:7" x14ac:dyDescent="0.15">
      <c r="B3761" s="299"/>
      <c r="C3761" s="65" t="s">
        <v>387</v>
      </c>
      <c r="D3761" s="66">
        <f>VLOOKUP(C3761,基本字段定义!$B$3:$C$3013,2,FALSE)</f>
        <v>599</v>
      </c>
      <c r="E3761" s="67" t="s">
        <v>388</v>
      </c>
      <c r="F3761" s="67" t="s">
        <v>169</v>
      </c>
      <c r="G3761" s="68" t="s">
        <v>389</v>
      </c>
    </row>
    <row r="3762" spans="2:7" x14ac:dyDescent="0.15">
      <c r="B3762" s="300" t="s">
        <v>361</v>
      </c>
      <c r="C3762" s="91" t="s">
        <v>567</v>
      </c>
      <c r="D3762" s="93">
        <f>VLOOKUP(C3762,基本字段定义!$B$3:$C$3013,2,FALSE)</f>
        <v>619</v>
      </c>
      <c r="E3762" s="92" t="s">
        <v>1615</v>
      </c>
      <c r="F3762" s="93"/>
      <c r="G3762" s="94" t="s">
        <v>1269</v>
      </c>
    </row>
    <row r="3763" spans="2:7" x14ac:dyDescent="0.15">
      <c r="B3763" s="301"/>
      <c r="C3763" s="91" t="s">
        <v>362</v>
      </c>
      <c r="D3763" s="93">
        <f>VLOOKUP(C3763,基本字段定义!$B$3:$C$3013,2,FALSE)</f>
        <v>507</v>
      </c>
      <c r="E3763" s="92" t="s">
        <v>429</v>
      </c>
      <c r="F3763" s="70"/>
      <c r="G3763" s="94" t="s">
        <v>1924</v>
      </c>
    </row>
    <row r="3764" spans="2:7" x14ac:dyDescent="0.15">
      <c r="B3764" s="301"/>
      <c r="C3764" s="91" t="s">
        <v>364</v>
      </c>
      <c r="D3764" s="93">
        <f>VLOOKUP(C3764,基本字段定义!$B$3:$C$3013,2,FALSE)</f>
        <v>508</v>
      </c>
      <c r="E3764" s="92" t="s">
        <v>388</v>
      </c>
      <c r="F3764" s="93"/>
      <c r="G3764" s="94" t="s">
        <v>1925</v>
      </c>
    </row>
    <row r="3765" spans="2:7" ht="14.25" thickBot="1" x14ac:dyDescent="0.2">
      <c r="B3765" s="305"/>
      <c r="C3765" s="75"/>
      <c r="D3765" s="83"/>
      <c r="E3765" s="167"/>
      <c r="F3765" s="75"/>
      <c r="G3765" s="75"/>
    </row>
    <row r="3767" spans="2:7" x14ac:dyDescent="0.15">
      <c r="B3767" s="57" t="s">
        <v>163</v>
      </c>
      <c r="C3767" s="84">
        <v>204594</v>
      </c>
      <c r="D3767" s="85"/>
      <c r="E3767" s="86"/>
      <c r="F3767" s="58" t="s">
        <v>352</v>
      </c>
      <c r="G3767" s="59"/>
    </row>
    <row r="3768" spans="2:7" x14ac:dyDescent="0.15">
      <c r="B3768" s="60" t="s">
        <v>353</v>
      </c>
      <c r="C3768" s="320" t="s">
        <v>283</v>
      </c>
      <c r="D3768" s="321"/>
      <c r="E3768" s="322"/>
      <c r="F3768" s="61" t="s">
        <v>165</v>
      </c>
      <c r="G3768" s="62">
        <f>VLOOKUP(C3767,$C$3:$E4066,3,FALSE)</f>
        <v>0</v>
      </c>
    </row>
    <row r="3769" spans="2:7" x14ac:dyDescent="0.15">
      <c r="B3769" s="299" t="s">
        <v>354</v>
      </c>
      <c r="C3769" s="99"/>
      <c r="D3769" s="100"/>
      <c r="E3769" s="100"/>
      <c r="F3769" s="100"/>
      <c r="G3769" s="101"/>
    </row>
    <row r="3770" spans="2:7" ht="14.25" thickBot="1" x14ac:dyDescent="0.2">
      <c r="B3770" s="304"/>
      <c r="C3770" s="102"/>
      <c r="D3770" s="103"/>
      <c r="E3770" s="103"/>
      <c r="F3770" s="103"/>
      <c r="G3770" s="104"/>
    </row>
    <row r="3771" spans="2:7" x14ac:dyDescent="0.15">
      <c r="B3771" s="298" t="s">
        <v>355</v>
      </c>
      <c r="C3771" s="58" t="s">
        <v>356</v>
      </c>
      <c r="D3771" s="58" t="s">
        <v>357</v>
      </c>
      <c r="E3771" s="58" t="s">
        <v>358</v>
      </c>
      <c r="F3771" s="58" t="s">
        <v>359</v>
      </c>
      <c r="G3771" s="64" t="s">
        <v>360</v>
      </c>
    </row>
    <row r="3772" spans="2:7" x14ac:dyDescent="0.15">
      <c r="B3772" s="299"/>
      <c r="C3772" s="65" t="s">
        <v>399</v>
      </c>
      <c r="D3772" s="66">
        <f>VLOOKUP(C3772,基本字段定义!$B$3:$C$3013,2,FALSE)</f>
        <v>697</v>
      </c>
      <c r="E3772" s="67" t="s">
        <v>371</v>
      </c>
      <c r="F3772" s="67" t="s">
        <v>169</v>
      </c>
      <c r="G3772" s="68" t="s">
        <v>400</v>
      </c>
    </row>
    <row r="3773" spans="2:7" x14ac:dyDescent="0.15">
      <c r="B3773" s="299"/>
      <c r="C3773" s="65" t="s">
        <v>428</v>
      </c>
      <c r="D3773" s="66">
        <f>VLOOKUP(C3773,基本字段定义!$B$3:$C$3013,2,FALSE)</f>
        <v>605</v>
      </c>
      <c r="E3773" s="67" t="s">
        <v>429</v>
      </c>
      <c r="F3773" s="67" t="s">
        <v>169</v>
      </c>
      <c r="G3773" s="68" t="s">
        <v>430</v>
      </c>
    </row>
    <row r="3774" spans="2:7" x14ac:dyDescent="0.15">
      <c r="B3774" s="299"/>
      <c r="C3774" s="65" t="s">
        <v>529</v>
      </c>
      <c r="D3774" s="66">
        <f>VLOOKUP(C3774,基本字段定义!$B$3:$C$3013,2,FALSE)</f>
        <v>1332</v>
      </c>
      <c r="E3774" s="67" t="s">
        <v>424</v>
      </c>
      <c r="F3774" s="67"/>
      <c r="G3774" s="68" t="s">
        <v>1927</v>
      </c>
    </row>
    <row r="3775" spans="2:7" x14ac:dyDescent="0.15">
      <c r="B3775" s="299"/>
      <c r="C3775" s="65" t="s">
        <v>1587</v>
      </c>
      <c r="D3775" s="66">
        <f>VLOOKUP(C3775,基本字段定义!$B$3:$C$3013,2,FALSE)</f>
        <v>3609</v>
      </c>
      <c r="E3775" s="67" t="s">
        <v>424</v>
      </c>
      <c r="F3775" s="67"/>
      <c r="G3775" s="68" t="s">
        <v>1588</v>
      </c>
    </row>
    <row r="3776" spans="2:7" x14ac:dyDescent="0.15">
      <c r="B3776" s="299"/>
      <c r="C3776" s="65" t="s">
        <v>458</v>
      </c>
      <c r="D3776" s="66">
        <f>VLOOKUP(C3776,基本字段定义!$B$3:$C$3013,2,FALSE)</f>
        <v>988</v>
      </c>
      <c r="E3776" s="67" t="s">
        <v>363</v>
      </c>
      <c r="F3776" s="67"/>
      <c r="G3776" s="68" t="s">
        <v>459</v>
      </c>
    </row>
    <row r="3777" spans="1:16383" x14ac:dyDescent="0.15">
      <c r="B3777" s="300" t="s">
        <v>361</v>
      </c>
      <c r="C3777" s="91" t="s">
        <v>399</v>
      </c>
      <c r="D3777" s="93">
        <f>VLOOKUP(C3777,基本字段定义!$B$3:$C$3013,2,FALSE)</f>
        <v>697</v>
      </c>
      <c r="E3777" s="92" t="s">
        <v>371</v>
      </c>
      <c r="F3777" s="93"/>
      <c r="G3777" s="94" t="s">
        <v>400</v>
      </c>
    </row>
    <row r="3778" spans="1:16383" x14ac:dyDescent="0.15">
      <c r="B3778" s="301"/>
      <c r="C3778" s="91" t="s">
        <v>428</v>
      </c>
      <c r="D3778" s="93">
        <f>VLOOKUP(C3778,基本字段定义!$B$3:$C$3013,2,FALSE)</f>
        <v>605</v>
      </c>
      <c r="E3778" s="92" t="s">
        <v>429</v>
      </c>
      <c r="F3778" s="93"/>
      <c r="G3778" s="94" t="s">
        <v>430</v>
      </c>
    </row>
    <row r="3779" spans="1:16383" x14ac:dyDescent="0.15">
      <c r="B3779" s="301"/>
      <c r="C3779" s="91" t="s">
        <v>446</v>
      </c>
      <c r="D3779" s="93">
        <f>VLOOKUP(C3779,基本字段定义!$B$3:$C$3013,2,FALSE)</f>
        <v>613</v>
      </c>
      <c r="E3779" s="92" t="s">
        <v>438</v>
      </c>
      <c r="F3779" s="93"/>
      <c r="G3779" s="94" t="s">
        <v>823</v>
      </c>
    </row>
    <row r="3780" spans="1:16383" x14ac:dyDescent="0.15">
      <c r="B3780" s="301"/>
      <c r="C3780" s="91" t="s">
        <v>1928</v>
      </c>
      <c r="D3780" s="93">
        <f>VLOOKUP(C3780,基本字段定义!$B$3:$C$3013,2,FALSE)</f>
        <v>1858</v>
      </c>
      <c r="E3780" s="92" t="s">
        <v>1615</v>
      </c>
      <c r="F3780" s="93"/>
      <c r="G3780" s="94" t="s">
        <v>1929</v>
      </c>
    </row>
    <row r="3781" spans="1:16383" x14ac:dyDescent="0.15">
      <c r="B3781" s="301"/>
      <c r="C3781" s="91" t="s">
        <v>1617</v>
      </c>
      <c r="D3781" s="93">
        <f>VLOOKUP(C3781,基本字段定义!$B$3:$C$3013,2,FALSE)</f>
        <v>2305</v>
      </c>
      <c r="E3781" s="92" t="s">
        <v>1615</v>
      </c>
      <c r="F3781" s="93"/>
      <c r="G3781" s="94" t="s">
        <v>1930</v>
      </c>
    </row>
    <row r="3782" spans="1:16383" x14ac:dyDescent="0.15">
      <c r="B3782" s="301"/>
      <c r="C3782" s="91" t="s">
        <v>533</v>
      </c>
      <c r="D3782" s="93">
        <f>VLOOKUP(C3782,基本字段定义!$B$3:$C$3013,2,FALSE)</f>
        <v>812</v>
      </c>
      <c r="E3782" s="92" t="s">
        <v>424</v>
      </c>
      <c r="F3782" s="93"/>
      <c r="G3782" s="94" t="s">
        <v>1817</v>
      </c>
    </row>
    <row r="3783" spans="1:16383" x14ac:dyDescent="0.15">
      <c r="B3783" s="301"/>
      <c r="C3783" s="91" t="s">
        <v>423</v>
      </c>
      <c r="D3783" s="93">
        <f>VLOOKUP(C3783,基本字段定义!$B$3:$C$3013,2,FALSE)</f>
        <v>815</v>
      </c>
      <c r="E3783" s="92" t="s">
        <v>424</v>
      </c>
      <c r="F3783" s="70"/>
      <c r="G3783" s="94" t="s">
        <v>1496</v>
      </c>
    </row>
    <row r="3784" spans="1:16383" x14ac:dyDescent="0.15">
      <c r="B3784" s="301"/>
      <c r="C3784" s="91" t="s">
        <v>529</v>
      </c>
      <c r="D3784" s="93">
        <f>VLOOKUP(C3784,基本字段定义!$B$3:$C$3013,2,FALSE)</f>
        <v>1332</v>
      </c>
      <c r="E3784" s="92" t="s">
        <v>424</v>
      </c>
      <c r="F3784" s="93"/>
      <c r="G3784" s="94" t="s">
        <v>1927</v>
      </c>
    </row>
    <row r="3785" spans="1:16383" x14ac:dyDescent="0.15">
      <c r="B3785" s="301"/>
      <c r="C3785" s="91" t="s">
        <v>1587</v>
      </c>
      <c r="D3785" s="93">
        <f>VLOOKUP(C3785,基本字段定义!$B$3:$C$3013,2,FALSE)</f>
        <v>3609</v>
      </c>
      <c r="E3785" s="92" t="s">
        <v>424</v>
      </c>
      <c r="F3785" s="93"/>
      <c r="G3785" s="94" t="s">
        <v>1588</v>
      </c>
    </row>
    <row r="3786" spans="1:16383" x14ac:dyDescent="0.15">
      <c r="B3786" s="302"/>
      <c r="C3786" s="69" t="s">
        <v>1931</v>
      </c>
      <c r="D3786" s="70">
        <v>638</v>
      </c>
      <c r="E3786" s="71" t="s">
        <v>365</v>
      </c>
      <c r="F3786" s="70"/>
      <c r="G3786" s="175" t="s">
        <v>1932</v>
      </c>
    </row>
    <row r="3787" spans="1:16383" x14ac:dyDescent="0.15">
      <c r="B3787" s="302"/>
      <c r="C3787" s="69" t="s">
        <v>733</v>
      </c>
      <c r="D3787" s="70">
        <v>843</v>
      </c>
      <c r="E3787" s="71" t="s">
        <v>365</v>
      </c>
      <c r="F3787" s="70"/>
      <c r="G3787" s="175" t="s">
        <v>1933</v>
      </c>
    </row>
    <row r="3788" spans="1:16383" s="56" customFormat="1" ht="14.25" thickBot="1" x14ac:dyDescent="0.2">
      <c r="A3788" s="179"/>
      <c r="B3788" s="303"/>
      <c r="C3788" s="180" t="s">
        <v>735</v>
      </c>
      <c r="D3788" s="181">
        <f>VLOOKUP(C3788,基本字段定义!$B$3:$C$3013,2,FALSE)</f>
        <v>845</v>
      </c>
      <c r="E3788" s="182" t="s">
        <v>365</v>
      </c>
      <c r="F3788" s="181"/>
      <c r="G3788" s="183" t="s">
        <v>1934</v>
      </c>
      <c r="H3788" s="179"/>
      <c r="I3788" s="179"/>
      <c r="J3788" s="179"/>
      <c r="K3788" s="179"/>
      <c r="L3788" s="179"/>
      <c r="M3788" s="179"/>
      <c r="N3788" s="179"/>
      <c r="O3788" s="179"/>
      <c r="P3788" s="179"/>
      <c r="Q3788" s="179"/>
      <c r="R3788" s="179"/>
      <c r="S3788" s="179"/>
      <c r="T3788" s="179"/>
      <c r="U3788" s="179"/>
      <c r="V3788" s="179"/>
      <c r="W3788" s="179"/>
      <c r="X3788" s="179"/>
      <c r="Y3788" s="179"/>
      <c r="Z3788" s="179"/>
      <c r="AA3788" s="179"/>
      <c r="AB3788" s="179"/>
      <c r="AC3788" s="179"/>
      <c r="AD3788" s="179"/>
      <c r="AE3788" s="179"/>
      <c r="AF3788" s="179"/>
      <c r="AG3788" s="179"/>
      <c r="AH3788" s="179"/>
      <c r="AI3788" s="179"/>
      <c r="AJ3788" s="179"/>
      <c r="AK3788" s="179"/>
      <c r="AL3788" s="179"/>
      <c r="AM3788" s="179"/>
      <c r="AN3788" s="179"/>
      <c r="AO3788" s="179"/>
      <c r="AP3788" s="179"/>
      <c r="AQ3788" s="179"/>
      <c r="AR3788" s="179"/>
      <c r="AS3788" s="179"/>
      <c r="AT3788" s="179"/>
      <c r="AU3788" s="179"/>
      <c r="AV3788" s="179"/>
      <c r="AW3788" s="179"/>
      <c r="AX3788" s="179"/>
      <c r="AY3788" s="179"/>
      <c r="AZ3788" s="179"/>
      <c r="BA3788" s="179"/>
      <c r="BB3788" s="179"/>
      <c r="BC3788" s="179"/>
      <c r="BD3788" s="179"/>
      <c r="BE3788" s="179"/>
      <c r="BF3788" s="179"/>
      <c r="BG3788" s="179"/>
      <c r="BH3788" s="179"/>
      <c r="BI3788" s="179"/>
      <c r="BJ3788" s="179"/>
      <c r="BK3788" s="179"/>
      <c r="BL3788" s="179"/>
      <c r="BM3788" s="179"/>
      <c r="BN3788" s="179"/>
      <c r="BO3788" s="179"/>
      <c r="BP3788" s="179"/>
      <c r="BQ3788" s="179"/>
      <c r="BR3788" s="179"/>
      <c r="BS3788" s="179"/>
      <c r="BT3788" s="179"/>
      <c r="BU3788" s="179"/>
      <c r="BV3788" s="179"/>
      <c r="BW3788" s="179"/>
      <c r="BX3788" s="179"/>
      <c r="BY3788" s="179"/>
      <c r="BZ3788" s="179"/>
      <c r="CA3788" s="179"/>
      <c r="CB3788" s="179"/>
      <c r="CC3788" s="179"/>
      <c r="CD3788" s="179"/>
      <c r="CE3788" s="179"/>
      <c r="CF3788" s="179"/>
      <c r="CG3788" s="179"/>
      <c r="CH3788" s="179"/>
      <c r="CI3788" s="179"/>
      <c r="CJ3788" s="179"/>
      <c r="CK3788" s="179"/>
      <c r="CL3788" s="179"/>
      <c r="CM3788" s="179"/>
      <c r="CN3788" s="179"/>
      <c r="CO3788" s="179"/>
      <c r="CP3788" s="179"/>
      <c r="CQ3788" s="179"/>
      <c r="CR3788" s="179"/>
      <c r="CS3788" s="179"/>
      <c r="CT3788" s="179"/>
      <c r="CU3788" s="179"/>
      <c r="CV3788" s="179"/>
      <c r="CW3788" s="179"/>
      <c r="CX3788" s="179"/>
      <c r="CY3788" s="179"/>
      <c r="CZ3788" s="179"/>
      <c r="DA3788" s="179"/>
      <c r="DB3788" s="179"/>
      <c r="DC3788" s="179"/>
      <c r="DD3788" s="179"/>
      <c r="DE3788" s="179"/>
      <c r="DF3788" s="179"/>
      <c r="DG3788" s="179"/>
      <c r="DH3788" s="179"/>
      <c r="DI3788" s="179"/>
      <c r="DJ3788" s="179"/>
      <c r="DK3788" s="179"/>
      <c r="DL3788" s="179"/>
      <c r="DM3788" s="179"/>
      <c r="DN3788" s="179"/>
      <c r="DO3788" s="179"/>
      <c r="DP3788" s="179"/>
      <c r="DQ3788" s="179"/>
      <c r="DR3788" s="179"/>
      <c r="DS3788" s="179"/>
      <c r="DT3788" s="179"/>
      <c r="DU3788" s="179"/>
      <c r="DV3788" s="179"/>
      <c r="DW3788" s="179"/>
      <c r="DX3788" s="179"/>
      <c r="DY3788" s="179"/>
      <c r="DZ3788" s="179"/>
      <c r="EA3788" s="179"/>
      <c r="EB3788" s="179"/>
      <c r="EC3788" s="179"/>
      <c r="ED3788" s="179"/>
      <c r="EE3788" s="179"/>
      <c r="EF3788" s="179"/>
      <c r="EG3788" s="179"/>
      <c r="EH3788" s="179"/>
      <c r="EI3788" s="179"/>
      <c r="EJ3788" s="179"/>
      <c r="EK3788" s="179"/>
      <c r="EL3788" s="179"/>
      <c r="EM3788" s="179"/>
      <c r="EN3788" s="179"/>
      <c r="EO3788" s="179"/>
      <c r="EP3788" s="179"/>
      <c r="EQ3788" s="179"/>
      <c r="ER3788" s="179"/>
      <c r="ES3788" s="179"/>
      <c r="ET3788" s="179"/>
      <c r="EU3788" s="179"/>
      <c r="EV3788" s="179"/>
      <c r="EW3788" s="179"/>
      <c r="EX3788" s="179"/>
      <c r="EY3788" s="179"/>
      <c r="EZ3788" s="179"/>
      <c r="FA3788" s="179"/>
      <c r="FB3788" s="179"/>
      <c r="FC3788" s="179"/>
      <c r="FD3788" s="179"/>
      <c r="FE3788" s="179"/>
      <c r="FF3788" s="179"/>
      <c r="FG3788" s="179"/>
      <c r="FH3788" s="179"/>
      <c r="FI3788" s="179"/>
      <c r="FJ3788" s="179"/>
      <c r="FK3788" s="179"/>
      <c r="FL3788" s="179"/>
      <c r="FM3788" s="179"/>
      <c r="FN3788" s="179"/>
      <c r="FO3788" s="179"/>
      <c r="FP3788" s="179"/>
      <c r="FQ3788" s="179"/>
      <c r="FR3788" s="179"/>
      <c r="FS3788" s="179"/>
      <c r="FT3788" s="179"/>
      <c r="FU3788" s="179"/>
      <c r="FV3788" s="179"/>
      <c r="FW3788" s="179"/>
      <c r="FX3788" s="179"/>
      <c r="FY3788" s="179"/>
      <c r="FZ3788" s="179"/>
      <c r="GA3788" s="179"/>
      <c r="GB3788" s="179"/>
      <c r="GC3788" s="179"/>
      <c r="GD3788" s="179"/>
      <c r="GE3788" s="179"/>
      <c r="GF3788" s="179"/>
      <c r="GG3788" s="179"/>
      <c r="GH3788" s="179"/>
      <c r="GI3788" s="179"/>
      <c r="GJ3788" s="179"/>
      <c r="GK3788" s="179"/>
      <c r="GL3788" s="179"/>
      <c r="GM3788" s="179"/>
      <c r="GN3788" s="179"/>
      <c r="GO3788" s="179"/>
      <c r="GP3788" s="179"/>
      <c r="GQ3788" s="179"/>
      <c r="GR3788" s="179"/>
      <c r="GS3788" s="179"/>
      <c r="GT3788" s="179"/>
      <c r="GU3788" s="179"/>
      <c r="GV3788" s="179"/>
      <c r="GW3788" s="179"/>
      <c r="GX3788" s="179"/>
      <c r="GY3788" s="179"/>
      <c r="GZ3788" s="179"/>
      <c r="HA3788" s="179"/>
      <c r="HB3788" s="179"/>
      <c r="HC3788" s="179"/>
      <c r="HD3788" s="179"/>
      <c r="HE3788" s="179"/>
      <c r="HF3788" s="179"/>
      <c r="HG3788" s="179"/>
      <c r="HH3788" s="179"/>
      <c r="HI3788" s="179"/>
      <c r="HJ3788" s="179"/>
      <c r="HK3788" s="179"/>
      <c r="HL3788" s="179"/>
      <c r="HM3788" s="179"/>
      <c r="HN3788" s="179"/>
      <c r="HO3788" s="179"/>
      <c r="HP3788" s="179"/>
      <c r="HQ3788" s="179"/>
      <c r="HR3788" s="179"/>
      <c r="HS3788" s="179"/>
      <c r="HT3788" s="179"/>
      <c r="HU3788" s="179"/>
      <c r="HV3788" s="179"/>
      <c r="HW3788" s="179"/>
      <c r="HX3788" s="179"/>
      <c r="HY3788" s="179"/>
      <c r="HZ3788" s="179"/>
      <c r="IA3788" s="179"/>
      <c r="IB3788" s="179"/>
      <c r="IC3788" s="179"/>
      <c r="ID3788" s="179"/>
      <c r="IE3788" s="179"/>
      <c r="IF3788" s="179"/>
      <c r="IG3788" s="179"/>
      <c r="IH3788" s="179"/>
      <c r="II3788" s="179"/>
      <c r="IJ3788" s="179"/>
      <c r="IK3788" s="179"/>
      <c r="IL3788" s="179"/>
      <c r="IM3788" s="179"/>
      <c r="IN3788" s="179"/>
      <c r="IO3788" s="179"/>
      <c r="IP3788" s="179"/>
      <c r="IQ3788" s="179"/>
      <c r="IR3788" s="179"/>
      <c r="IS3788" s="179"/>
      <c r="IT3788" s="179"/>
      <c r="IU3788" s="179"/>
      <c r="IV3788" s="179"/>
      <c r="IW3788" s="179"/>
      <c r="IX3788" s="179"/>
      <c r="IY3788" s="179"/>
      <c r="IZ3788" s="179"/>
      <c r="JA3788" s="179"/>
      <c r="JB3788" s="179"/>
      <c r="JC3788" s="179"/>
      <c r="JD3788" s="179"/>
      <c r="JE3788" s="179"/>
      <c r="JF3788" s="179"/>
      <c r="JG3788" s="179"/>
      <c r="JH3788" s="179"/>
      <c r="JI3788" s="179"/>
      <c r="JJ3788" s="179"/>
      <c r="JK3788" s="179"/>
      <c r="JL3788" s="179"/>
      <c r="JM3788" s="179"/>
      <c r="JN3788" s="179"/>
      <c r="JO3788" s="179"/>
      <c r="JP3788" s="179"/>
      <c r="JQ3788" s="179"/>
      <c r="JR3788" s="179"/>
      <c r="JS3788" s="179"/>
      <c r="JT3788" s="179"/>
      <c r="JU3788" s="179"/>
      <c r="JV3788" s="179"/>
      <c r="JW3788" s="179"/>
      <c r="JX3788" s="179"/>
      <c r="JY3788" s="179"/>
      <c r="JZ3788" s="179"/>
      <c r="KA3788" s="179"/>
      <c r="KB3788" s="179"/>
      <c r="KC3788" s="179"/>
      <c r="KD3788" s="179"/>
      <c r="KE3788" s="179"/>
      <c r="KF3788" s="179"/>
      <c r="KG3788" s="179"/>
      <c r="KH3788" s="179"/>
      <c r="KI3788" s="179"/>
      <c r="KJ3788" s="179"/>
      <c r="KK3788" s="179"/>
      <c r="KL3788" s="179"/>
      <c r="KM3788" s="179"/>
      <c r="KN3788" s="179"/>
      <c r="KO3788" s="179"/>
      <c r="KP3788" s="179"/>
      <c r="KQ3788" s="179"/>
      <c r="KR3788" s="179"/>
      <c r="KS3788" s="179"/>
      <c r="KT3788" s="179"/>
      <c r="KU3788" s="179"/>
      <c r="KV3788" s="179"/>
      <c r="KW3788" s="179"/>
      <c r="KX3788" s="179"/>
      <c r="KY3788" s="179"/>
      <c r="KZ3788" s="179"/>
      <c r="LA3788" s="179"/>
      <c r="LB3788" s="179"/>
      <c r="LC3788" s="179"/>
      <c r="LD3788" s="179"/>
      <c r="LE3788" s="179"/>
      <c r="LF3788" s="179"/>
      <c r="LG3788" s="179"/>
      <c r="LH3788" s="179"/>
      <c r="LI3788" s="179"/>
      <c r="LJ3788" s="179"/>
      <c r="LK3788" s="179"/>
      <c r="LL3788" s="179"/>
      <c r="LM3788" s="179"/>
      <c r="LN3788" s="179"/>
      <c r="LO3788" s="179"/>
      <c r="LP3788" s="179"/>
      <c r="LQ3788" s="179"/>
      <c r="LR3788" s="179"/>
      <c r="LS3788" s="179"/>
      <c r="LT3788" s="179"/>
      <c r="LU3788" s="179"/>
      <c r="LV3788" s="179"/>
      <c r="LW3788" s="179"/>
      <c r="LX3788" s="179"/>
      <c r="LY3788" s="179"/>
      <c r="LZ3788" s="179"/>
      <c r="MA3788" s="179"/>
      <c r="MB3788" s="179"/>
      <c r="MC3788" s="179"/>
      <c r="MD3788" s="179"/>
      <c r="ME3788" s="179"/>
      <c r="MF3788" s="179"/>
      <c r="MG3788" s="179"/>
      <c r="MH3788" s="179"/>
      <c r="MI3788" s="179"/>
      <c r="MJ3788" s="179"/>
      <c r="MK3788" s="179"/>
      <c r="ML3788" s="179"/>
      <c r="MM3788" s="179"/>
      <c r="MN3788" s="179"/>
      <c r="MO3788" s="179"/>
      <c r="MP3788" s="179"/>
      <c r="MQ3788" s="179"/>
      <c r="MR3788" s="179"/>
      <c r="MS3788" s="179"/>
      <c r="MT3788" s="179"/>
      <c r="MU3788" s="179"/>
      <c r="MV3788" s="179"/>
      <c r="MW3788" s="179"/>
      <c r="MX3788" s="179"/>
      <c r="MY3788" s="179"/>
      <c r="MZ3788" s="179"/>
      <c r="NA3788" s="179"/>
      <c r="NB3788" s="179"/>
      <c r="NC3788" s="179"/>
      <c r="ND3788" s="179"/>
      <c r="NE3788" s="179"/>
      <c r="NF3788" s="179"/>
      <c r="NG3788" s="179"/>
      <c r="NH3788" s="179"/>
      <c r="NI3788" s="179"/>
      <c r="NJ3788" s="179"/>
      <c r="NK3788" s="179"/>
      <c r="NL3788" s="179"/>
      <c r="NM3788" s="179"/>
      <c r="NN3788" s="179"/>
      <c r="NO3788" s="179"/>
      <c r="NP3788" s="179"/>
      <c r="NQ3788" s="179"/>
      <c r="NR3788" s="179"/>
      <c r="NS3788" s="179"/>
      <c r="NT3788" s="179"/>
      <c r="NU3788" s="179"/>
      <c r="NV3788" s="179"/>
      <c r="NW3788" s="179"/>
      <c r="NX3788" s="179"/>
      <c r="NY3788" s="179"/>
      <c r="NZ3788" s="179"/>
      <c r="OA3788" s="179"/>
      <c r="OB3788" s="179"/>
      <c r="OC3788" s="179"/>
      <c r="OD3788" s="179"/>
      <c r="OE3788" s="179"/>
      <c r="OF3788" s="179"/>
      <c r="OG3788" s="179"/>
      <c r="OH3788" s="179"/>
      <c r="OI3788" s="179"/>
      <c r="OJ3788" s="179"/>
      <c r="OK3788" s="179"/>
      <c r="OL3788" s="179"/>
      <c r="OM3788" s="179"/>
      <c r="ON3788" s="179"/>
      <c r="OO3788" s="179"/>
      <c r="OP3788" s="179"/>
      <c r="OQ3788" s="179"/>
      <c r="OR3788" s="179"/>
      <c r="OS3788" s="179"/>
      <c r="OT3788" s="179"/>
      <c r="OU3788" s="179"/>
      <c r="OV3788" s="179"/>
      <c r="OW3788" s="179"/>
      <c r="OX3788" s="179"/>
      <c r="OY3788" s="179"/>
      <c r="OZ3788" s="179"/>
      <c r="PA3788" s="179"/>
      <c r="PB3788" s="179"/>
      <c r="PC3788" s="179"/>
      <c r="PD3788" s="179"/>
      <c r="PE3788" s="179"/>
      <c r="PF3788" s="179"/>
      <c r="PG3788" s="179"/>
      <c r="PH3788" s="179"/>
      <c r="PI3788" s="179"/>
      <c r="PJ3788" s="179"/>
      <c r="PK3788" s="179"/>
      <c r="PL3788" s="179"/>
      <c r="PM3788" s="179"/>
      <c r="PN3788" s="179"/>
      <c r="PO3788" s="179"/>
      <c r="PP3788" s="179"/>
      <c r="PQ3788" s="179"/>
      <c r="PR3788" s="179"/>
      <c r="PS3788" s="179"/>
      <c r="PT3788" s="179"/>
      <c r="PU3788" s="179"/>
      <c r="PV3788" s="179"/>
      <c r="PW3788" s="179"/>
      <c r="PX3788" s="179"/>
      <c r="PY3788" s="179"/>
      <c r="PZ3788" s="179"/>
      <c r="QA3788" s="179"/>
      <c r="QB3788" s="179"/>
      <c r="QC3788" s="179"/>
      <c r="QD3788" s="179"/>
      <c r="QE3788" s="179"/>
      <c r="QF3788" s="179"/>
      <c r="QG3788" s="179"/>
      <c r="QH3788" s="179"/>
      <c r="QI3788" s="179"/>
      <c r="QJ3788" s="179"/>
      <c r="QK3788" s="179"/>
      <c r="QL3788" s="179"/>
      <c r="QM3788" s="179"/>
      <c r="QN3788" s="179"/>
      <c r="QO3788" s="179"/>
      <c r="QP3788" s="179"/>
      <c r="QQ3788" s="179"/>
      <c r="QR3788" s="179"/>
      <c r="QS3788" s="179"/>
      <c r="QT3788" s="179"/>
      <c r="QU3788" s="179"/>
      <c r="QV3788" s="179"/>
      <c r="QW3788" s="179"/>
      <c r="QX3788" s="179"/>
      <c r="QY3788" s="179"/>
      <c r="QZ3788" s="179"/>
      <c r="RA3788" s="179"/>
      <c r="RB3788" s="179"/>
      <c r="RC3788" s="179"/>
      <c r="RD3788" s="179"/>
      <c r="RE3788" s="179"/>
      <c r="RF3788" s="179"/>
      <c r="RG3788" s="179"/>
      <c r="RH3788" s="179"/>
      <c r="RI3788" s="179"/>
      <c r="RJ3788" s="179"/>
      <c r="RK3788" s="179"/>
      <c r="RL3788" s="179"/>
      <c r="RM3788" s="179"/>
      <c r="RN3788" s="179"/>
      <c r="RO3788" s="179"/>
      <c r="RP3788" s="179"/>
      <c r="RQ3788" s="179"/>
      <c r="RR3788" s="179"/>
      <c r="RS3788" s="179"/>
      <c r="RT3788" s="179"/>
      <c r="RU3788" s="179"/>
      <c r="RV3788" s="179"/>
      <c r="RW3788" s="179"/>
      <c r="RX3788" s="179"/>
      <c r="RY3788" s="179"/>
      <c r="RZ3788" s="179"/>
      <c r="SA3788" s="179"/>
      <c r="SB3788" s="179"/>
      <c r="SC3788" s="179"/>
      <c r="SD3788" s="179"/>
      <c r="SE3788" s="179"/>
      <c r="SF3788" s="179"/>
      <c r="SG3788" s="179"/>
      <c r="SH3788" s="179"/>
      <c r="SI3788" s="179"/>
      <c r="SJ3788" s="179"/>
      <c r="SK3788" s="179"/>
      <c r="SL3788" s="179"/>
      <c r="SM3788" s="179"/>
      <c r="SN3788" s="179"/>
      <c r="SO3788" s="179"/>
      <c r="SP3788" s="179"/>
      <c r="SQ3788" s="179"/>
      <c r="SR3788" s="179"/>
      <c r="SS3788" s="179"/>
      <c r="ST3788" s="179"/>
      <c r="SU3788" s="179"/>
      <c r="SV3788" s="179"/>
      <c r="SW3788" s="179"/>
      <c r="SX3788" s="179"/>
      <c r="SY3788" s="179"/>
      <c r="SZ3788" s="179"/>
      <c r="TA3788" s="179"/>
      <c r="TB3788" s="179"/>
      <c r="TC3788" s="179"/>
      <c r="TD3788" s="179"/>
      <c r="TE3788" s="179"/>
      <c r="TF3788" s="179"/>
      <c r="TG3788" s="179"/>
      <c r="TH3788" s="179"/>
      <c r="TI3788" s="179"/>
      <c r="TJ3788" s="179"/>
      <c r="TK3788" s="179"/>
      <c r="TL3788" s="179"/>
      <c r="TM3788" s="179"/>
      <c r="TN3788" s="179"/>
      <c r="TO3788" s="179"/>
      <c r="TP3788" s="179"/>
      <c r="TQ3788" s="179"/>
      <c r="TR3788" s="179"/>
      <c r="TS3788" s="179"/>
      <c r="TT3788" s="179"/>
      <c r="TU3788" s="179"/>
      <c r="TV3788" s="179"/>
      <c r="TW3788" s="179"/>
      <c r="TX3788" s="179"/>
      <c r="TY3788" s="179"/>
      <c r="TZ3788" s="179"/>
      <c r="UA3788" s="179"/>
      <c r="UB3788" s="179"/>
      <c r="UC3788" s="179"/>
      <c r="UD3788" s="179"/>
      <c r="UE3788" s="179"/>
      <c r="UF3788" s="179"/>
      <c r="UG3788" s="179"/>
      <c r="UH3788" s="179"/>
      <c r="UI3788" s="179"/>
      <c r="UJ3788" s="179"/>
      <c r="UK3788" s="179"/>
      <c r="UL3788" s="179"/>
      <c r="UM3788" s="179"/>
      <c r="UN3788" s="179"/>
      <c r="UO3788" s="179"/>
      <c r="UP3788" s="179"/>
      <c r="UQ3788" s="179"/>
      <c r="UR3788" s="179"/>
      <c r="US3788" s="179"/>
      <c r="UT3788" s="179"/>
      <c r="UU3788" s="179"/>
      <c r="UV3788" s="179"/>
      <c r="UW3788" s="179"/>
      <c r="UX3788" s="179"/>
      <c r="UY3788" s="179"/>
      <c r="UZ3788" s="179"/>
      <c r="VA3788" s="179"/>
      <c r="VB3788" s="179"/>
      <c r="VC3788" s="179"/>
      <c r="VD3788" s="179"/>
      <c r="VE3788" s="179"/>
      <c r="VF3788" s="179"/>
      <c r="VG3788" s="179"/>
      <c r="VH3788" s="179"/>
      <c r="VI3788" s="179"/>
      <c r="VJ3788" s="179"/>
      <c r="VK3788" s="179"/>
      <c r="VL3788" s="179"/>
      <c r="VM3788" s="179"/>
      <c r="VN3788" s="179"/>
      <c r="VO3788" s="179"/>
      <c r="VP3788" s="179"/>
      <c r="VQ3788" s="179"/>
      <c r="VR3788" s="179"/>
      <c r="VS3788" s="179"/>
      <c r="VT3788" s="179"/>
      <c r="VU3788" s="179"/>
      <c r="VV3788" s="179"/>
      <c r="VW3788" s="179"/>
      <c r="VX3788" s="179"/>
      <c r="VY3788" s="179"/>
      <c r="VZ3788" s="179"/>
      <c r="WA3788" s="179"/>
      <c r="WB3788" s="179"/>
      <c r="WC3788" s="179"/>
      <c r="WD3788" s="179"/>
      <c r="WE3788" s="179"/>
      <c r="WF3788" s="179"/>
      <c r="WG3788" s="179"/>
      <c r="WH3788" s="179"/>
      <c r="WI3788" s="179"/>
      <c r="WJ3788" s="179"/>
      <c r="WK3788" s="179"/>
      <c r="WL3788" s="179"/>
      <c r="WM3788" s="179"/>
      <c r="WN3788" s="179"/>
      <c r="WO3788" s="179"/>
      <c r="WP3788" s="179"/>
      <c r="WQ3788" s="179"/>
      <c r="WR3788" s="179"/>
      <c r="WS3788" s="179"/>
      <c r="WT3788" s="179"/>
      <c r="WU3788" s="179"/>
      <c r="WV3788" s="179"/>
      <c r="WW3788" s="179"/>
      <c r="WX3788" s="179"/>
      <c r="WY3788" s="179"/>
      <c r="WZ3788" s="179"/>
      <c r="XA3788" s="179"/>
      <c r="XB3788" s="179"/>
      <c r="XC3788" s="179"/>
      <c r="XD3788" s="179"/>
      <c r="XE3788" s="179"/>
      <c r="XF3788" s="179"/>
      <c r="XG3788" s="179"/>
      <c r="XH3788" s="179"/>
      <c r="XI3788" s="179"/>
      <c r="XJ3788" s="179"/>
      <c r="XK3788" s="179"/>
      <c r="XL3788" s="179"/>
      <c r="XM3788" s="179"/>
      <c r="XN3788" s="179"/>
      <c r="XO3788" s="179"/>
      <c r="XP3788" s="179"/>
      <c r="XQ3788" s="179"/>
      <c r="XR3788" s="179"/>
      <c r="XS3788" s="179"/>
      <c r="XT3788" s="179"/>
      <c r="XU3788" s="179"/>
      <c r="XV3788" s="179"/>
      <c r="XW3788" s="179"/>
      <c r="XX3788" s="179"/>
      <c r="XY3788" s="179"/>
      <c r="XZ3788" s="179"/>
      <c r="YA3788" s="179"/>
      <c r="YB3788" s="179"/>
      <c r="YC3788" s="179"/>
      <c r="YD3788" s="179"/>
      <c r="YE3788" s="179"/>
      <c r="YF3788" s="179"/>
      <c r="YG3788" s="179"/>
      <c r="YH3788" s="179"/>
      <c r="YI3788" s="179"/>
      <c r="YJ3788" s="179"/>
      <c r="YK3788" s="179"/>
      <c r="YL3788" s="179"/>
      <c r="YM3788" s="179"/>
      <c r="YN3788" s="179"/>
      <c r="YO3788" s="179"/>
      <c r="YP3788" s="179"/>
      <c r="YQ3788" s="179"/>
      <c r="YR3788" s="179"/>
      <c r="YS3788" s="179"/>
      <c r="YT3788" s="179"/>
      <c r="YU3788" s="179"/>
      <c r="YV3788" s="179"/>
      <c r="YW3788" s="179"/>
      <c r="YX3788" s="179"/>
      <c r="YY3788" s="179"/>
      <c r="YZ3788" s="179"/>
      <c r="ZA3788" s="179"/>
      <c r="ZB3788" s="179"/>
      <c r="ZC3788" s="179"/>
      <c r="ZD3788" s="179"/>
      <c r="ZE3788" s="179"/>
      <c r="ZF3788" s="179"/>
      <c r="ZG3788" s="179"/>
      <c r="ZH3788" s="179"/>
      <c r="ZI3788" s="179"/>
      <c r="ZJ3788" s="179"/>
      <c r="ZK3788" s="179"/>
      <c r="ZL3788" s="179"/>
      <c r="ZM3788" s="179"/>
      <c r="ZN3788" s="179"/>
      <c r="ZO3788" s="179"/>
      <c r="ZP3788" s="179"/>
      <c r="ZQ3788" s="179"/>
      <c r="ZR3788" s="179"/>
      <c r="ZS3788" s="179"/>
      <c r="ZT3788" s="179"/>
      <c r="ZU3788" s="179"/>
      <c r="ZV3788" s="179"/>
      <c r="ZW3788" s="179"/>
      <c r="ZX3788" s="179"/>
      <c r="ZY3788" s="179"/>
      <c r="ZZ3788" s="179"/>
      <c r="AAA3788" s="179"/>
      <c r="AAB3788" s="179"/>
      <c r="AAC3788" s="179"/>
      <c r="AAD3788" s="179"/>
      <c r="AAE3788" s="179"/>
      <c r="AAF3788" s="179"/>
      <c r="AAG3788" s="179"/>
      <c r="AAH3788" s="179"/>
      <c r="AAI3788" s="179"/>
      <c r="AAJ3788" s="179"/>
      <c r="AAK3788" s="179"/>
      <c r="AAL3788" s="179"/>
      <c r="AAM3788" s="179"/>
      <c r="AAN3788" s="179"/>
      <c r="AAO3788" s="179"/>
      <c r="AAP3788" s="179"/>
      <c r="AAQ3788" s="179"/>
      <c r="AAR3788" s="179"/>
      <c r="AAS3788" s="179"/>
      <c r="AAT3788" s="179"/>
      <c r="AAU3788" s="179"/>
      <c r="AAV3788" s="179"/>
      <c r="AAW3788" s="179"/>
      <c r="AAX3788" s="179"/>
      <c r="AAY3788" s="179"/>
      <c r="AAZ3788" s="179"/>
      <c r="ABA3788" s="179"/>
      <c r="ABB3788" s="179"/>
      <c r="ABC3788" s="179"/>
      <c r="ABD3788" s="179"/>
      <c r="ABE3788" s="179"/>
      <c r="ABF3788" s="179"/>
      <c r="ABG3788" s="179"/>
      <c r="ABH3788" s="179"/>
      <c r="ABI3788" s="179"/>
      <c r="ABJ3788" s="179"/>
      <c r="ABK3788" s="179"/>
      <c r="ABL3788" s="179"/>
      <c r="ABM3788" s="179"/>
      <c r="ABN3788" s="179"/>
      <c r="ABO3788" s="179"/>
      <c r="ABP3788" s="179"/>
      <c r="ABQ3788" s="179"/>
      <c r="ABR3788" s="179"/>
      <c r="ABS3788" s="179"/>
      <c r="ABT3788" s="179"/>
      <c r="ABU3788" s="179"/>
      <c r="ABV3788" s="179"/>
      <c r="ABW3788" s="179"/>
      <c r="ABX3788" s="179"/>
      <c r="ABY3788" s="179"/>
      <c r="ABZ3788" s="179"/>
      <c r="ACA3788" s="179"/>
      <c r="ACB3788" s="179"/>
      <c r="ACC3788" s="179"/>
      <c r="ACD3788" s="179"/>
      <c r="ACE3788" s="179"/>
      <c r="ACF3788" s="179"/>
      <c r="ACG3788" s="179"/>
      <c r="ACH3788" s="179"/>
      <c r="ACI3788" s="179"/>
      <c r="ACJ3788" s="179"/>
      <c r="ACK3788" s="179"/>
      <c r="ACL3788" s="179"/>
      <c r="ACM3788" s="179"/>
      <c r="ACN3788" s="179"/>
      <c r="ACO3788" s="179"/>
      <c r="ACP3788" s="179"/>
      <c r="ACQ3788" s="179"/>
      <c r="ACR3788" s="179"/>
      <c r="ACS3788" s="179"/>
      <c r="ACT3788" s="179"/>
      <c r="ACU3788" s="179"/>
      <c r="ACV3788" s="179"/>
      <c r="ACW3788" s="179"/>
      <c r="ACX3788" s="179"/>
      <c r="ACY3788" s="179"/>
      <c r="ACZ3788" s="179"/>
      <c r="ADA3788" s="179"/>
      <c r="ADB3788" s="179"/>
      <c r="ADC3788" s="179"/>
      <c r="ADD3788" s="179"/>
      <c r="ADE3788" s="179"/>
      <c r="ADF3788" s="179"/>
      <c r="ADG3788" s="179"/>
      <c r="ADH3788" s="179"/>
      <c r="ADI3788" s="179"/>
      <c r="ADJ3788" s="179"/>
      <c r="ADK3788" s="179"/>
      <c r="ADL3788" s="179"/>
      <c r="ADM3788" s="179"/>
      <c r="ADN3788" s="179"/>
      <c r="ADO3788" s="179"/>
      <c r="ADP3788" s="179"/>
      <c r="ADQ3788" s="179"/>
      <c r="ADR3788" s="179"/>
      <c r="ADS3788" s="179"/>
      <c r="ADT3788" s="179"/>
      <c r="ADU3788" s="179"/>
      <c r="ADV3788" s="179"/>
      <c r="ADW3788" s="179"/>
      <c r="ADX3788" s="179"/>
      <c r="ADY3788" s="179"/>
      <c r="ADZ3788" s="179"/>
      <c r="AEA3788" s="179"/>
      <c r="AEB3788" s="179"/>
      <c r="AEC3788" s="179"/>
      <c r="AED3788" s="179"/>
      <c r="AEE3788" s="179"/>
      <c r="AEF3788" s="179"/>
      <c r="AEG3788" s="179"/>
      <c r="AEH3788" s="179"/>
      <c r="AEI3788" s="179"/>
      <c r="AEJ3788" s="179"/>
      <c r="AEK3788" s="179"/>
      <c r="AEL3788" s="179"/>
      <c r="AEM3788" s="179"/>
      <c r="AEN3788" s="179"/>
      <c r="AEO3788" s="179"/>
      <c r="AEP3788" s="179"/>
      <c r="AEQ3788" s="179"/>
      <c r="AER3788" s="179"/>
      <c r="AES3788" s="179"/>
      <c r="AET3788" s="179"/>
      <c r="AEU3788" s="179"/>
      <c r="AEV3788" s="179"/>
      <c r="AEW3788" s="179"/>
      <c r="AEX3788" s="179"/>
      <c r="AEY3788" s="179"/>
      <c r="AEZ3788" s="179"/>
      <c r="AFA3788" s="179"/>
      <c r="AFB3788" s="179"/>
      <c r="AFC3788" s="179"/>
      <c r="AFD3788" s="179"/>
      <c r="AFE3788" s="179"/>
      <c r="AFF3788" s="179"/>
      <c r="AFG3788" s="179"/>
      <c r="AFH3788" s="179"/>
      <c r="AFI3788" s="179"/>
      <c r="AFJ3788" s="179"/>
      <c r="AFK3788" s="179"/>
      <c r="AFL3788" s="179"/>
      <c r="AFM3788" s="179"/>
      <c r="AFN3788" s="179"/>
      <c r="AFO3788" s="179"/>
      <c r="AFP3788" s="179"/>
      <c r="AFQ3788" s="179"/>
      <c r="AFR3788" s="179"/>
      <c r="AFS3788" s="179"/>
      <c r="AFT3788" s="179"/>
      <c r="AFU3788" s="179"/>
      <c r="AFV3788" s="179"/>
      <c r="AFW3788" s="179"/>
      <c r="AFX3788" s="179"/>
      <c r="AFY3788" s="179"/>
      <c r="AFZ3788" s="179"/>
      <c r="AGA3788" s="179"/>
      <c r="AGB3788" s="179"/>
      <c r="AGC3788" s="179"/>
      <c r="AGD3788" s="179"/>
      <c r="AGE3788" s="179"/>
      <c r="AGF3788" s="179"/>
      <c r="AGG3788" s="179"/>
      <c r="AGH3788" s="179"/>
      <c r="AGI3788" s="179"/>
      <c r="AGJ3788" s="179"/>
      <c r="AGK3788" s="179"/>
      <c r="AGL3788" s="179"/>
      <c r="AGM3788" s="179"/>
      <c r="AGN3788" s="179"/>
      <c r="AGO3788" s="179"/>
      <c r="AGP3788" s="179"/>
      <c r="AGQ3788" s="179"/>
      <c r="AGR3788" s="179"/>
      <c r="AGS3788" s="179"/>
      <c r="AGT3788" s="179"/>
      <c r="AGU3788" s="179"/>
      <c r="AGV3788" s="179"/>
      <c r="AGW3788" s="179"/>
      <c r="AGX3788" s="179"/>
      <c r="AGY3788" s="179"/>
      <c r="AGZ3788" s="179"/>
      <c r="AHA3788" s="179"/>
      <c r="AHB3788" s="179"/>
      <c r="AHC3788" s="179"/>
      <c r="AHD3788" s="179"/>
      <c r="AHE3788" s="179"/>
      <c r="AHF3788" s="179"/>
      <c r="AHG3788" s="179"/>
      <c r="AHH3788" s="179"/>
      <c r="AHI3788" s="179"/>
      <c r="AHJ3788" s="179"/>
      <c r="AHK3788" s="179"/>
      <c r="AHL3788" s="179"/>
      <c r="AHM3788" s="179"/>
      <c r="AHN3788" s="179"/>
      <c r="AHO3788" s="179"/>
      <c r="AHP3788" s="179"/>
      <c r="AHQ3788" s="179"/>
      <c r="AHR3788" s="179"/>
      <c r="AHS3788" s="179"/>
      <c r="AHT3788" s="179"/>
      <c r="AHU3788" s="179"/>
      <c r="AHV3788" s="179"/>
      <c r="AHW3788" s="179"/>
      <c r="AHX3788" s="179"/>
      <c r="AHY3788" s="179"/>
      <c r="AHZ3788" s="179"/>
      <c r="AIA3788" s="179"/>
      <c r="AIB3788" s="179"/>
      <c r="AIC3788" s="179"/>
      <c r="AID3788" s="179"/>
      <c r="AIE3788" s="179"/>
      <c r="AIF3788" s="179"/>
      <c r="AIG3788" s="179"/>
      <c r="AIH3788" s="179"/>
      <c r="AII3788" s="179"/>
      <c r="AIJ3788" s="179"/>
      <c r="AIK3788" s="179"/>
      <c r="AIL3788" s="179"/>
      <c r="AIM3788" s="179"/>
      <c r="AIN3788" s="179"/>
      <c r="AIO3788" s="179"/>
      <c r="AIP3788" s="179"/>
      <c r="AIQ3788" s="179"/>
      <c r="AIR3788" s="179"/>
      <c r="AIS3788" s="179"/>
      <c r="AIT3788" s="179"/>
      <c r="AIU3788" s="179"/>
      <c r="AIV3788" s="179"/>
      <c r="AIW3788" s="179"/>
      <c r="AIX3788" s="179"/>
      <c r="AIY3788" s="179"/>
      <c r="AIZ3788" s="179"/>
      <c r="AJA3788" s="179"/>
      <c r="AJB3788" s="179"/>
      <c r="AJC3788" s="179"/>
      <c r="AJD3788" s="179"/>
      <c r="AJE3788" s="179"/>
      <c r="AJF3788" s="179"/>
      <c r="AJG3788" s="179"/>
      <c r="AJH3788" s="179"/>
      <c r="AJI3788" s="179"/>
      <c r="AJJ3788" s="179"/>
      <c r="AJK3788" s="179"/>
      <c r="AJL3788" s="179"/>
      <c r="AJM3788" s="179"/>
      <c r="AJN3788" s="179"/>
      <c r="AJO3788" s="179"/>
      <c r="AJP3788" s="179"/>
      <c r="AJQ3788" s="179"/>
      <c r="AJR3788" s="179"/>
      <c r="AJS3788" s="179"/>
      <c r="AJT3788" s="179"/>
      <c r="AJU3788" s="179"/>
      <c r="AJV3788" s="179"/>
      <c r="AJW3788" s="179"/>
      <c r="AJX3788" s="179"/>
      <c r="AJY3788" s="179"/>
      <c r="AJZ3788" s="179"/>
      <c r="AKA3788" s="179"/>
      <c r="AKB3788" s="179"/>
      <c r="AKC3788" s="179"/>
      <c r="AKD3788" s="179"/>
      <c r="AKE3788" s="179"/>
      <c r="AKF3788" s="179"/>
      <c r="AKG3788" s="179"/>
      <c r="AKH3788" s="179"/>
      <c r="AKI3788" s="179"/>
      <c r="AKJ3788" s="179"/>
      <c r="AKK3788" s="179"/>
      <c r="AKL3788" s="179"/>
      <c r="AKM3788" s="179"/>
      <c r="AKN3788" s="179"/>
      <c r="AKO3788" s="179"/>
      <c r="AKP3788" s="179"/>
      <c r="AKQ3788" s="179"/>
      <c r="AKR3788" s="179"/>
      <c r="AKS3788" s="179"/>
      <c r="AKT3788" s="179"/>
      <c r="AKU3788" s="179"/>
      <c r="AKV3788" s="179"/>
      <c r="AKW3788" s="179"/>
      <c r="AKX3788" s="179"/>
      <c r="AKY3788" s="179"/>
      <c r="AKZ3788" s="179"/>
      <c r="ALA3788" s="179"/>
      <c r="ALB3788" s="179"/>
      <c r="ALC3788" s="179"/>
      <c r="ALD3788" s="179"/>
      <c r="ALE3788" s="179"/>
      <c r="ALF3788" s="179"/>
      <c r="ALG3788" s="179"/>
      <c r="ALH3788" s="179"/>
      <c r="ALI3788" s="179"/>
      <c r="ALJ3788" s="179"/>
      <c r="ALK3788" s="179"/>
      <c r="ALL3788" s="179"/>
      <c r="ALM3788" s="179"/>
      <c r="ALN3788" s="179"/>
      <c r="ALO3788" s="179"/>
      <c r="ALP3788" s="179"/>
      <c r="ALQ3788" s="179"/>
      <c r="ALR3788" s="179"/>
      <c r="ALS3788" s="179"/>
      <c r="ALT3788" s="179"/>
      <c r="ALU3788" s="179"/>
      <c r="ALV3788" s="179"/>
      <c r="ALW3788" s="179"/>
      <c r="ALX3788" s="179"/>
      <c r="ALY3788" s="179"/>
      <c r="ALZ3788" s="179"/>
      <c r="AMA3788" s="179"/>
      <c r="AMB3788" s="179"/>
      <c r="AMC3788" s="179"/>
      <c r="AMD3788" s="179"/>
      <c r="AME3788" s="179"/>
      <c r="AMF3788" s="179"/>
      <c r="AMG3788" s="179"/>
      <c r="AMH3788" s="179"/>
      <c r="AMI3788" s="179"/>
      <c r="AMJ3788" s="179"/>
      <c r="AMK3788" s="179"/>
      <c r="AML3788" s="179"/>
      <c r="AMM3788" s="179"/>
      <c r="AMN3788" s="179"/>
      <c r="AMO3788" s="179"/>
      <c r="AMP3788" s="179"/>
      <c r="AMQ3788" s="179"/>
      <c r="AMR3788" s="179"/>
      <c r="AMS3788" s="179"/>
      <c r="AMT3788" s="179"/>
      <c r="AMU3788" s="179"/>
      <c r="AMV3788" s="179"/>
      <c r="AMW3788" s="179"/>
      <c r="AMX3788" s="179"/>
      <c r="AMY3788" s="179"/>
      <c r="AMZ3788" s="179"/>
      <c r="ANA3788" s="179"/>
      <c r="ANB3788" s="179"/>
      <c r="ANC3788" s="179"/>
      <c r="AND3788" s="179"/>
      <c r="ANE3788" s="179"/>
      <c r="ANF3788" s="179"/>
      <c r="ANG3788" s="179"/>
      <c r="ANH3788" s="179"/>
      <c r="ANI3788" s="179"/>
      <c r="ANJ3788" s="179"/>
      <c r="ANK3788" s="179"/>
      <c r="ANL3788" s="179"/>
      <c r="ANM3788" s="179"/>
      <c r="ANN3788" s="179"/>
      <c r="ANO3788" s="179"/>
      <c r="ANP3788" s="179"/>
      <c r="ANQ3788" s="179"/>
      <c r="ANR3788" s="179"/>
      <c r="ANS3788" s="179"/>
      <c r="ANT3788" s="179"/>
      <c r="ANU3788" s="179"/>
      <c r="ANV3788" s="179"/>
      <c r="ANW3788" s="179"/>
      <c r="ANX3788" s="179"/>
      <c r="ANY3788" s="179"/>
      <c r="ANZ3788" s="179"/>
      <c r="AOA3788" s="179"/>
      <c r="AOB3788" s="179"/>
      <c r="AOC3788" s="179"/>
      <c r="AOD3788" s="179"/>
      <c r="AOE3788" s="179"/>
      <c r="AOF3788" s="179"/>
      <c r="AOG3788" s="179"/>
      <c r="AOH3788" s="179"/>
      <c r="AOI3788" s="179"/>
      <c r="AOJ3788" s="179"/>
      <c r="AOK3788" s="179"/>
      <c r="AOL3788" s="179"/>
      <c r="AOM3788" s="179"/>
      <c r="AON3788" s="179"/>
      <c r="AOO3788" s="179"/>
      <c r="AOP3788" s="179"/>
      <c r="AOQ3788" s="179"/>
      <c r="AOR3788" s="179"/>
      <c r="AOS3788" s="179"/>
      <c r="AOT3788" s="179"/>
      <c r="AOU3788" s="179"/>
      <c r="AOV3788" s="179"/>
      <c r="AOW3788" s="179"/>
      <c r="AOX3788" s="179"/>
      <c r="AOY3788" s="179"/>
      <c r="AOZ3788" s="179"/>
      <c r="APA3788" s="179"/>
      <c r="APB3788" s="179"/>
      <c r="APC3788" s="179"/>
      <c r="APD3788" s="179"/>
      <c r="APE3788" s="179"/>
      <c r="APF3788" s="179"/>
      <c r="APG3788" s="179"/>
      <c r="APH3788" s="179"/>
      <c r="API3788" s="179"/>
      <c r="APJ3788" s="179"/>
      <c r="APK3788" s="179"/>
      <c r="APL3788" s="179"/>
      <c r="APM3788" s="179"/>
      <c r="APN3788" s="179"/>
      <c r="APO3788" s="179"/>
      <c r="APP3788" s="179"/>
      <c r="APQ3788" s="179"/>
      <c r="APR3788" s="179"/>
      <c r="APS3788" s="179"/>
      <c r="APT3788" s="179"/>
      <c r="APU3788" s="179"/>
      <c r="APV3788" s="179"/>
      <c r="APW3788" s="179"/>
      <c r="APX3788" s="179"/>
      <c r="APY3788" s="179"/>
      <c r="APZ3788" s="179"/>
      <c r="AQA3788" s="179"/>
      <c r="AQB3788" s="179"/>
      <c r="AQC3788" s="179"/>
      <c r="AQD3788" s="179"/>
      <c r="AQE3788" s="179"/>
      <c r="AQF3788" s="179"/>
      <c r="AQG3788" s="179"/>
      <c r="AQH3788" s="179"/>
      <c r="AQI3788" s="179"/>
      <c r="AQJ3788" s="179"/>
      <c r="AQK3788" s="179"/>
      <c r="AQL3788" s="179"/>
      <c r="AQM3788" s="179"/>
      <c r="AQN3788" s="179"/>
      <c r="AQO3788" s="179"/>
      <c r="AQP3788" s="179"/>
      <c r="AQQ3788" s="179"/>
      <c r="AQR3788" s="179"/>
      <c r="AQS3788" s="179"/>
      <c r="AQT3788" s="179"/>
      <c r="AQU3788" s="179"/>
      <c r="AQV3788" s="179"/>
      <c r="AQW3788" s="179"/>
      <c r="AQX3788" s="179"/>
      <c r="AQY3788" s="179"/>
      <c r="AQZ3788" s="179"/>
      <c r="ARA3788" s="179"/>
      <c r="ARB3788" s="179"/>
      <c r="ARC3788" s="179"/>
      <c r="ARD3788" s="179"/>
      <c r="ARE3788" s="179"/>
      <c r="ARF3788" s="179"/>
      <c r="ARG3788" s="179"/>
      <c r="ARH3788" s="179"/>
      <c r="ARI3788" s="179"/>
      <c r="ARJ3788" s="179"/>
      <c r="ARK3788" s="179"/>
      <c r="ARL3788" s="179"/>
      <c r="ARM3788" s="179"/>
      <c r="ARN3788" s="179"/>
      <c r="ARO3788" s="179"/>
      <c r="ARP3788" s="179"/>
      <c r="ARQ3788" s="179"/>
      <c r="ARR3788" s="179"/>
      <c r="ARS3788" s="179"/>
      <c r="ART3788" s="179"/>
      <c r="ARU3788" s="179"/>
      <c r="ARV3788" s="179"/>
      <c r="ARW3788" s="179"/>
      <c r="ARX3788" s="179"/>
      <c r="ARY3788" s="179"/>
      <c r="ARZ3788" s="179"/>
      <c r="ASA3788" s="179"/>
      <c r="ASB3788" s="179"/>
      <c r="ASC3788" s="179"/>
      <c r="ASD3788" s="179"/>
      <c r="ASE3788" s="179"/>
      <c r="ASF3788" s="179"/>
      <c r="ASG3788" s="179"/>
      <c r="ASH3788" s="179"/>
      <c r="ASI3788" s="179"/>
      <c r="ASJ3788" s="179"/>
      <c r="ASK3788" s="179"/>
      <c r="ASL3788" s="179"/>
      <c r="ASM3788" s="179"/>
      <c r="ASN3788" s="179"/>
      <c r="ASO3788" s="179"/>
      <c r="ASP3788" s="179"/>
      <c r="ASQ3788" s="179"/>
      <c r="ASR3788" s="179"/>
      <c r="ASS3788" s="179"/>
      <c r="AST3788" s="179"/>
      <c r="ASU3788" s="179"/>
      <c r="ASV3788" s="179"/>
      <c r="ASW3788" s="179"/>
      <c r="ASX3788" s="179"/>
      <c r="ASY3788" s="179"/>
      <c r="ASZ3788" s="179"/>
      <c r="ATA3788" s="179"/>
      <c r="ATB3788" s="179"/>
      <c r="ATC3788" s="179"/>
      <c r="ATD3788" s="179"/>
      <c r="ATE3788" s="179"/>
      <c r="ATF3788" s="179"/>
      <c r="ATG3788" s="179"/>
      <c r="ATH3788" s="179"/>
      <c r="ATI3788" s="179"/>
      <c r="ATJ3788" s="179"/>
      <c r="ATK3788" s="179"/>
      <c r="ATL3788" s="179"/>
      <c r="ATM3788" s="179"/>
      <c r="ATN3788" s="179"/>
      <c r="ATO3788" s="179"/>
      <c r="ATP3788" s="179"/>
      <c r="ATQ3788" s="179"/>
      <c r="ATR3788" s="179"/>
      <c r="ATS3788" s="179"/>
      <c r="ATT3788" s="179"/>
      <c r="ATU3788" s="179"/>
      <c r="ATV3788" s="179"/>
      <c r="ATW3788" s="179"/>
      <c r="ATX3788" s="179"/>
      <c r="ATY3788" s="179"/>
      <c r="ATZ3788" s="179"/>
      <c r="AUA3788" s="179"/>
      <c r="AUB3788" s="179"/>
      <c r="AUC3788" s="179"/>
      <c r="AUD3788" s="179"/>
      <c r="AUE3788" s="179"/>
      <c r="AUF3788" s="179"/>
      <c r="AUG3788" s="179"/>
      <c r="AUH3788" s="179"/>
      <c r="AUI3788" s="179"/>
      <c r="AUJ3788" s="179"/>
      <c r="AUK3788" s="179"/>
      <c r="AUL3788" s="179"/>
      <c r="AUM3788" s="179"/>
      <c r="AUN3788" s="179"/>
      <c r="AUO3788" s="179"/>
      <c r="AUP3788" s="179"/>
      <c r="AUQ3788" s="179"/>
      <c r="AUR3788" s="179"/>
      <c r="AUS3788" s="179"/>
      <c r="AUT3788" s="179"/>
      <c r="AUU3788" s="179"/>
      <c r="AUV3788" s="179"/>
      <c r="AUW3788" s="179"/>
      <c r="AUX3788" s="179"/>
      <c r="AUY3788" s="179"/>
      <c r="AUZ3788" s="179"/>
      <c r="AVA3788" s="179"/>
      <c r="AVB3788" s="179"/>
      <c r="AVC3788" s="179"/>
      <c r="AVD3788" s="179"/>
      <c r="AVE3788" s="179"/>
      <c r="AVF3788" s="179"/>
      <c r="AVG3788" s="179"/>
      <c r="AVH3788" s="179"/>
      <c r="AVI3788" s="179"/>
      <c r="AVJ3788" s="179"/>
      <c r="AVK3788" s="179"/>
      <c r="AVL3788" s="179"/>
      <c r="AVM3788" s="179"/>
      <c r="AVN3788" s="179"/>
      <c r="AVO3788" s="179"/>
      <c r="AVP3788" s="179"/>
      <c r="AVQ3788" s="179"/>
      <c r="AVR3788" s="179"/>
      <c r="AVS3788" s="179"/>
      <c r="AVT3788" s="179"/>
      <c r="AVU3788" s="179"/>
      <c r="AVV3788" s="179"/>
      <c r="AVW3788" s="179"/>
      <c r="AVX3788" s="179"/>
      <c r="AVY3788" s="179"/>
      <c r="AVZ3788" s="179"/>
      <c r="AWA3788" s="179"/>
      <c r="AWB3788" s="179"/>
      <c r="AWC3788" s="179"/>
      <c r="AWD3788" s="179"/>
      <c r="AWE3788" s="179"/>
      <c r="AWF3788" s="179"/>
      <c r="AWG3788" s="179"/>
      <c r="AWH3788" s="179"/>
      <c r="AWI3788" s="179"/>
      <c r="AWJ3788" s="179"/>
      <c r="AWK3788" s="179"/>
      <c r="AWL3788" s="179"/>
      <c r="AWM3788" s="179"/>
      <c r="AWN3788" s="179"/>
      <c r="AWO3788" s="179"/>
      <c r="AWP3788" s="179"/>
      <c r="AWQ3788" s="179"/>
      <c r="AWR3788" s="179"/>
      <c r="AWS3788" s="179"/>
      <c r="AWT3788" s="179"/>
      <c r="AWU3788" s="179"/>
      <c r="AWV3788" s="179"/>
      <c r="AWW3788" s="179"/>
      <c r="AWX3788" s="179"/>
      <c r="AWY3788" s="179"/>
      <c r="AWZ3788" s="179"/>
      <c r="AXA3788" s="179"/>
      <c r="AXB3788" s="179"/>
      <c r="AXC3788" s="179"/>
      <c r="AXD3788" s="179"/>
      <c r="AXE3788" s="179"/>
      <c r="AXF3788" s="179"/>
      <c r="AXG3788" s="179"/>
      <c r="AXH3788" s="179"/>
      <c r="AXI3788" s="179"/>
      <c r="AXJ3788" s="179"/>
      <c r="AXK3788" s="179"/>
      <c r="AXL3788" s="179"/>
      <c r="AXM3788" s="179"/>
      <c r="AXN3788" s="179"/>
      <c r="AXO3788" s="179"/>
      <c r="AXP3788" s="179"/>
      <c r="AXQ3788" s="179"/>
      <c r="AXR3788" s="179"/>
      <c r="AXS3788" s="179"/>
      <c r="AXT3788" s="179"/>
      <c r="AXU3788" s="179"/>
      <c r="AXV3788" s="179"/>
      <c r="AXW3788" s="179"/>
      <c r="AXX3788" s="179"/>
      <c r="AXY3788" s="179"/>
      <c r="AXZ3788" s="179"/>
      <c r="AYA3788" s="179"/>
      <c r="AYB3788" s="179"/>
      <c r="AYC3788" s="179"/>
      <c r="AYD3788" s="179"/>
      <c r="AYE3788" s="179"/>
      <c r="AYF3788" s="179"/>
      <c r="AYG3788" s="179"/>
      <c r="AYH3788" s="179"/>
      <c r="AYI3788" s="179"/>
      <c r="AYJ3788" s="179"/>
      <c r="AYK3788" s="179"/>
      <c r="AYL3788" s="179"/>
      <c r="AYM3788" s="179"/>
      <c r="AYN3788" s="179"/>
      <c r="AYO3788" s="179"/>
      <c r="AYP3788" s="179"/>
      <c r="AYQ3788" s="179"/>
      <c r="AYR3788" s="179"/>
      <c r="AYS3788" s="179"/>
      <c r="AYT3788" s="179"/>
      <c r="AYU3788" s="179"/>
      <c r="AYV3788" s="179"/>
      <c r="AYW3788" s="179"/>
      <c r="AYX3788" s="179"/>
      <c r="AYY3788" s="179"/>
      <c r="AYZ3788" s="179"/>
      <c r="AZA3788" s="179"/>
      <c r="AZB3788" s="179"/>
      <c r="AZC3788" s="179"/>
      <c r="AZD3788" s="179"/>
      <c r="AZE3788" s="179"/>
      <c r="AZF3788" s="179"/>
      <c r="AZG3788" s="179"/>
      <c r="AZH3788" s="179"/>
      <c r="AZI3788" s="179"/>
      <c r="AZJ3788" s="179"/>
      <c r="AZK3788" s="179"/>
      <c r="AZL3788" s="179"/>
      <c r="AZM3788" s="179"/>
      <c r="AZN3788" s="179"/>
      <c r="AZO3788" s="179"/>
      <c r="AZP3788" s="179"/>
      <c r="AZQ3788" s="179"/>
      <c r="AZR3788" s="179"/>
      <c r="AZS3788" s="179"/>
      <c r="AZT3788" s="179"/>
      <c r="AZU3788" s="179"/>
      <c r="AZV3788" s="179"/>
      <c r="AZW3788" s="179"/>
      <c r="AZX3788" s="179"/>
      <c r="AZY3788" s="179"/>
      <c r="AZZ3788" s="179"/>
      <c r="BAA3788" s="179"/>
      <c r="BAB3788" s="179"/>
      <c r="BAC3788" s="179"/>
      <c r="BAD3788" s="179"/>
      <c r="BAE3788" s="179"/>
      <c r="BAF3788" s="179"/>
      <c r="BAG3788" s="179"/>
      <c r="BAH3788" s="179"/>
      <c r="BAI3788" s="179"/>
      <c r="BAJ3788" s="179"/>
      <c r="BAK3788" s="179"/>
      <c r="BAL3788" s="179"/>
      <c r="BAM3788" s="179"/>
      <c r="BAN3788" s="179"/>
      <c r="BAO3788" s="179"/>
      <c r="BAP3788" s="179"/>
      <c r="BAQ3788" s="179"/>
      <c r="BAR3788" s="179"/>
      <c r="BAS3788" s="179"/>
      <c r="BAT3788" s="179"/>
      <c r="BAU3788" s="179"/>
      <c r="BAV3788" s="179"/>
      <c r="BAW3788" s="179"/>
      <c r="BAX3788" s="179"/>
      <c r="BAY3788" s="179"/>
      <c r="BAZ3788" s="179"/>
      <c r="BBA3788" s="179"/>
      <c r="BBB3788" s="179"/>
      <c r="BBC3788" s="179"/>
      <c r="BBD3788" s="179"/>
      <c r="BBE3788" s="179"/>
      <c r="BBF3788" s="179"/>
      <c r="BBG3788" s="179"/>
      <c r="BBH3788" s="179"/>
      <c r="BBI3788" s="179"/>
      <c r="BBJ3788" s="179"/>
      <c r="BBK3788" s="179"/>
      <c r="BBL3788" s="179"/>
      <c r="BBM3788" s="179"/>
      <c r="BBN3788" s="179"/>
      <c r="BBO3788" s="179"/>
      <c r="BBP3788" s="179"/>
      <c r="BBQ3788" s="179"/>
      <c r="BBR3788" s="179"/>
      <c r="BBS3788" s="179"/>
      <c r="BBT3788" s="179"/>
      <c r="BBU3788" s="179"/>
      <c r="BBV3788" s="179"/>
      <c r="BBW3788" s="179"/>
      <c r="BBX3788" s="179"/>
      <c r="BBY3788" s="179"/>
      <c r="BBZ3788" s="179"/>
      <c r="BCA3788" s="179"/>
      <c r="BCB3788" s="179"/>
      <c r="BCC3788" s="179"/>
      <c r="BCD3788" s="179"/>
      <c r="BCE3788" s="179"/>
      <c r="BCF3788" s="179"/>
      <c r="BCG3788" s="179"/>
      <c r="BCH3788" s="179"/>
      <c r="BCI3788" s="179"/>
      <c r="BCJ3788" s="179"/>
      <c r="BCK3788" s="179"/>
      <c r="BCL3788" s="179"/>
      <c r="BCM3788" s="179"/>
      <c r="BCN3788" s="179"/>
      <c r="BCO3788" s="179"/>
      <c r="BCP3788" s="179"/>
      <c r="BCQ3788" s="179"/>
      <c r="BCR3788" s="179"/>
      <c r="BCS3788" s="179"/>
      <c r="BCT3788" s="179"/>
      <c r="BCU3788" s="179"/>
      <c r="BCV3788" s="179"/>
      <c r="BCW3788" s="179"/>
      <c r="BCX3788" s="179"/>
      <c r="BCY3788" s="179"/>
      <c r="BCZ3788" s="179"/>
      <c r="BDA3788" s="179"/>
      <c r="BDB3788" s="179"/>
      <c r="BDC3788" s="179"/>
      <c r="BDD3788" s="179"/>
      <c r="BDE3788" s="179"/>
      <c r="BDF3788" s="179"/>
      <c r="BDG3788" s="179"/>
      <c r="BDH3788" s="179"/>
      <c r="BDI3788" s="179"/>
      <c r="BDJ3788" s="179"/>
      <c r="BDK3788" s="179"/>
      <c r="BDL3788" s="179"/>
      <c r="BDM3788" s="179"/>
      <c r="BDN3788" s="179"/>
      <c r="BDO3788" s="179"/>
      <c r="BDP3788" s="179"/>
      <c r="BDQ3788" s="179"/>
      <c r="BDR3788" s="179"/>
      <c r="BDS3788" s="179"/>
      <c r="BDT3788" s="179"/>
      <c r="BDU3788" s="179"/>
      <c r="BDV3788" s="179"/>
      <c r="BDW3788" s="179"/>
      <c r="BDX3788" s="179"/>
      <c r="BDY3788" s="179"/>
      <c r="BDZ3788" s="179"/>
      <c r="BEA3788" s="179"/>
      <c r="BEB3788" s="179"/>
      <c r="BEC3788" s="179"/>
      <c r="BED3788" s="179"/>
      <c r="BEE3788" s="179"/>
      <c r="BEF3788" s="179"/>
      <c r="BEG3788" s="179"/>
      <c r="BEH3788" s="179"/>
      <c r="BEI3788" s="179"/>
      <c r="BEJ3788" s="179"/>
      <c r="BEK3788" s="179"/>
      <c r="BEL3788" s="179"/>
      <c r="BEM3788" s="179"/>
      <c r="BEN3788" s="179"/>
      <c r="BEO3788" s="179"/>
      <c r="BEP3788" s="179"/>
      <c r="BEQ3788" s="179"/>
      <c r="BER3788" s="179"/>
      <c r="BES3788" s="179"/>
      <c r="BET3788" s="179"/>
      <c r="BEU3788" s="179"/>
      <c r="BEV3788" s="179"/>
      <c r="BEW3788" s="179"/>
      <c r="BEX3788" s="179"/>
      <c r="BEY3788" s="179"/>
      <c r="BEZ3788" s="179"/>
      <c r="BFA3788" s="179"/>
      <c r="BFB3788" s="179"/>
      <c r="BFC3788" s="179"/>
      <c r="BFD3788" s="179"/>
      <c r="BFE3788" s="179"/>
      <c r="BFF3788" s="179"/>
      <c r="BFG3788" s="179"/>
      <c r="BFH3788" s="179"/>
      <c r="BFI3788" s="179"/>
      <c r="BFJ3788" s="179"/>
      <c r="BFK3788" s="179"/>
      <c r="BFL3788" s="179"/>
      <c r="BFM3788" s="179"/>
      <c r="BFN3788" s="179"/>
      <c r="BFO3788" s="179"/>
      <c r="BFP3788" s="179"/>
      <c r="BFQ3788" s="179"/>
      <c r="BFR3788" s="179"/>
      <c r="BFS3788" s="179"/>
      <c r="BFT3788" s="179"/>
      <c r="BFU3788" s="179"/>
      <c r="BFV3788" s="179"/>
      <c r="BFW3788" s="179"/>
      <c r="BFX3788" s="179"/>
      <c r="BFY3788" s="179"/>
      <c r="BFZ3788" s="179"/>
      <c r="BGA3788" s="179"/>
      <c r="BGB3788" s="179"/>
      <c r="BGC3788" s="179"/>
      <c r="BGD3788" s="179"/>
      <c r="BGE3788" s="179"/>
      <c r="BGF3788" s="179"/>
      <c r="BGG3788" s="179"/>
      <c r="BGH3788" s="179"/>
      <c r="BGI3788" s="179"/>
      <c r="BGJ3788" s="179"/>
      <c r="BGK3788" s="179"/>
      <c r="BGL3788" s="179"/>
      <c r="BGM3788" s="179"/>
      <c r="BGN3788" s="179"/>
      <c r="BGO3788" s="179"/>
      <c r="BGP3788" s="179"/>
      <c r="BGQ3788" s="179"/>
      <c r="BGR3788" s="179"/>
      <c r="BGS3788" s="179"/>
      <c r="BGT3788" s="179"/>
      <c r="BGU3788" s="179"/>
      <c r="BGV3788" s="179"/>
      <c r="BGW3788" s="179"/>
      <c r="BGX3788" s="179"/>
      <c r="BGY3788" s="179"/>
      <c r="BGZ3788" s="179"/>
      <c r="BHA3788" s="179"/>
      <c r="BHB3788" s="179"/>
      <c r="BHC3788" s="179"/>
      <c r="BHD3788" s="179"/>
      <c r="BHE3788" s="179"/>
      <c r="BHF3788" s="179"/>
      <c r="BHG3788" s="179"/>
      <c r="BHH3788" s="179"/>
      <c r="BHI3788" s="179"/>
      <c r="BHJ3788" s="179"/>
      <c r="BHK3788" s="179"/>
      <c r="BHL3788" s="179"/>
      <c r="BHM3788" s="179"/>
      <c r="BHN3788" s="179"/>
      <c r="BHO3788" s="179"/>
      <c r="BHP3788" s="179"/>
      <c r="BHQ3788" s="179"/>
      <c r="BHR3788" s="179"/>
      <c r="BHS3788" s="179"/>
      <c r="BHT3788" s="179"/>
      <c r="BHU3788" s="179"/>
      <c r="BHV3788" s="179"/>
      <c r="BHW3788" s="179"/>
      <c r="BHX3788" s="179"/>
      <c r="BHY3788" s="179"/>
      <c r="BHZ3788" s="179"/>
      <c r="BIA3788" s="179"/>
      <c r="BIB3788" s="179"/>
      <c r="BIC3788" s="179"/>
      <c r="BID3788" s="179"/>
      <c r="BIE3788" s="179"/>
      <c r="BIF3788" s="179"/>
      <c r="BIG3788" s="179"/>
      <c r="BIH3788" s="179"/>
      <c r="BII3788" s="179"/>
      <c r="BIJ3788" s="179"/>
      <c r="BIK3788" s="179"/>
      <c r="BIL3788" s="179"/>
      <c r="BIM3788" s="179"/>
      <c r="BIN3788" s="179"/>
      <c r="BIO3788" s="179"/>
      <c r="BIP3788" s="179"/>
      <c r="BIQ3788" s="179"/>
      <c r="BIR3788" s="179"/>
      <c r="BIS3788" s="179"/>
      <c r="BIT3788" s="179"/>
      <c r="BIU3788" s="179"/>
      <c r="BIV3788" s="179"/>
      <c r="BIW3788" s="179"/>
      <c r="BIX3788" s="179"/>
      <c r="BIY3788" s="179"/>
      <c r="BIZ3788" s="179"/>
      <c r="BJA3788" s="179"/>
      <c r="BJB3788" s="179"/>
      <c r="BJC3788" s="179"/>
      <c r="BJD3788" s="179"/>
      <c r="BJE3788" s="179"/>
      <c r="BJF3788" s="179"/>
      <c r="BJG3788" s="179"/>
      <c r="BJH3788" s="179"/>
      <c r="BJI3788" s="179"/>
      <c r="BJJ3788" s="179"/>
      <c r="BJK3788" s="179"/>
      <c r="BJL3788" s="179"/>
      <c r="BJM3788" s="179"/>
      <c r="BJN3788" s="179"/>
      <c r="BJO3788" s="179"/>
      <c r="BJP3788" s="179"/>
      <c r="BJQ3788" s="179"/>
      <c r="BJR3788" s="179"/>
      <c r="BJS3788" s="179"/>
      <c r="BJT3788" s="179"/>
      <c r="BJU3788" s="179"/>
      <c r="BJV3788" s="179"/>
      <c r="BJW3788" s="179"/>
      <c r="BJX3788" s="179"/>
      <c r="BJY3788" s="179"/>
      <c r="BJZ3788" s="179"/>
      <c r="BKA3788" s="179"/>
      <c r="BKB3788" s="179"/>
      <c r="BKC3788" s="179"/>
      <c r="BKD3788" s="179"/>
      <c r="BKE3788" s="179"/>
      <c r="BKF3788" s="179"/>
      <c r="BKG3788" s="179"/>
      <c r="BKH3788" s="179"/>
      <c r="BKI3788" s="179"/>
      <c r="BKJ3788" s="179"/>
      <c r="BKK3788" s="179"/>
      <c r="BKL3788" s="179"/>
      <c r="BKM3788" s="179"/>
      <c r="BKN3788" s="179"/>
      <c r="BKO3788" s="179"/>
      <c r="BKP3788" s="179"/>
      <c r="BKQ3788" s="179"/>
      <c r="BKR3788" s="179"/>
      <c r="BKS3788" s="179"/>
      <c r="BKT3788" s="179"/>
      <c r="BKU3788" s="179"/>
      <c r="BKV3788" s="179"/>
      <c r="BKW3788" s="179"/>
      <c r="BKX3788" s="179"/>
      <c r="BKY3788" s="179"/>
      <c r="BKZ3788" s="179"/>
      <c r="BLA3788" s="179"/>
      <c r="BLB3788" s="179"/>
      <c r="BLC3788" s="179"/>
      <c r="BLD3788" s="179"/>
      <c r="BLE3788" s="179"/>
      <c r="BLF3788" s="179"/>
      <c r="BLG3788" s="179"/>
      <c r="BLH3788" s="179"/>
      <c r="BLI3788" s="179"/>
      <c r="BLJ3788" s="179"/>
      <c r="BLK3788" s="179"/>
      <c r="BLL3788" s="179"/>
      <c r="BLM3788" s="179"/>
      <c r="BLN3788" s="179"/>
      <c r="BLO3788" s="179"/>
      <c r="BLP3788" s="179"/>
      <c r="BLQ3788" s="179"/>
      <c r="BLR3788" s="179"/>
      <c r="BLS3788" s="179"/>
      <c r="BLT3788" s="179"/>
      <c r="BLU3788" s="179"/>
      <c r="BLV3788" s="179"/>
      <c r="BLW3788" s="179"/>
      <c r="BLX3788" s="179"/>
      <c r="BLY3788" s="179"/>
      <c r="BLZ3788" s="179"/>
      <c r="BMA3788" s="179"/>
      <c r="BMB3788" s="179"/>
      <c r="BMC3788" s="179"/>
      <c r="BMD3788" s="179"/>
      <c r="BME3788" s="179"/>
      <c r="BMF3788" s="179"/>
      <c r="BMG3788" s="179"/>
      <c r="BMH3788" s="179"/>
      <c r="BMI3788" s="179"/>
      <c r="BMJ3788" s="179"/>
      <c r="BMK3788" s="179"/>
      <c r="BML3788" s="179"/>
      <c r="BMM3788" s="179"/>
      <c r="BMN3788" s="179"/>
      <c r="BMO3788" s="179"/>
      <c r="BMP3788" s="179"/>
      <c r="BMQ3788" s="179"/>
      <c r="BMR3788" s="179"/>
      <c r="BMS3788" s="179"/>
      <c r="BMT3788" s="179"/>
      <c r="BMU3788" s="179"/>
      <c r="BMV3788" s="179"/>
      <c r="BMW3788" s="179"/>
      <c r="BMX3788" s="179"/>
      <c r="BMY3788" s="179"/>
      <c r="BMZ3788" s="179"/>
      <c r="BNA3788" s="179"/>
      <c r="BNB3788" s="179"/>
      <c r="BNC3788" s="179"/>
      <c r="BND3788" s="179"/>
      <c r="BNE3788" s="179"/>
      <c r="BNF3788" s="179"/>
      <c r="BNG3788" s="179"/>
      <c r="BNH3788" s="179"/>
      <c r="BNI3788" s="179"/>
      <c r="BNJ3788" s="179"/>
      <c r="BNK3788" s="179"/>
      <c r="BNL3788" s="179"/>
      <c r="BNM3788" s="179"/>
      <c r="BNN3788" s="179"/>
      <c r="BNO3788" s="179"/>
      <c r="BNP3788" s="179"/>
      <c r="BNQ3788" s="179"/>
      <c r="BNR3788" s="179"/>
      <c r="BNS3788" s="179"/>
      <c r="BNT3788" s="179"/>
      <c r="BNU3788" s="179"/>
      <c r="BNV3788" s="179"/>
      <c r="BNW3788" s="179"/>
      <c r="BNX3788" s="179"/>
      <c r="BNY3788" s="179"/>
      <c r="BNZ3788" s="179"/>
      <c r="BOA3788" s="179"/>
      <c r="BOB3788" s="179"/>
      <c r="BOC3788" s="179"/>
      <c r="BOD3788" s="179"/>
      <c r="BOE3788" s="179"/>
      <c r="BOF3788" s="179"/>
      <c r="BOG3788" s="179"/>
      <c r="BOH3788" s="179"/>
      <c r="BOI3788" s="179"/>
      <c r="BOJ3788" s="179"/>
      <c r="BOK3788" s="179"/>
      <c r="BOL3788" s="179"/>
      <c r="BOM3788" s="179"/>
      <c r="BON3788" s="179"/>
      <c r="BOO3788" s="179"/>
      <c r="BOP3788" s="179"/>
      <c r="BOQ3788" s="179"/>
      <c r="BOR3788" s="179"/>
      <c r="BOS3788" s="179"/>
      <c r="BOT3788" s="179"/>
      <c r="BOU3788" s="179"/>
      <c r="BOV3788" s="179"/>
      <c r="BOW3788" s="179"/>
      <c r="BOX3788" s="179"/>
      <c r="BOY3788" s="179"/>
      <c r="BOZ3788" s="179"/>
      <c r="BPA3788" s="179"/>
      <c r="BPB3788" s="179"/>
      <c r="BPC3788" s="179"/>
      <c r="BPD3788" s="179"/>
      <c r="BPE3788" s="179"/>
      <c r="BPF3788" s="179"/>
      <c r="BPG3788" s="179"/>
      <c r="BPH3788" s="179"/>
      <c r="BPI3788" s="179"/>
      <c r="BPJ3788" s="179"/>
      <c r="BPK3788" s="179"/>
      <c r="BPL3788" s="179"/>
      <c r="BPM3788" s="179"/>
      <c r="BPN3788" s="179"/>
      <c r="BPO3788" s="179"/>
      <c r="BPP3788" s="179"/>
      <c r="BPQ3788" s="179"/>
      <c r="BPR3788" s="179"/>
      <c r="BPS3788" s="179"/>
      <c r="BPT3788" s="179"/>
      <c r="BPU3788" s="179"/>
      <c r="BPV3788" s="179"/>
      <c r="BPW3788" s="179"/>
      <c r="BPX3788" s="179"/>
      <c r="BPY3788" s="179"/>
      <c r="BPZ3788" s="179"/>
      <c r="BQA3788" s="179"/>
      <c r="BQB3788" s="179"/>
      <c r="BQC3788" s="179"/>
      <c r="BQD3788" s="179"/>
      <c r="BQE3788" s="179"/>
      <c r="BQF3788" s="179"/>
      <c r="BQG3788" s="179"/>
      <c r="BQH3788" s="179"/>
      <c r="BQI3788" s="179"/>
      <c r="BQJ3788" s="179"/>
      <c r="BQK3788" s="179"/>
      <c r="BQL3788" s="179"/>
      <c r="BQM3788" s="179"/>
      <c r="BQN3788" s="179"/>
      <c r="BQO3788" s="179"/>
      <c r="BQP3788" s="179"/>
      <c r="BQQ3788" s="179"/>
      <c r="BQR3788" s="179"/>
      <c r="BQS3788" s="179"/>
      <c r="BQT3788" s="179"/>
      <c r="BQU3788" s="179"/>
      <c r="BQV3788" s="179"/>
      <c r="BQW3788" s="179"/>
      <c r="BQX3788" s="179"/>
      <c r="BQY3788" s="179"/>
      <c r="BQZ3788" s="179"/>
      <c r="BRA3788" s="179"/>
      <c r="BRB3788" s="179"/>
      <c r="BRC3788" s="179"/>
      <c r="BRD3788" s="179"/>
      <c r="BRE3788" s="179"/>
      <c r="BRF3788" s="179"/>
      <c r="BRG3788" s="179"/>
      <c r="BRH3788" s="179"/>
      <c r="BRI3788" s="179"/>
      <c r="BRJ3788" s="179"/>
      <c r="BRK3788" s="179"/>
      <c r="BRL3788" s="179"/>
      <c r="BRM3788" s="179"/>
      <c r="BRN3788" s="179"/>
      <c r="BRO3788" s="179"/>
      <c r="BRP3788" s="179"/>
      <c r="BRQ3788" s="179"/>
      <c r="BRR3788" s="179"/>
      <c r="BRS3788" s="179"/>
      <c r="BRT3788" s="179"/>
      <c r="BRU3788" s="179"/>
      <c r="BRV3788" s="179"/>
      <c r="BRW3788" s="179"/>
      <c r="BRX3788" s="179"/>
      <c r="BRY3788" s="179"/>
      <c r="BRZ3788" s="179"/>
      <c r="BSA3788" s="179"/>
      <c r="BSB3788" s="179"/>
      <c r="BSC3788" s="179"/>
      <c r="BSD3788" s="179"/>
      <c r="BSE3788" s="179"/>
      <c r="BSF3788" s="179"/>
      <c r="BSG3788" s="179"/>
      <c r="BSH3788" s="179"/>
      <c r="BSI3788" s="179"/>
      <c r="BSJ3788" s="179"/>
      <c r="BSK3788" s="179"/>
      <c r="BSL3788" s="179"/>
      <c r="BSM3788" s="179"/>
      <c r="BSN3788" s="179"/>
      <c r="BSO3788" s="179"/>
      <c r="BSP3788" s="179"/>
      <c r="BSQ3788" s="179"/>
      <c r="BSR3788" s="179"/>
      <c r="BSS3788" s="179"/>
      <c r="BST3788" s="179"/>
      <c r="BSU3788" s="179"/>
      <c r="BSV3788" s="179"/>
      <c r="BSW3788" s="179"/>
      <c r="BSX3788" s="179"/>
      <c r="BSY3788" s="179"/>
      <c r="BSZ3788" s="179"/>
      <c r="BTA3788" s="179"/>
      <c r="BTB3788" s="179"/>
      <c r="BTC3788" s="179"/>
      <c r="BTD3788" s="179"/>
      <c r="BTE3788" s="179"/>
      <c r="BTF3788" s="179"/>
      <c r="BTG3788" s="179"/>
      <c r="BTH3788" s="179"/>
      <c r="BTI3788" s="179"/>
      <c r="BTJ3788" s="179"/>
      <c r="BTK3788" s="179"/>
      <c r="BTL3788" s="179"/>
      <c r="BTM3788" s="179"/>
      <c r="BTN3788" s="179"/>
      <c r="BTO3788" s="179"/>
      <c r="BTP3788" s="179"/>
      <c r="BTQ3788" s="179"/>
      <c r="BTR3788" s="179"/>
      <c r="BTS3788" s="179"/>
      <c r="BTT3788" s="179"/>
      <c r="BTU3788" s="179"/>
      <c r="BTV3788" s="179"/>
      <c r="BTW3788" s="179"/>
      <c r="BTX3788" s="179"/>
      <c r="BTY3788" s="179"/>
      <c r="BTZ3788" s="179"/>
      <c r="BUA3788" s="179"/>
      <c r="BUB3788" s="179"/>
      <c r="BUC3788" s="179"/>
      <c r="BUD3788" s="179"/>
      <c r="BUE3788" s="179"/>
      <c r="BUF3788" s="179"/>
      <c r="BUG3788" s="179"/>
      <c r="BUH3788" s="179"/>
      <c r="BUI3788" s="179"/>
      <c r="BUJ3788" s="179"/>
      <c r="BUK3788" s="179"/>
      <c r="BUL3788" s="179"/>
      <c r="BUM3788" s="179"/>
      <c r="BUN3788" s="179"/>
      <c r="BUO3788" s="179"/>
      <c r="BUP3788" s="179"/>
      <c r="BUQ3788" s="179"/>
      <c r="BUR3788" s="179"/>
      <c r="BUS3788" s="179"/>
      <c r="BUT3788" s="179"/>
      <c r="BUU3788" s="179"/>
      <c r="BUV3788" s="179"/>
      <c r="BUW3788" s="179"/>
      <c r="BUX3788" s="179"/>
      <c r="BUY3788" s="179"/>
      <c r="BUZ3788" s="179"/>
      <c r="BVA3788" s="179"/>
      <c r="BVB3788" s="179"/>
      <c r="BVC3788" s="179"/>
      <c r="BVD3788" s="179"/>
      <c r="BVE3788" s="179"/>
      <c r="BVF3788" s="179"/>
      <c r="BVG3788" s="179"/>
      <c r="BVH3788" s="179"/>
      <c r="BVI3788" s="179"/>
      <c r="BVJ3788" s="179"/>
      <c r="BVK3788" s="179"/>
      <c r="BVL3788" s="179"/>
      <c r="BVM3788" s="179"/>
      <c r="BVN3788" s="179"/>
      <c r="BVO3788" s="179"/>
      <c r="BVP3788" s="179"/>
      <c r="BVQ3788" s="179"/>
      <c r="BVR3788" s="179"/>
      <c r="BVS3788" s="179"/>
      <c r="BVT3788" s="179"/>
      <c r="BVU3788" s="179"/>
      <c r="BVV3788" s="179"/>
      <c r="BVW3788" s="179"/>
      <c r="BVX3788" s="179"/>
      <c r="BVY3788" s="179"/>
      <c r="BVZ3788" s="179"/>
      <c r="BWA3788" s="179"/>
      <c r="BWB3788" s="179"/>
      <c r="BWC3788" s="179"/>
      <c r="BWD3788" s="179"/>
      <c r="BWE3788" s="179"/>
      <c r="BWF3788" s="179"/>
      <c r="BWG3788" s="179"/>
      <c r="BWH3788" s="179"/>
      <c r="BWI3788" s="179"/>
      <c r="BWJ3788" s="179"/>
      <c r="BWK3788" s="179"/>
      <c r="BWL3788" s="179"/>
      <c r="BWM3788" s="179"/>
      <c r="BWN3788" s="179"/>
      <c r="BWO3788" s="179"/>
      <c r="BWP3788" s="179"/>
      <c r="BWQ3788" s="179"/>
      <c r="BWR3788" s="179"/>
      <c r="BWS3788" s="179"/>
      <c r="BWT3788" s="179"/>
      <c r="BWU3788" s="179"/>
      <c r="BWV3788" s="179"/>
      <c r="BWW3788" s="179"/>
      <c r="BWX3788" s="179"/>
      <c r="BWY3788" s="179"/>
      <c r="BWZ3788" s="179"/>
      <c r="BXA3788" s="179"/>
      <c r="BXB3788" s="179"/>
      <c r="BXC3788" s="179"/>
      <c r="BXD3788" s="179"/>
      <c r="BXE3788" s="179"/>
      <c r="BXF3788" s="179"/>
      <c r="BXG3788" s="179"/>
      <c r="BXH3788" s="179"/>
      <c r="BXI3788" s="179"/>
      <c r="BXJ3788" s="179"/>
      <c r="BXK3788" s="179"/>
      <c r="BXL3788" s="179"/>
      <c r="BXM3788" s="179"/>
      <c r="BXN3788" s="179"/>
      <c r="BXO3788" s="179"/>
      <c r="BXP3788" s="179"/>
      <c r="BXQ3788" s="179"/>
      <c r="BXR3788" s="179"/>
      <c r="BXS3788" s="179"/>
      <c r="BXT3788" s="179"/>
      <c r="BXU3788" s="179"/>
      <c r="BXV3788" s="179"/>
      <c r="BXW3788" s="179"/>
      <c r="BXX3788" s="179"/>
      <c r="BXY3788" s="179"/>
      <c r="BXZ3788" s="179"/>
      <c r="BYA3788" s="179"/>
      <c r="BYB3788" s="179"/>
      <c r="BYC3788" s="179"/>
      <c r="BYD3788" s="179"/>
      <c r="BYE3788" s="179"/>
      <c r="BYF3788" s="179"/>
      <c r="BYG3788" s="179"/>
      <c r="BYH3788" s="179"/>
      <c r="BYI3788" s="179"/>
      <c r="BYJ3788" s="179"/>
      <c r="BYK3788" s="179"/>
      <c r="BYL3788" s="179"/>
      <c r="BYM3788" s="179"/>
      <c r="BYN3788" s="179"/>
      <c r="BYO3788" s="179"/>
      <c r="BYP3788" s="179"/>
      <c r="BYQ3788" s="179"/>
      <c r="BYR3788" s="179"/>
      <c r="BYS3788" s="179"/>
      <c r="BYT3788" s="179"/>
      <c r="BYU3788" s="179"/>
      <c r="BYV3788" s="179"/>
      <c r="BYW3788" s="179"/>
      <c r="BYX3788" s="179"/>
      <c r="BYY3788" s="179"/>
      <c r="BYZ3788" s="179"/>
      <c r="BZA3788" s="179"/>
      <c r="BZB3788" s="179"/>
      <c r="BZC3788" s="179"/>
      <c r="BZD3788" s="179"/>
      <c r="BZE3788" s="179"/>
      <c r="BZF3788" s="179"/>
      <c r="BZG3788" s="179"/>
      <c r="BZH3788" s="179"/>
      <c r="BZI3788" s="179"/>
      <c r="BZJ3788" s="179"/>
      <c r="BZK3788" s="179"/>
      <c r="BZL3788" s="179"/>
      <c r="BZM3788" s="179"/>
      <c r="BZN3788" s="179"/>
      <c r="BZO3788" s="179"/>
      <c r="BZP3788" s="179"/>
      <c r="BZQ3788" s="179"/>
      <c r="BZR3788" s="179"/>
      <c r="BZS3788" s="179"/>
      <c r="BZT3788" s="179"/>
      <c r="BZU3788" s="179"/>
      <c r="BZV3788" s="179"/>
      <c r="BZW3788" s="179"/>
      <c r="BZX3788" s="179"/>
      <c r="BZY3788" s="179"/>
      <c r="BZZ3788" s="179"/>
      <c r="CAA3788" s="179"/>
      <c r="CAB3788" s="179"/>
      <c r="CAC3788" s="179"/>
      <c r="CAD3788" s="179"/>
      <c r="CAE3788" s="179"/>
      <c r="CAF3788" s="179"/>
      <c r="CAG3788" s="179"/>
      <c r="CAH3788" s="179"/>
      <c r="CAI3788" s="179"/>
      <c r="CAJ3788" s="179"/>
      <c r="CAK3788" s="179"/>
      <c r="CAL3788" s="179"/>
      <c r="CAM3788" s="179"/>
      <c r="CAN3788" s="179"/>
      <c r="CAO3788" s="179"/>
      <c r="CAP3788" s="179"/>
      <c r="CAQ3788" s="179"/>
      <c r="CAR3788" s="179"/>
      <c r="CAS3788" s="179"/>
      <c r="CAT3788" s="179"/>
      <c r="CAU3788" s="179"/>
      <c r="CAV3788" s="179"/>
      <c r="CAW3788" s="179"/>
      <c r="CAX3788" s="179"/>
      <c r="CAY3788" s="179"/>
      <c r="CAZ3788" s="179"/>
      <c r="CBA3788" s="179"/>
      <c r="CBB3788" s="179"/>
      <c r="CBC3788" s="179"/>
      <c r="CBD3788" s="179"/>
      <c r="CBE3788" s="179"/>
      <c r="CBF3788" s="179"/>
      <c r="CBG3788" s="179"/>
      <c r="CBH3788" s="179"/>
      <c r="CBI3788" s="179"/>
      <c r="CBJ3788" s="179"/>
      <c r="CBK3788" s="179"/>
      <c r="CBL3788" s="179"/>
      <c r="CBM3788" s="179"/>
      <c r="CBN3788" s="179"/>
      <c r="CBO3788" s="179"/>
      <c r="CBP3788" s="179"/>
      <c r="CBQ3788" s="179"/>
      <c r="CBR3788" s="179"/>
      <c r="CBS3788" s="179"/>
      <c r="CBT3788" s="179"/>
      <c r="CBU3788" s="179"/>
      <c r="CBV3788" s="179"/>
      <c r="CBW3788" s="179"/>
      <c r="CBX3788" s="179"/>
      <c r="CBY3788" s="179"/>
      <c r="CBZ3788" s="179"/>
      <c r="CCA3788" s="179"/>
      <c r="CCB3788" s="179"/>
      <c r="CCC3788" s="179"/>
      <c r="CCD3788" s="179"/>
      <c r="CCE3788" s="179"/>
      <c r="CCF3788" s="179"/>
      <c r="CCG3788" s="179"/>
      <c r="CCH3788" s="179"/>
      <c r="CCI3788" s="179"/>
      <c r="CCJ3788" s="179"/>
      <c r="CCK3788" s="179"/>
      <c r="CCL3788" s="179"/>
      <c r="CCM3788" s="179"/>
      <c r="CCN3788" s="179"/>
      <c r="CCO3788" s="179"/>
      <c r="CCP3788" s="179"/>
      <c r="CCQ3788" s="179"/>
      <c r="CCR3788" s="179"/>
      <c r="CCS3788" s="179"/>
      <c r="CCT3788" s="179"/>
      <c r="CCU3788" s="179"/>
      <c r="CCV3788" s="179"/>
      <c r="CCW3788" s="179"/>
      <c r="CCX3788" s="179"/>
      <c r="CCY3788" s="179"/>
      <c r="CCZ3788" s="179"/>
      <c r="CDA3788" s="179"/>
      <c r="CDB3788" s="179"/>
      <c r="CDC3788" s="179"/>
      <c r="CDD3788" s="179"/>
      <c r="CDE3788" s="179"/>
      <c r="CDF3788" s="179"/>
      <c r="CDG3788" s="179"/>
      <c r="CDH3788" s="179"/>
      <c r="CDI3788" s="179"/>
      <c r="CDJ3788" s="179"/>
      <c r="CDK3788" s="179"/>
      <c r="CDL3788" s="179"/>
      <c r="CDM3788" s="179"/>
      <c r="CDN3788" s="179"/>
      <c r="CDO3788" s="179"/>
      <c r="CDP3788" s="179"/>
      <c r="CDQ3788" s="179"/>
      <c r="CDR3788" s="179"/>
      <c r="CDS3788" s="179"/>
      <c r="CDT3788" s="179"/>
      <c r="CDU3788" s="179"/>
      <c r="CDV3788" s="179"/>
      <c r="CDW3788" s="179"/>
      <c r="CDX3788" s="179"/>
      <c r="CDY3788" s="179"/>
      <c r="CDZ3788" s="179"/>
      <c r="CEA3788" s="179"/>
      <c r="CEB3788" s="179"/>
      <c r="CEC3788" s="179"/>
      <c r="CED3788" s="179"/>
      <c r="CEE3788" s="179"/>
      <c r="CEF3788" s="179"/>
      <c r="CEG3788" s="179"/>
      <c r="CEH3788" s="179"/>
      <c r="CEI3788" s="179"/>
      <c r="CEJ3788" s="179"/>
      <c r="CEK3788" s="179"/>
      <c r="CEL3788" s="179"/>
      <c r="CEM3788" s="179"/>
      <c r="CEN3788" s="179"/>
      <c r="CEO3788" s="179"/>
      <c r="CEP3788" s="179"/>
      <c r="CEQ3788" s="179"/>
      <c r="CER3788" s="179"/>
      <c r="CES3788" s="179"/>
      <c r="CET3788" s="179"/>
      <c r="CEU3788" s="179"/>
      <c r="CEV3788" s="179"/>
      <c r="CEW3788" s="179"/>
      <c r="CEX3788" s="179"/>
      <c r="CEY3788" s="179"/>
      <c r="CEZ3788" s="179"/>
      <c r="CFA3788" s="179"/>
      <c r="CFB3788" s="179"/>
      <c r="CFC3788" s="179"/>
      <c r="CFD3788" s="179"/>
      <c r="CFE3788" s="179"/>
      <c r="CFF3788" s="179"/>
      <c r="CFG3788" s="179"/>
      <c r="CFH3788" s="179"/>
      <c r="CFI3788" s="179"/>
      <c r="CFJ3788" s="179"/>
      <c r="CFK3788" s="179"/>
      <c r="CFL3788" s="179"/>
      <c r="CFM3788" s="179"/>
      <c r="CFN3788" s="179"/>
      <c r="CFO3788" s="179"/>
      <c r="CFP3788" s="179"/>
      <c r="CFQ3788" s="179"/>
      <c r="CFR3788" s="179"/>
      <c r="CFS3788" s="179"/>
      <c r="CFT3788" s="179"/>
      <c r="CFU3788" s="179"/>
      <c r="CFV3788" s="179"/>
      <c r="CFW3788" s="179"/>
      <c r="CFX3788" s="179"/>
      <c r="CFY3788" s="179"/>
      <c r="CFZ3788" s="179"/>
      <c r="CGA3788" s="179"/>
      <c r="CGB3788" s="179"/>
      <c r="CGC3788" s="179"/>
      <c r="CGD3788" s="179"/>
      <c r="CGE3788" s="179"/>
      <c r="CGF3788" s="179"/>
      <c r="CGG3788" s="179"/>
      <c r="CGH3788" s="179"/>
      <c r="CGI3788" s="179"/>
      <c r="CGJ3788" s="179"/>
      <c r="CGK3788" s="179"/>
      <c r="CGL3788" s="179"/>
      <c r="CGM3788" s="179"/>
      <c r="CGN3788" s="179"/>
      <c r="CGO3788" s="179"/>
      <c r="CGP3788" s="179"/>
      <c r="CGQ3788" s="179"/>
      <c r="CGR3788" s="179"/>
      <c r="CGS3788" s="179"/>
      <c r="CGT3788" s="179"/>
      <c r="CGU3788" s="179"/>
      <c r="CGV3788" s="179"/>
      <c r="CGW3788" s="179"/>
      <c r="CGX3788" s="179"/>
      <c r="CGY3788" s="179"/>
      <c r="CGZ3788" s="179"/>
      <c r="CHA3788" s="179"/>
      <c r="CHB3788" s="179"/>
      <c r="CHC3788" s="179"/>
      <c r="CHD3788" s="179"/>
      <c r="CHE3788" s="179"/>
      <c r="CHF3788" s="179"/>
      <c r="CHG3788" s="179"/>
      <c r="CHH3788" s="179"/>
      <c r="CHI3788" s="179"/>
      <c r="CHJ3788" s="179"/>
      <c r="CHK3788" s="179"/>
      <c r="CHL3788" s="179"/>
      <c r="CHM3788" s="179"/>
      <c r="CHN3788" s="179"/>
      <c r="CHO3788" s="179"/>
      <c r="CHP3788" s="179"/>
      <c r="CHQ3788" s="179"/>
      <c r="CHR3788" s="179"/>
      <c r="CHS3788" s="179"/>
      <c r="CHT3788" s="179"/>
      <c r="CHU3788" s="179"/>
      <c r="CHV3788" s="179"/>
      <c r="CHW3788" s="179"/>
      <c r="CHX3788" s="179"/>
      <c r="CHY3788" s="179"/>
      <c r="CHZ3788" s="179"/>
      <c r="CIA3788" s="179"/>
      <c r="CIB3788" s="179"/>
      <c r="CIC3788" s="179"/>
      <c r="CID3788" s="179"/>
      <c r="CIE3788" s="179"/>
      <c r="CIF3788" s="179"/>
      <c r="CIG3788" s="179"/>
      <c r="CIH3788" s="179"/>
      <c r="CII3788" s="179"/>
      <c r="CIJ3788" s="179"/>
      <c r="CIK3788" s="179"/>
      <c r="CIL3788" s="179"/>
      <c r="CIM3788" s="179"/>
      <c r="CIN3788" s="179"/>
      <c r="CIO3788" s="179"/>
      <c r="CIP3788" s="179"/>
      <c r="CIQ3788" s="179"/>
      <c r="CIR3788" s="179"/>
      <c r="CIS3788" s="179"/>
      <c r="CIT3788" s="179"/>
      <c r="CIU3788" s="179"/>
      <c r="CIV3788" s="179"/>
      <c r="CIW3788" s="179"/>
      <c r="CIX3788" s="179"/>
      <c r="CIY3788" s="179"/>
      <c r="CIZ3788" s="179"/>
      <c r="CJA3788" s="179"/>
      <c r="CJB3788" s="179"/>
      <c r="CJC3788" s="179"/>
      <c r="CJD3788" s="179"/>
      <c r="CJE3788" s="179"/>
      <c r="CJF3788" s="179"/>
      <c r="CJG3788" s="179"/>
      <c r="CJH3788" s="179"/>
      <c r="CJI3788" s="179"/>
      <c r="CJJ3788" s="179"/>
      <c r="CJK3788" s="179"/>
      <c r="CJL3788" s="179"/>
      <c r="CJM3788" s="179"/>
      <c r="CJN3788" s="179"/>
      <c r="CJO3788" s="179"/>
      <c r="CJP3788" s="179"/>
      <c r="CJQ3788" s="179"/>
      <c r="CJR3788" s="179"/>
      <c r="CJS3788" s="179"/>
      <c r="CJT3788" s="179"/>
      <c r="CJU3788" s="179"/>
      <c r="CJV3788" s="179"/>
      <c r="CJW3788" s="179"/>
      <c r="CJX3788" s="179"/>
      <c r="CJY3788" s="179"/>
      <c r="CJZ3788" s="179"/>
      <c r="CKA3788" s="179"/>
      <c r="CKB3788" s="179"/>
      <c r="CKC3788" s="179"/>
      <c r="CKD3788" s="179"/>
      <c r="CKE3788" s="179"/>
      <c r="CKF3788" s="179"/>
      <c r="CKG3788" s="179"/>
      <c r="CKH3788" s="179"/>
      <c r="CKI3788" s="179"/>
      <c r="CKJ3788" s="179"/>
      <c r="CKK3788" s="179"/>
      <c r="CKL3788" s="179"/>
      <c r="CKM3788" s="179"/>
      <c r="CKN3788" s="179"/>
      <c r="CKO3788" s="179"/>
      <c r="CKP3788" s="179"/>
      <c r="CKQ3788" s="179"/>
      <c r="CKR3788" s="179"/>
      <c r="CKS3788" s="179"/>
      <c r="CKT3788" s="179"/>
      <c r="CKU3788" s="179"/>
      <c r="CKV3788" s="179"/>
      <c r="CKW3788" s="179"/>
      <c r="CKX3788" s="179"/>
      <c r="CKY3788" s="179"/>
      <c r="CKZ3788" s="179"/>
      <c r="CLA3788" s="179"/>
      <c r="CLB3788" s="179"/>
      <c r="CLC3788" s="179"/>
      <c r="CLD3788" s="179"/>
      <c r="CLE3788" s="179"/>
      <c r="CLF3788" s="179"/>
      <c r="CLG3788" s="179"/>
      <c r="CLH3788" s="179"/>
      <c r="CLI3788" s="179"/>
      <c r="CLJ3788" s="179"/>
      <c r="CLK3788" s="179"/>
      <c r="CLL3788" s="179"/>
      <c r="CLM3788" s="179"/>
      <c r="CLN3788" s="179"/>
      <c r="CLO3788" s="179"/>
      <c r="CLP3788" s="179"/>
      <c r="CLQ3788" s="179"/>
      <c r="CLR3788" s="179"/>
      <c r="CLS3788" s="179"/>
      <c r="CLT3788" s="179"/>
      <c r="CLU3788" s="179"/>
      <c r="CLV3788" s="179"/>
      <c r="CLW3788" s="179"/>
      <c r="CLX3788" s="179"/>
      <c r="CLY3788" s="179"/>
      <c r="CLZ3788" s="179"/>
      <c r="CMA3788" s="179"/>
      <c r="CMB3788" s="179"/>
      <c r="CMC3788" s="179"/>
      <c r="CMD3788" s="179"/>
      <c r="CME3788" s="179"/>
      <c r="CMF3788" s="179"/>
      <c r="CMG3788" s="179"/>
      <c r="CMH3788" s="179"/>
      <c r="CMI3788" s="179"/>
      <c r="CMJ3788" s="179"/>
      <c r="CMK3788" s="179"/>
      <c r="CML3788" s="179"/>
      <c r="CMM3788" s="179"/>
      <c r="CMN3788" s="179"/>
      <c r="CMO3788" s="179"/>
      <c r="CMP3788" s="179"/>
      <c r="CMQ3788" s="179"/>
      <c r="CMR3788" s="179"/>
      <c r="CMS3788" s="179"/>
      <c r="CMT3788" s="179"/>
      <c r="CMU3788" s="179"/>
      <c r="CMV3788" s="179"/>
      <c r="CMW3788" s="179"/>
      <c r="CMX3788" s="179"/>
      <c r="CMY3788" s="179"/>
      <c r="CMZ3788" s="179"/>
      <c r="CNA3788" s="179"/>
      <c r="CNB3788" s="179"/>
      <c r="CNC3788" s="179"/>
      <c r="CND3788" s="179"/>
      <c r="CNE3788" s="179"/>
      <c r="CNF3788" s="179"/>
      <c r="CNG3788" s="179"/>
      <c r="CNH3788" s="179"/>
      <c r="CNI3788" s="179"/>
      <c r="CNJ3788" s="179"/>
      <c r="CNK3788" s="179"/>
      <c r="CNL3788" s="179"/>
      <c r="CNM3788" s="179"/>
      <c r="CNN3788" s="179"/>
      <c r="CNO3788" s="179"/>
      <c r="CNP3788" s="179"/>
      <c r="CNQ3788" s="179"/>
      <c r="CNR3788" s="179"/>
      <c r="CNS3788" s="179"/>
      <c r="CNT3788" s="179"/>
      <c r="CNU3788" s="179"/>
      <c r="CNV3788" s="179"/>
      <c r="CNW3788" s="179"/>
      <c r="CNX3788" s="179"/>
      <c r="CNY3788" s="179"/>
      <c r="CNZ3788" s="179"/>
      <c r="COA3788" s="179"/>
      <c r="COB3788" s="179"/>
      <c r="COC3788" s="179"/>
      <c r="COD3788" s="179"/>
      <c r="COE3788" s="179"/>
      <c r="COF3788" s="179"/>
      <c r="COG3788" s="179"/>
      <c r="COH3788" s="179"/>
      <c r="COI3788" s="179"/>
      <c r="COJ3788" s="179"/>
      <c r="COK3788" s="179"/>
      <c r="COL3788" s="179"/>
      <c r="COM3788" s="179"/>
      <c r="CON3788" s="179"/>
      <c r="COO3788" s="179"/>
      <c r="COP3788" s="179"/>
      <c r="COQ3788" s="179"/>
      <c r="COR3788" s="179"/>
      <c r="COS3788" s="179"/>
      <c r="COT3788" s="179"/>
      <c r="COU3788" s="179"/>
      <c r="COV3788" s="179"/>
      <c r="COW3788" s="179"/>
      <c r="COX3788" s="179"/>
      <c r="COY3788" s="179"/>
      <c r="COZ3788" s="179"/>
      <c r="CPA3788" s="179"/>
      <c r="CPB3788" s="179"/>
      <c r="CPC3788" s="179"/>
      <c r="CPD3788" s="179"/>
      <c r="CPE3788" s="179"/>
      <c r="CPF3788" s="179"/>
      <c r="CPG3788" s="179"/>
      <c r="CPH3788" s="179"/>
      <c r="CPI3788" s="179"/>
      <c r="CPJ3788" s="179"/>
      <c r="CPK3788" s="179"/>
      <c r="CPL3788" s="179"/>
      <c r="CPM3788" s="179"/>
      <c r="CPN3788" s="179"/>
      <c r="CPO3788" s="179"/>
      <c r="CPP3788" s="179"/>
      <c r="CPQ3788" s="179"/>
      <c r="CPR3788" s="179"/>
      <c r="CPS3788" s="179"/>
      <c r="CPT3788" s="179"/>
      <c r="CPU3788" s="179"/>
      <c r="CPV3788" s="179"/>
      <c r="CPW3788" s="179"/>
      <c r="CPX3788" s="179"/>
      <c r="CPY3788" s="179"/>
      <c r="CPZ3788" s="179"/>
      <c r="CQA3788" s="179"/>
      <c r="CQB3788" s="179"/>
      <c r="CQC3788" s="179"/>
      <c r="CQD3788" s="179"/>
      <c r="CQE3788" s="179"/>
      <c r="CQF3788" s="179"/>
      <c r="CQG3788" s="179"/>
      <c r="CQH3788" s="179"/>
      <c r="CQI3788" s="179"/>
      <c r="CQJ3788" s="179"/>
      <c r="CQK3788" s="179"/>
      <c r="CQL3788" s="179"/>
      <c r="CQM3788" s="179"/>
      <c r="CQN3788" s="179"/>
      <c r="CQO3788" s="179"/>
      <c r="CQP3788" s="179"/>
      <c r="CQQ3788" s="179"/>
      <c r="CQR3788" s="179"/>
      <c r="CQS3788" s="179"/>
      <c r="CQT3788" s="179"/>
      <c r="CQU3788" s="179"/>
      <c r="CQV3788" s="179"/>
      <c r="CQW3788" s="179"/>
      <c r="CQX3788" s="179"/>
      <c r="CQY3788" s="179"/>
      <c r="CQZ3788" s="179"/>
      <c r="CRA3788" s="179"/>
      <c r="CRB3788" s="179"/>
      <c r="CRC3788" s="179"/>
      <c r="CRD3788" s="179"/>
      <c r="CRE3788" s="179"/>
      <c r="CRF3788" s="179"/>
      <c r="CRG3788" s="179"/>
      <c r="CRH3788" s="179"/>
      <c r="CRI3788" s="179"/>
      <c r="CRJ3788" s="179"/>
      <c r="CRK3788" s="179"/>
      <c r="CRL3788" s="179"/>
      <c r="CRM3788" s="179"/>
      <c r="CRN3788" s="179"/>
      <c r="CRO3788" s="179"/>
      <c r="CRP3788" s="179"/>
      <c r="CRQ3788" s="179"/>
      <c r="CRR3788" s="179"/>
      <c r="CRS3788" s="179"/>
      <c r="CRT3788" s="179"/>
      <c r="CRU3788" s="179"/>
      <c r="CRV3788" s="179"/>
      <c r="CRW3788" s="179"/>
      <c r="CRX3788" s="179"/>
      <c r="CRY3788" s="179"/>
      <c r="CRZ3788" s="179"/>
      <c r="CSA3788" s="179"/>
      <c r="CSB3788" s="179"/>
      <c r="CSC3788" s="179"/>
      <c r="CSD3788" s="179"/>
      <c r="CSE3788" s="179"/>
      <c r="CSF3788" s="179"/>
      <c r="CSG3788" s="179"/>
      <c r="CSH3788" s="179"/>
      <c r="CSI3788" s="179"/>
      <c r="CSJ3788" s="179"/>
      <c r="CSK3788" s="179"/>
      <c r="CSL3788" s="179"/>
      <c r="CSM3788" s="179"/>
      <c r="CSN3788" s="179"/>
      <c r="CSO3788" s="179"/>
      <c r="CSP3788" s="179"/>
      <c r="CSQ3788" s="179"/>
      <c r="CSR3788" s="179"/>
      <c r="CSS3788" s="179"/>
      <c r="CST3788" s="179"/>
      <c r="CSU3788" s="179"/>
      <c r="CSV3788" s="179"/>
      <c r="CSW3788" s="179"/>
      <c r="CSX3788" s="179"/>
      <c r="CSY3788" s="179"/>
      <c r="CSZ3788" s="179"/>
      <c r="CTA3788" s="179"/>
      <c r="CTB3788" s="179"/>
      <c r="CTC3788" s="179"/>
      <c r="CTD3788" s="179"/>
      <c r="CTE3788" s="179"/>
      <c r="CTF3788" s="179"/>
      <c r="CTG3788" s="179"/>
      <c r="CTH3788" s="179"/>
      <c r="CTI3788" s="179"/>
      <c r="CTJ3788" s="179"/>
      <c r="CTK3788" s="179"/>
      <c r="CTL3788" s="179"/>
      <c r="CTM3788" s="179"/>
      <c r="CTN3788" s="179"/>
      <c r="CTO3788" s="179"/>
      <c r="CTP3788" s="179"/>
      <c r="CTQ3788" s="179"/>
      <c r="CTR3788" s="179"/>
      <c r="CTS3788" s="179"/>
      <c r="CTT3788" s="179"/>
      <c r="CTU3788" s="179"/>
      <c r="CTV3788" s="179"/>
      <c r="CTW3788" s="179"/>
      <c r="CTX3788" s="179"/>
      <c r="CTY3788" s="179"/>
      <c r="CTZ3788" s="179"/>
      <c r="CUA3788" s="179"/>
      <c r="CUB3788" s="179"/>
      <c r="CUC3788" s="179"/>
      <c r="CUD3788" s="179"/>
      <c r="CUE3788" s="179"/>
      <c r="CUF3788" s="179"/>
      <c r="CUG3788" s="179"/>
      <c r="CUH3788" s="179"/>
      <c r="CUI3788" s="179"/>
      <c r="CUJ3788" s="179"/>
      <c r="CUK3788" s="179"/>
      <c r="CUL3788" s="179"/>
      <c r="CUM3788" s="179"/>
      <c r="CUN3788" s="179"/>
      <c r="CUO3788" s="179"/>
      <c r="CUP3788" s="179"/>
      <c r="CUQ3788" s="179"/>
      <c r="CUR3788" s="179"/>
      <c r="CUS3788" s="179"/>
      <c r="CUT3788" s="179"/>
      <c r="CUU3788" s="179"/>
      <c r="CUV3788" s="179"/>
      <c r="CUW3788" s="179"/>
      <c r="CUX3788" s="179"/>
      <c r="CUY3788" s="179"/>
      <c r="CUZ3788" s="179"/>
      <c r="CVA3788" s="179"/>
      <c r="CVB3788" s="179"/>
      <c r="CVC3788" s="179"/>
      <c r="CVD3788" s="179"/>
      <c r="CVE3788" s="179"/>
      <c r="CVF3788" s="179"/>
      <c r="CVG3788" s="179"/>
      <c r="CVH3788" s="179"/>
      <c r="CVI3788" s="179"/>
      <c r="CVJ3788" s="179"/>
      <c r="CVK3788" s="179"/>
      <c r="CVL3788" s="179"/>
      <c r="CVM3788" s="179"/>
      <c r="CVN3788" s="179"/>
      <c r="CVO3788" s="179"/>
      <c r="CVP3788" s="179"/>
      <c r="CVQ3788" s="179"/>
      <c r="CVR3788" s="179"/>
      <c r="CVS3788" s="179"/>
      <c r="CVT3788" s="179"/>
      <c r="CVU3788" s="179"/>
      <c r="CVV3788" s="179"/>
      <c r="CVW3788" s="179"/>
      <c r="CVX3788" s="179"/>
      <c r="CVY3788" s="179"/>
      <c r="CVZ3788" s="179"/>
      <c r="CWA3788" s="179"/>
      <c r="CWB3788" s="179"/>
      <c r="CWC3788" s="179"/>
      <c r="CWD3788" s="179"/>
      <c r="CWE3788" s="179"/>
      <c r="CWF3788" s="179"/>
      <c r="CWG3788" s="179"/>
      <c r="CWH3788" s="179"/>
      <c r="CWI3788" s="179"/>
      <c r="CWJ3788" s="179"/>
      <c r="CWK3788" s="179"/>
      <c r="CWL3788" s="179"/>
      <c r="CWM3788" s="179"/>
      <c r="CWN3788" s="179"/>
      <c r="CWO3788" s="179"/>
      <c r="CWP3788" s="179"/>
      <c r="CWQ3788" s="179"/>
      <c r="CWR3788" s="179"/>
      <c r="CWS3788" s="179"/>
      <c r="CWT3788" s="179"/>
      <c r="CWU3788" s="179"/>
      <c r="CWV3788" s="179"/>
      <c r="CWW3788" s="179"/>
      <c r="CWX3788" s="179"/>
      <c r="CWY3788" s="179"/>
      <c r="CWZ3788" s="179"/>
      <c r="CXA3788" s="179"/>
      <c r="CXB3788" s="179"/>
      <c r="CXC3788" s="179"/>
      <c r="CXD3788" s="179"/>
      <c r="CXE3788" s="179"/>
      <c r="CXF3788" s="179"/>
      <c r="CXG3788" s="179"/>
      <c r="CXH3788" s="179"/>
      <c r="CXI3788" s="179"/>
      <c r="CXJ3788" s="179"/>
      <c r="CXK3788" s="179"/>
      <c r="CXL3788" s="179"/>
      <c r="CXM3788" s="179"/>
      <c r="CXN3788" s="179"/>
      <c r="CXO3788" s="179"/>
      <c r="CXP3788" s="179"/>
      <c r="CXQ3788" s="179"/>
      <c r="CXR3788" s="179"/>
      <c r="CXS3788" s="179"/>
      <c r="CXT3788" s="179"/>
      <c r="CXU3788" s="179"/>
      <c r="CXV3788" s="179"/>
      <c r="CXW3788" s="179"/>
      <c r="CXX3788" s="179"/>
      <c r="CXY3788" s="179"/>
      <c r="CXZ3788" s="179"/>
      <c r="CYA3788" s="179"/>
      <c r="CYB3788" s="179"/>
      <c r="CYC3788" s="179"/>
      <c r="CYD3788" s="179"/>
      <c r="CYE3788" s="179"/>
      <c r="CYF3788" s="179"/>
      <c r="CYG3788" s="179"/>
      <c r="CYH3788" s="179"/>
      <c r="CYI3788" s="179"/>
      <c r="CYJ3788" s="179"/>
      <c r="CYK3788" s="179"/>
      <c r="CYL3788" s="179"/>
      <c r="CYM3788" s="179"/>
      <c r="CYN3788" s="179"/>
      <c r="CYO3788" s="179"/>
      <c r="CYP3788" s="179"/>
      <c r="CYQ3788" s="179"/>
      <c r="CYR3788" s="179"/>
      <c r="CYS3788" s="179"/>
      <c r="CYT3788" s="179"/>
      <c r="CYU3788" s="179"/>
      <c r="CYV3788" s="179"/>
      <c r="CYW3788" s="179"/>
      <c r="CYX3788" s="179"/>
      <c r="CYY3788" s="179"/>
      <c r="CYZ3788" s="179"/>
      <c r="CZA3788" s="179"/>
      <c r="CZB3788" s="179"/>
      <c r="CZC3788" s="179"/>
      <c r="CZD3788" s="179"/>
      <c r="CZE3788" s="179"/>
      <c r="CZF3788" s="179"/>
      <c r="CZG3788" s="179"/>
      <c r="CZH3788" s="179"/>
      <c r="CZI3788" s="179"/>
      <c r="CZJ3788" s="179"/>
      <c r="CZK3788" s="179"/>
      <c r="CZL3788" s="179"/>
      <c r="CZM3788" s="179"/>
      <c r="CZN3788" s="179"/>
      <c r="CZO3788" s="179"/>
      <c r="CZP3788" s="179"/>
      <c r="CZQ3788" s="179"/>
      <c r="CZR3788" s="179"/>
      <c r="CZS3788" s="179"/>
      <c r="CZT3788" s="179"/>
      <c r="CZU3788" s="179"/>
      <c r="CZV3788" s="179"/>
      <c r="CZW3788" s="179"/>
      <c r="CZX3788" s="179"/>
      <c r="CZY3788" s="179"/>
      <c r="CZZ3788" s="179"/>
      <c r="DAA3788" s="179"/>
      <c r="DAB3788" s="179"/>
      <c r="DAC3788" s="179"/>
      <c r="DAD3788" s="179"/>
      <c r="DAE3788" s="179"/>
      <c r="DAF3788" s="179"/>
      <c r="DAG3788" s="179"/>
      <c r="DAH3788" s="179"/>
      <c r="DAI3788" s="179"/>
      <c r="DAJ3788" s="179"/>
      <c r="DAK3788" s="179"/>
      <c r="DAL3788" s="179"/>
      <c r="DAM3788" s="179"/>
      <c r="DAN3788" s="179"/>
      <c r="DAO3788" s="179"/>
      <c r="DAP3788" s="179"/>
      <c r="DAQ3788" s="179"/>
      <c r="DAR3788" s="179"/>
      <c r="DAS3788" s="179"/>
      <c r="DAT3788" s="179"/>
      <c r="DAU3788" s="179"/>
      <c r="DAV3788" s="179"/>
      <c r="DAW3788" s="179"/>
      <c r="DAX3788" s="179"/>
      <c r="DAY3788" s="179"/>
      <c r="DAZ3788" s="179"/>
      <c r="DBA3788" s="179"/>
      <c r="DBB3788" s="179"/>
      <c r="DBC3788" s="179"/>
      <c r="DBD3788" s="179"/>
      <c r="DBE3788" s="179"/>
      <c r="DBF3788" s="179"/>
      <c r="DBG3788" s="179"/>
      <c r="DBH3788" s="179"/>
      <c r="DBI3788" s="179"/>
      <c r="DBJ3788" s="179"/>
      <c r="DBK3788" s="179"/>
      <c r="DBL3788" s="179"/>
      <c r="DBM3788" s="179"/>
      <c r="DBN3788" s="179"/>
      <c r="DBO3788" s="179"/>
      <c r="DBP3788" s="179"/>
      <c r="DBQ3788" s="179"/>
      <c r="DBR3788" s="179"/>
      <c r="DBS3788" s="179"/>
      <c r="DBT3788" s="179"/>
      <c r="DBU3788" s="179"/>
      <c r="DBV3788" s="179"/>
      <c r="DBW3788" s="179"/>
      <c r="DBX3788" s="179"/>
      <c r="DBY3788" s="179"/>
      <c r="DBZ3788" s="179"/>
      <c r="DCA3788" s="179"/>
      <c r="DCB3788" s="179"/>
      <c r="DCC3788" s="179"/>
      <c r="DCD3788" s="179"/>
      <c r="DCE3788" s="179"/>
      <c r="DCF3788" s="179"/>
      <c r="DCG3788" s="179"/>
      <c r="DCH3788" s="179"/>
      <c r="DCI3788" s="179"/>
      <c r="DCJ3788" s="179"/>
      <c r="DCK3788" s="179"/>
      <c r="DCL3788" s="179"/>
      <c r="DCM3788" s="179"/>
      <c r="DCN3788" s="179"/>
      <c r="DCO3788" s="179"/>
      <c r="DCP3788" s="179"/>
      <c r="DCQ3788" s="179"/>
      <c r="DCR3788" s="179"/>
      <c r="DCS3788" s="179"/>
      <c r="DCT3788" s="179"/>
      <c r="DCU3788" s="179"/>
      <c r="DCV3788" s="179"/>
      <c r="DCW3788" s="179"/>
      <c r="DCX3788" s="179"/>
      <c r="DCY3788" s="179"/>
      <c r="DCZ3788" s="179"/>
      <c r="DDA3788" s="179"/>
      <c r="DDB3788" s="179"/>
      <c r="DDC3788" s="179"/>
      <c r="DDD3788" s="179"/>
      <c r="DDE3788" s="179"/>
      <c r="DDF3788" s="179"/>
      <c r="DDG3788" s="179"/>
      <c r="DDH3788" s="179"/>
      <c r="DDI3788" s="179"/>
      <c r="DDJ3788" s="179"/>
      <c r="DDK3788" s="179"/>
      <c r="DDL3788" s="179"/>
      <c r="DDM3788" s="179"/>
      <c r="DDN3788" s="179"/>
      <c r="DDO3788" s="179"/>
      <c r="DDP3788" s="179"/>
      <c r="DDQ3788" s="179"/>
      <c r="DDR3788" s="179"/>
      <c r="DDS3788" s="179"/>
      <c r="DDT3788" s="179"/>
      <c r="DDU3788" s="179"/>
      <c r="DDV3788" s="179"/>
      <c r="DDW3788" s="179"/>
      <c r="DDX3788" s="179"/>
      <c r="DDY3788" s="179"/>
      <c r="DDZ3788" s="179"/>
      <c r="DEA3788" s="179"/>
      <c r="DEB3788" s="179"/>
      <c r="DEC3788" s="179"/>
      <c r="DED3788" s="179"/>
      <c r="DEE3788" s="179"/>
      <c r="DEF3788" s="179"/>
      <c r="DEG3788" s="179"/>
      <c r="DEH3788" s="179"/>
      <c r="DEI3788" s="179"/>
      <c r="DEJ3788" s="179"/>
      <c r="DEK3788" s="179"/>
      <c r="DEL3788" s="179"/>
      <c r="DEM3788" s="179"/>
      <c r="DEN3788" s="179"/>
      <c r="DEO3788" s="179"/>
      <c r="DEP3788" s="179"/>
      <c r="DEQ3788" s="179"/>
      <c r="DER3788" s="179"/>
      <c r="DES3788" s="179"/>
      <c r="DET3788" s="179"/>
      <c r="DEU3788" s="179"/>
      <c r="DEV3788" s="179"/>
      <c r="DEW3788" s="179"/>
      <c r="DEX3788" s="179"/>
      <c r="DEY3788" s="179"/>
      <c r="DEZ3788" s="179"/>
      <c r="DFA3788" s="179"/>
      <c r="DFB3788" s="179"/>
      <c r="DFC3788" s="179"/>
      <c r="DFD3788" s="179"/>
      <c r="DFE3788" s="179"/>
      <c r="DFF3788" s="179"/>
      <c r="DFG3788" s="179"/>
      <c r="DFH3788" s="179"/>
      <c r="DFI3788" s="179"/>
      <c r="DFJ3788" s="179"/>
      <c r="DFK3788" s="179"/>
      <c r="DFL3788" s="179"/>
      <c r="DFM3788" s="179"/>
      <c r="DFN3788" s="179"/>
      <c r="DFO3788" s="179"/>
      <c r="DFP3788" s="179"/>
      <c r="DFQ3788" s="179"/>
      <c r="DFR3788" s="179"/>
      <c r="DFS3788" s="179"/>
      <c r="DFT3788" s="179"/>
      <c r="DFU3788" s="179"/>
      <c r="DFV3788" s="179"/>
      <c r="DFW3788" s="179"/>
      <c r="DFX3788" s="179"/>
      <c r="DFY3788" s="179"/>
      <c r="DFZ3788" s="179"/>
      <c r="DGA3788" s="179"/>
      <c r="DGB3788" s="179"/>
      <c r="DGC3788" s="179"/>
      <c r="DGD3788" s="179"/>
      <c r="DGE3788" s="179"/>
      <c r="DGF3788" s="179"/>
      <c r="DGG3788" s="179"/>
      <c r="DGH3788" s="179"/>
      <c r="DGI3788" s="179"/>
      <c r="DGJ3788" s="179"/>
      <c r="DGK3788" s="179"/>
      <c r="DGL3788" s="179"/>
      <c r="DGM3788" s="179"/>
      <c r="DGN3788" s="179"/>
      <c r="DGO3788" s="179"/>
      <c r="DGP3788" s="179"/>
      <c r="DGQ3788" s="179"/>
      <c r="DGR3788" s="179"/>
      <c r="DGS3788" s="179"/>
      <c r="DGT3788" s="179"/>
      <c r="DGU3788" s="179"/>
      <c r="DGV3788" s="179"/>
      <c r="DGW3788" s="179"/>
      <c r="DGX3788" s="179"/>
      <c r="DGY3788" s="179"/>
      <c r="DGZ3788" s="179"/>
      <c r="DHA3788" s="179"/>
      <c r="DHB3788" s="179"/>
      <c r="DHC3788" s="179"/>
      <c r="DHD3788" s="179"/>
      <c r="DHE3788" s="179"/>
      <c r="DHF3788" s="179"/>
      <c r="DHG3788" s="179"/>
      <c r="DHH3788" s="179"/>
      <c r="DHI3788" s="179"/>
      <c r="DHJ3788" s="179"/>
      <c r="DHK3788" s="179"/>
      <c r="DHL3788" s="179"/>
      <c r="DHM3788" s="179"/>
      <c r="DHN3788" s="179"/>
      <c r="DHO3788" s="179"/>
      <c r="DHP3788" s="179"/>
      <c r="DHQ3788" s="179"/>
      <c r="DHR3788" s="179"/>
      <c r="DHS3788" s="179"/>
      <c r="DHT3788" s="179"/>
      <c r="DHU3788" s="179"/>
      <c r="DHV3788" s="179"/>
      <c r="DHW3788" s="179"/>
      <c r="DHX3788" s="179"/>
      <c r="DHY3788" s="179"/>
      <c r="DHZ3788" s="179"/>
      <c r="DIA3788" s="179"/>
      <c r="DIB3788" s="179"/>
      <c r="DIC3788" s="179"/>
      <c r="DID3788" s="179"/>
      <c r="DIE3788" s="179"/>
      <c r="DIF3788" s="179"/>
      <c r="DIG3788" s="179"/>
      <c r="DIH3788" s="179"/>
      <c r="DII3788" s="179"/>
      <c r="DIJ3788" s="179"/>
      <c r="DIK3788" s="179"/>
      <c r="DIL3788" s="179"/>
      <c r="DIM3788" s="179"/>
      <c r="DIN3788" s="179"/>
      <c r="DIO3788" s="179"/>
      <c r="DIP3788" s="179"/>
      <c r="DIQ3788" s="179"/>
      <c r="DIR3788" s="179"/>
      <c r="DIS3788" s="179"/>
      <c r="DIT3788" s="179"/>
      <c r="DIU3788" s="179"/>
      <c r="DIV3788" s="179"/>
      <c r="DIW3788" s="179"/>
      <c r="DIX3788" s="179"/>
      <c r="DIY3788" s="179"/>
      <c r="DIZ3788" s="179"/>
      <c r="DJA3788" s="179"/>
      <c r="DJB3788" s="179"/>
      <c r="DJC3788" s="179"/>
      <c r="DJD3788" s="179"/>
      <c r="DJE3788" s="179"/>
      <c r="DJF3788" s="179"/>
      <c r="DJG3788" s="179"/>
      <c r="DJH3788" s="179"/>
      <c r="DJI3788" s="179"/>
      <c r="DJJ3788" s="179"/>
      <c r="DJK3788" s="179"/>
      <c r="DJL3788" s="179"/>
      <c r="DJM3788" s="179"/>
      <c r="DJN3788" s="179"/>
      <c r="DJO3788" s="179"/>
      <c r="DJP3788" s="179"/>
      <c r="DJQ3788" s="179"/>
      <c r="DJR3788" s="179"/>
      <c r="DJS3788" s="179"/>
      <c r="DJT3788" s="179"/>
      <c r="DJU3788" s="179"/>
      <c r="DJV3788" s="179"/>
      <c r="DJW3788" s="179"/>
      <c r="DJX3788" s="179"/>
      <c r="DJY3788" s="179"/>
      <c r="DJZ3788" s="179"/>
      <c r="DKA3788" s="179"/>
      <c r="DKB3788" s="179"/>
      <c r="DKC3788" s="179"/>
      <c r="DKD3788" s="179"/>
      <c r="DKE3788" s="179"/>
      <c r="DKF3788" s="179"/>
      <c r="DKG3788" s="179"/>
      <c r="DKH3788" s="179"/>
      <c r="DKI3788" s="179"/>
      <c r="DKJ3788" s="179"/>
      <c r="DKK3788" s="179"/>
      <c r="DKL3788" s="179"/>
      <c r="DKM3788" s="179"/>
      <c r="DKN3788" s="179"/>
      <c r="DKO3788" s="179"/>
      <c r="DKP3788" s="179"/>
      <c r="DKQ3788" s="179"/>
      <c r="DKR3788" s="179"/>
      <c r="DKS3788" s="179"/>
      <c r="DKT3788" s="179"/>
      <c r="DKU3788" s="179"/>
      <c r="DKV3788" s="179"/>
      <c r="DKW3788" s="179"/>
      <c r="DKX3788" s="179"/>
      <c r="DKY3788" s="179"/>
      <c r="DKZ3788" s="179"/>
      <c r="DLA3788" s="179"/>
      <c r="DLB3788" s="179"/>
      <c r="DLC3788" s="179"/>
      <c r="DLD3788" s="179"/>
      <c r="DLE3788" s="179"/>
      <c r="DLF3788" s="179"/>
      <c r="DLG3788" s="179"/>
      <c r="DLH3788" s="179"/>
      <c r="DLI3788" s="179"/>
      <c r="DLJ3788" s="179"/>
      <c r="DLK3788" s="179"/>
      <c r="DLL3788" s="179"/>
      <c r="DLM3788" s="179"/>
      <c r="DLN3788" s="179"/>
      <c r="DLO3788" s="179"/>
      <c r="DLP3788" s="179"/>
      <c r="DLQ3788" s="179"/>
      <c r="DLR3788" s="179"/>
      <c r="DLS3788" s="179"/>
      <c r="DLT3788" s="179"/>
      <c r="DLU3788" s="179"/>
      <c r="DLV3788" s="179"/>
      <c r="DLW3788" s="179"/>
      <c r="DLX3788" s="179"/>
      <c r="DLY3788" s="179"/>
      <c r="DLZ3788" s="179"/>
      <c r="DMA3788" s="179"/>
      <c r="DMB3788" s="179"/>
      <c r="DMC3788" s="179"/>
      <c r="DMD3788" s="179"/>
      <c r="DME3788" s="179"/>
      <c r="DMF3788" s="179"/>
      <c r="DMG3788" s="179"/>
      <c r="DMH3788" s="179"/>
      <c r="DMI3788" s="179"/>
      <c r="DMJ3788" s="179"/>
      <c r="DMK3788" s="179"/>
      <c r="DML3788" s="179"/>
      <c r="DMM3788" s="179"/>
      <c r="DMN3788" s="179"/>
      <c r="DMO3788" s="179"/>
      <c r="DMP3788" s="179"/>
      <c r="DMQ3788" s="179"/>
      <c r="DMR3788" s="179"/>
      <c r="DMS3788" s="179"/>
      <c r="DMT3788" s="179"/>
      <c r="DMU3788" s="179"/>
      <c r="DMV3788" s="179"/>
      <c r="DMW3788" s="179"/>
      <c r="DMX3788" s="179"/>
      <c r="DMY3788" s="179"/>
      <c r="DMZ3788" s="179"/>
      <c r="DNA3788" s="179"/>
      <c r="DNB3788" s="179"/>
      <c r="DNC3788" s="179"/>
      <c r="DND3788" s="179"/>
      <c r="DNE3788" s="179"/>
      <c r="DNF3788" s="179"/>
      <c r="DNG3788" s="179"/>
      <c r="DNH3788" s="179"/>
      <c r="DNI3788" s="179"/>
      <c r="DNJ3788" s="179"/>
      <c r="DNK3788" s="179"/>
      <c r="DNL3788" s="179"/>
      <c r="DNM3788" s="179"/>
      <c r="DNN3788" s="179"/>
      <c r="DNO3788" s="179"/>
      <c r="DNP3788" s="179"/>
      <c r="DNQ3788" s="179"/>
      <c r="DNR3788" s="179"/>
      <c r="DNS3788" s="179"/>
      <c r="DNT3788" s="179"/>
      <c r="DNU3788" s="179"/>
      <c r="DNV3788" s="179"/>
      <c r="DNW3788" s="179"/>
      <c r="DNX3788" s="179"/>
      <c r="DNY3788" s="179"/>
      <c r="DNZ3788" s="179"/>
      <c r="DOA3788" s="179"/>
      <c r="DOB3788" s="179"/>
      <c r="DOC3788" s="179"/>
      <c r="DOD3788" s="179"/>
      <c r="DOE3788" s="179"/>
      <c r="DOF3788" s="179"/>
      <c r="DOG3788" s="179"/>
      <c r="DOH3788" s="179"/>
      <c r="DOI3788" s="179"/>
      <c r="DOJ3788" s="179"/>
      <c r="DOK3788" s="179"/>
      <c r="DOL3788" s="179"/>
      <c r="DOM3788" s="179"/>
      <c r="DON3788" s="179"/>
      <c r="DOO3788" s="179"/>
      <c r="DOP3788" s="179"/>
      <c r="DOQ3788" s="179"/>
      <c r="DOR3788" s="179"/>
      <c r="DOS3788" s="179"/>
      <c r="DOT3788" s="179"/>
      <c r="DOU3788" s="179"/>
      <c r="DOV3788" s="179"/>
      <c r="DOW3788" s="179"/>
      <c r="DOX3788" s="179"/>
      <c r="DOY3788" s="179"/>
      <c r="DOZ3788" s="179"/>
      <c r="DPA3788" s="179"/>
      <c r="DPB3788" s="179"/>
      <c r="DPC3788" s="179"/>
      <c r="DPD3788" s="179"/>
      <c r="DPE3788" s="179"/>
      <c r="DPF3788" s="179"/>
      <c r="DPG3788" s="179"/>
      <c r="DPH3788" s="179"/>
      <c r="DPI3788" s="179"/>
      <c r="DPJ3788" s="179"/>
      <c r="DPK3788" s="179"/>
      <c r="DPL3788" s="179"/>
      <c r="DPM3788" s="179"/>
      <c r="DPN3788" s="179"/>
      <c r="DPO3788" s="179"/>
      <c r="DPP3788" s="179"/>
      <c r="DPQ3788" s="179"/>
      <c r="DPR3788" s="179"/>
      <c r="DPS3788" s="179"/>
      <c r="DPT3788" s="179"/>
      <c r="DPU3788" s="179"/>
      <c r="DPV3788" s="179"/>
      <c r="DPW3788" s="179"/>
      <c r="DPX3788" s="179"/>
      <c r="DPY3788" s="179"/>
      <c r="DPZ3788" s="179"/>
      <c r="DQA3788" s="179"/>
      <c r="DQB3788" s="179"/>
      <c r="DQC3788" s="179"/>
      <c r="DQD3788" s="179"/>
      <c r="DQE3788" s="179"/>
      <c r="DQF3788" s="179"/>
      <c r="DQG3788" s="179"/>
      <c r="DQH3788" s="179"/>
      <c r="DQI3788" s="179"/>
      <c r="DQJ3788" s="179"/>
      <c r="DQK3788" s="179"/>
      <c r="DQL3788" s="179"/>
      <c r="DQM3788" s="179"/>
      <c r="DQN3788" s="179"/>
      <c r="DQO3788" s="179"/>
      <c r="DQP3788" s="179"/>
      <c r="DQQ3788" s="179"/>
      <c r="DQR3788" s="179"/>
      <c r="DQS3788" s="179"/>
      <c r="DQT3788" s="179"/>
      <c r="DQU3788" s="179"/>
      <c r="DQV3788" s="179"/>
      <c r="DQW3788" s="179"/>
      <c r="DQX3788" s="179"/>
      <c r="DQY3788" s="179"/>
      <c r="DQZ3788" s="179"/>
      <c r="DRA3788" s="179"/>
      <c r="DRB3788" s="179"/>
      <c r="DRC3788" s="179"/>
      <c r="DRD3788" s="179"/>
      <c r="DRE3788" s="179"/>
      <c r="DRF3788" s="179"/>
      <c r="DRG3788" s="179"/>
      <c r="DRH3788" s="179"/>
      <c r="DRI3788" s="179"/>
      <c r="DRJ3788" s="179"/>
      <c r="DRK3788" s="179"/>
      <c r="DRL3788" s="179"/>
      <c r="DRM3788" s="179"/>
      <c r="DRN3788" s="179"/>
      <c r="DRO3788" s="179"/>
      <c r="DRP3788" s="179"/>
      <c r="DRQ3788" s="179"/>
      <c r="DRR3788" s="179"/>
      <c r="DRS3788" s="179"/>
      <c r="DRT3788" s="179"/>
      <c r="DRU3788" s="179"/>
      <c r="DRV3788" s="179"/>
      <c r="DRW3788" s="179"/>
      <c r="DRX3788" s="179"/>
      <c r="DRY3788" s="179"/>
      <c r="DRZ3788" s="179"/>
      <c r="DSA3788" s="179"/>
      <c r="DSB3788" s="179"/>
      <c r="DSC3788" s="179"/>
      <c r="DSD3788" s="179"/>
      <c r="DSE3788" s="179"/>
      <c r="DSF3788" s="179"/>
      <c r="DSG3788" s="179"/>
      <c r="DSH3788" s="179"/>
      <c r="DSI3788" s="179"/>
      <c r="DSJ3788" s="179"/>
      <c r="DSK3788" s="179"/>
      <c r="DSL3788" s="179"/>
      <c r="DSM3788" s="179"/>
      <c r="DSN3788" s="179"/>
      <c r="DSO3788" s="179"/>
      <c r="DSP3788" s="179"/>
      <c r="DSQ3788" s="179"/>
      <c r="DSR3788" s="179"/>
      <c r="DSS3788" s="179"/>
      <c r="DST3788" s="179"/>
      <c r="DSU3788" s="179"/>
      <c r="DSV3788" s="179"/>
      <c r="DSW3788" s="179"/>
      <c r="DSX3788" s="179"/>
      <c r="DSY3788" s="179"/>
      <c r="DSZ3788" s="179"/>
      <c r="DTA3788" s="179"/>
      <c r="DTB3788" s="179"/>
      <c r="DTC3788" s="179"/>
      <c r="DTD3788" s="179"/>
      <c r="DTE3788" s="179"/>
      <c r="DTF3788" s="179"/>
      <c r="DTG3788" s="179"/>
      <c r="DTH3788" s="179"/>
      <c r="DTI3788" s="179"/>
      <c r="DTJ3788" s="179"/>
      <c r="DTK3788" s="179"/>
      <c r="DTL3788" s="179"/>
      <c r="DTM3788" s="179"/>
      <c r="DTN3788" s="179"/>
      <c r="DTO3788" s="179"/>
      <c r="DTP3788" s="179"/>
      <c r="DTQ3788" s="179"/>
      <c r="DTR3788" s="179"/>
      <c r="DTS3788" s="179"/>
      <c r="DTT3788" s="179"/>
      <c r="DTU3788" s="179"/>
      <c r="DTV3788" s="179"/>
      <c r="DTW3788" s="179"/>
      <c r="DTX3788" s="179"/>
      <c r="DTY3788" s="179"/>
      <c r="DTZ3788" s="179"/>
      <c r="DUA3788" s="179"/>
      <c r="DUB3788" s="179"/>
      <c r="DUC3788" s="179"/>
      <c r="DUD3788" s="179"/>
      <c r="DUE3788" s="179"/>
      <c r="DUF3788" s="179"/>
      <c r="DUG3788" s="179"/>
      <c r="DUH3788" s="179"/>
      <c r="DUI3788" s="179"/>
      <c r="DUJ3788" s="179"/>
      <c r="DUK3788" s="179"/>
      <c r="DUL3788" s="179"/>
      <c r="DUM3788" s="179"/>
      <c r="DUN3788" s="179"/>
      <c r="DUO3788" s="179"/>
      <c r="DUP3788" s="179"/>
      <c r="DUQ3788" s="179"/>
      <c r="DUR3788" s="179"/>
      <c r="DUS3788" s="179"/>
      <c r="DUT3788" s="179"/>
      <c r="DUU3788" s="179"/>
      <c r="DUV3788" s="179"/>
      <c r="DUW3788" s="179"/>
      <c r="DUX3788" s="179"/>
      <c r="DUY3788" s="179"/>
      <c r="DUZ3788" s="179"/>
      <c r="DVA3788" s="179"/>
      <c r="DVB3788" s="179"/>
      <c r="DVC3788" s="179"/>
      <c r="DVD3788" s="179"/>
      <c r="DVE3788" s="179"/>
      <c r="DVF3788" s="179"/>
      <c r="DVG3788" s="179"/>
      <c r="DVH3788" s="179"/>
      <c r="DVI3788" s="179"/>
      <c r="DVJ3788" s="179"/>
      <c r="DVK3788" s="179"/>
      <c r="DVL3788" s="179"/>
      <c r="DVM3788" s="179"/>
      <c r="DVN3788" s="179"/>
      <c r="DVO3788" s="179"/>
      <c r="DVP3788" s="179"/>
      <c r="DVQ3788" s="179"/>
      <c r="DVR3788" s="179"/>
      <c r="DVS3788" s="179"/>
      <c r="DVT3788" s="179"/>
      <c r="DVU3788" s="179"/>
      <c r="DVV3788" s="179"/>
      <c r="DVW3788" s="179"/>
      <c r="DVX3788" s="179"/>
      <c r="DVY3788" s="179"/>
      <c r="DVZ3788" s="179"/>
      <c r="DWA3788" s="179"/>
      <c r="DWB3788" s="179"/>
      <c r="DWC3788" s="179"/>
      <c r="DWD3788" s="179"/>
      <c r="DWE3788" s="179"/>
      <c r="DWF3788" s="179"/>
      <c r="DWG3788" s="179"/>
      <c r="DWH3788" s="179"/>
      <c r="DWI3788" s="179"/>
      <c r="DWJ3788" s="179"/>
      <c r="DWK3788" s="179"/>
      <c r="DWL3788" s="179"/>
      <c r="DWM3788" s="179"/>
      <c r="DWN3788" s="179"/>
      <c r="DWO3788" s="179"/>
      <c r="DWP3788" s="179"/>
      <c r="DWQ3788" s="179"/>
      <c r="DWR3788" s="179"/>
      <c r="DWS3788" s="179"/>
      <c r="DWT3788" s="179"/>
      <c r="DWU3788" s="179"/>
      <c r="DWV3788" s="179"/>
      <c r="DWW3788" s="179"/>
      <c r="DWX3788" s="179"/>
      <c r="DWY3788" s="179"/>
      <c r="DWZ3788" s="179"/>
      <c r="DXA3788" s="179"/>
      <c r="DXB3788" s="179"/>
      <c r="DXC3788" s="179"/>
      <c r="DXD3788" s="179"/>
      <c r="DXE3788" s="179"/>
      <c r="DXF3788" s="179"/>
      <c r="DXG3788" s="179"/>
      <c r="DXH3788" s="179"/>
      <c r="DXI3788" s="179"/>
      <c r="DXJ3788" s="179"/>
      <c r="DXK3788" s="179"/>
      <c r="DXL3788" s="179"/>
      <c r="DXM3788" s="179"/>
      <c r="DXN3788" s="179"/>
      <c r="DXO3788" s="179"/>
      <c r="DXP3788" s="179"/>
      <c r="DXQ3788" s="179"/>
      <c r="DXR3788" s="179"/>
      <c r="DXS3788" s="179"/>
      <c r="DXT3788" s="179"/>
      <c r="DXU3788" s="179"/>
      <c r="DXV3788" s="179"/>
      <c r="DXW3788" s="179"/>
      <c r="DXX3788" s="179"/>
      <c r="DXY3788" s="179"/>
      <c r="DXZ3788" s="179"/>
      <c r="DYA3788" s="179"/>
      <c r="DYB3788" s="179"/>
      <c r="DYC3788" s="179"/>
      <c r="DYD3788" s="179"/>
      <c r="DYE3788" s="179"/>
      <c r="DYF3788" s="179"/>
      <c r="DYG3788" s="179"/>
      <c r="DYH3788" s="179"/>
      <c r="DYI3788" s="179"/>
      <c r="DYJ3788" s="179"/>
      <c r="DYK3788" s="179"/>
      <c r="DYL3788" s="179"/>
      <c r="DYM3788" s="179"/>
      <c r="DYN3788" s="179"/>
      <c r="DYO3788" s="179"/>
      <c r="DYP3788" s="179"/>
      <c r="DYQ3788" s="179"/>
      <c r="DYR3788" s="179"/>
      <c r="DYS3788" s="179"/>
      <c r="DYT3788" s="179"/>
      <c r="DYU3788" s="179"/>
      <c r="DYV3788" s="179"/>
      <c r="DYW3788" s="179"/>
      <c r="DYX3788" s="179"/>
      <c r="DYY3788" s="179"/>
      <c r="DYZ3788" s="179"/>
      <c r="DZA3788" s="179"/>
      <c r="DZB3788" s="179"/>
      <c r="DZC3788" s="179"/>
      <c r="DZD3788" s="179"/>
      <c r="DZE3788" s="179"/>
      <c r="DZF3788" s="179"/>
      <c r="DZG3788" s="179"/>
      <c r="DZH3788" s="179"/>
      <c r="DZI3788" s="179"/>
      <c r="DZJ3788" s="179"/>
      <c r="DZK3788" s="179"/>
      <c r="DZL3788" s="179"/>
      <c r="DZM3788" s="179"/>
      <c r="DZN3788" s="179"/>
      <c r="DZO3788" s="179"/>
      <c r="DZP3788" s="179"/>
      <c r="DZQ3788" s="179"/>
      <c r="DZR3788" s="179"/>
      <c r="DZS3788" s="179"/>
      <c r="DZT3788" s="179"/>
      <c r="DZU3788" s="179"/>
      <c r="DZV3788" s="179"/>
      <c r="DZW3788" s="179"/>
      <c r="DZX3788" s="179"/>
      <c r="DZY3788" s="179"/>
      <c r="DZZ3788" s="179"/>
      <c r="EAA3788" s="179"/>
      <c r="EAB3788" s="179"/>
      <c r="EAC3788" s="179"/>
      <c r="EAD3788" s="179"/>
      <c r="EAE3788" s="179"/>
      <c r="EAF3788" s="179"/>
      <c r="EAG3788" s="179"/>
      <c r="EAH3788" s="179"/>
      <c r="EAI3788" s="179"/>
      <c r="EAJ3788" s="179"/>
      <c r="EAK3788" s="179"/>
      <c r="EAL3788" s="179"/>
      <c r="EAM3788" s="179"/>
      <c r="EAN3788" s="179"/>
      <c r="EAO3788" s="179"/>
      <c r="EAP3788" s="179"/>
      <c r="EAQ3788" s="179"/>
      <c r="EAR3788" s="179"/>
      <c r="EAS3788" s="179"/>
      <c r="EAT3788" s="179"/>
      <c r="EAU3788" s="179"/>
      <c r="EAV3788" s="179"/>
      <c r="EAW3788" s="179"/>
      <c r="EAX3788" s="179"/>
      <c r="EAY3788" s="179"/>
      <c r="EAZ3788" s="179"/>
      <c r="EBA3788" s="179"/>
      <c r="EBB3788" s="179"/>
      <c r="EBC3788" s="179"/>
      <c r="EBD3788" s="179"/>
      <c r="EBE3788" s="179"/>
      <c r="EBF3788" s="179"/>
      <c r="EBG3788" s="179"/>
      <c r="EBH3788" s="179"/>
      <c r="EBI3788" s="179"/>
      <c r="EBJ3788" s="179"/>
      <c r="EBK3788" s="179"/>
      <c r="EBL3788" s="179"/>
      <c r="EBM3788" s="179"/>
      <c r="EBN3788" s="179"/>
      <c r="EBO3788" s="179"/>
      <c r="EBP3788" s="179"/>
      <c r="EBQ3788" s="179"/>
      <c r="EBR3788" s="179"/>
      <c r="EBS3788" s="179"/>
      <c r="EBT3788" s="179"/>
      <c r="EBU3788" s="179"/>
      <c r="EBV3788" s="179"/>
      <c r="EBW3788" s="179"/>
      <c r="EBX3788" s="179"/>
      <c r="EBY3788" s="179"/>
      <c r="EBZ3788" s="179"/>
      <c r="ECA3788" s="179"/>
      <c r="ECB3788" s="179"/>
      <c r="ECC3788" s="179"/>
      <c r="ECD3788" s="179"/>
      <c r="ECE3788" s="179"/>
      <c r="ECF3788" s="179"/>
      <c r="ECG3788" s="179"/>
      <c r="ECH3788" s="179"/>
      <c r="ECI3788" s="179"/>
      <c r="ECJ3788" s="179"/>
      <c r="ECK3788" s="179"/>
      <c r="ECL3788" s="179"/>
      <c r="ECM3788" s="179"/>
      <c r="ECN3788" s="179"/>
      <c r="ECO3788" s="179"/>
      <c r="ECP3788" s="179"/>
      <c r="ECQ3788" s="179"/>
      <c r="ECR3788" s="179"/>
      <c r="ECS3788" s="179"/>
      <c r="ECT3788" s="179"/>
      <c r="ECU3788" s="179"/>
      <c r="ECV3788" s="179"/>
      <c r="ECW3788" s="179"/>
      <c r="ECX3788" s="179"/>
      <c r="ECY3788" s="179"/>
      <c r="ECZ3788" s="179"/>
      <c r="EDA3788" s="179"/>
      <c r="EDB3788" s="179"/>
      <c r="EDC3788" s="179"/>
      <c r="EDD3788" s="179"/>
      <c r="EDE3788" s="179"/>
      <c r="EDF3788" s="179"/>
      <c r="EDG3788" s="179"/>
      <c r="EDH3788" s="179"/>
      <c r="EDI3788" s="179"/>
      <c r="EDJ3788" s="179"/>
      <c r="EDK3788" s="179"/>
      <c r="EDL3788" s="179"/>
      <c r="EDM3788" s="179"/>
      <c r="EDN3788" s="179"/>
      <c r="EDO3788" s="179"/>
      <c r="EDP3788" s="179"/>
      <c r="EDQ3788" s="179"/>
      <c r="EDR3788" s="179"/>
      <c r="EDS3788" s="179"/>
      <c r="EDT3788" s="179"/>
      <c r="EDU3788" s="179"/>
      <c r="EDV3788" s="179"/>
      <c r="EDW3788" s="179"/>
      <c r="EDX3788" s="179"/>
      <c r="EDY3788" s="179"/>
      <c r="EDZ3788" s="179"/>
      <c r="EEA3788" s="179"/>
      <c r="EEB3788" s="179"/>
      <c r="EEC3788" s="179"/>
      <c r="EED3788" s="179"/>
      <c r="EEE3788" s="179"/>
      <c r="EEF3788" s="179"/>
      <c r="EEG3788" s="179"/>
      <c r="EEH3788" s="179"/>
      <c r="EEI3788" s="179"/>
      <c r="EEJ3788" s="179"/>
      <c r="EEK3788" s="179"/>
      <c r="EEL3788" s="179"/>
      <c r="EEM3788" s="179"/>
      <c r="EEN3788" s="179"/>
      <c r="EEO3788" s="179"/>
      <c r="EEP3788" s="179"/>
      <c r="EEQ3788" s="179"/>
      <c r="EER3788" s="179"/>
      <c r="EES3788" s="179"/>
      <c r="EET3788" s="179"/>
      <c r="EEU3788" s="179"/>
      <c r="EEV3788" s="179"/>
      <c r="EEW3788" s="179"/>
      <c r="EEX3788" s="179"/>
      <c r="EEY3788" s="179"/>
      <c r="EEZ3788" s="179"/>
      <c r="EFA3788" s="179"/>
      <c r="EFB3788" s="179"/>
      <c r="EFC3788" s="179"/>
      <c r="EFD3788" s="179"/>
      <c r="EFE3788" s="179"/>
      <c r="EFF3788" s="179"/>
      <c r="EFG3788" s="179"/>
      <c r="EFH3788" s="179"/>
      <c r="EFI3788" s="179"/>
      <c r="EFJ3788" s="179"/>
      <c r="EFK3788" s="179"/>
      <c r="EFL3788" s="179"/>
      <c r="EFM3788" s="179"/>
      <c r="EFN3788" s="179"/>
      <c r="EFO3788" s="179"/>
      <c r="EFP3788" s="179"/>
      <c r="EFQ3788" s="179"/>
      <c r="EFR3788" s="179"/>
      <c r="EFS3788" s="179"/>
      <c r="EFT3788" s="179"/>
      <c r="EFU3788" s="179"/>
      <c r="EFV3788" s="179"/>
      <c r="EFW3788" s="179"/>
      <c r="EFX3788" s="179"/>
      <c r="EFY3788" s="179"/>
      <c r="EFZ3788" s="179"/>
      <c r="EGA3788" s="179"/>
      <c r="EGB3788" s="179"/>
      <c r="EGC3788" s="179"/>
      <c r="EGD3788" s="179"/>
      <c r="EGE3788" s="179"/>
      <c r="EGF3788" s="179"/>
      <c r="EGG3788" s="179"/>
      <c r="EGH3788" s="179"/>
      <c r="EGI3788" s="179"/>
      <c r="EGJ3788" s="179"/>
      <c r="EGK3788" s="179"/>
      <c r="EGL3788" s="179"/>
      <c r="EGM3788" s="179"/>
      <c r="EGN3788" s="179"/>
      <c r="EGO3788" s="179"/>
      <c r="EGP3788" s="179"/>
      <c r="EGQ3788" s="179"/>
      <c r="EGR3788" s="179"/>
      <c r="EGS3788" s="179"/>
      <c r="EGT3788" s="179"/>
      <c r="EGU3788" s="179"/>
      <c r="EGV3788" s="179"/>
      <c r="EGW3788" s="179"/>
      <c r="EGX3788" s="179"/>
      <c r="EGY3788" s="179"/>
      <c r="EGZ3788" s="179"/>
      <c r="EHA3788" s="179"/>
      <c r="EHB3788" s="179"/>
      <c r="EHC3788" s="179"/>
      <c r="EHD3788" s="179"/>
      <c r="EHE3788" s="179"/>
      <c r="EHF3788" s="179"/>
      <c r="EHG3788" s="179"/>
      <c r="EHH3788" s="179"/>
      <c r="EHI3788" s="179"/>
      <c r="EHJ3788" s="179"/>
      <c r="EHK3788" s="179"/>
      <c r="EHL3788" s="179"/>
      <c r="EHM3788" s="179"/>
      <c r="EHN3788" s="179"/>
      <c r="EHO3788" s="179"/>
      <c r="EHP3788" s="179"/>
      <c r="EHQ3788" s="179"/>
      <c r="EHR3788" s="179"/>
      <c r="EHS3788" s="179"/>
      <c r="EHT3788" s="179"/>
      <c r="EHU3788" s="179"/>
      <c r="EHV3788" s="179"/>
      <c r="EHW3788" s="179"/>
      <c r="EHX3788" s="179"/>
      <c r="EHY3788" s="179"/>
      <c r="EHZ3788" s="179"/>
      <c r="EIA3788" s="179"/>
      <c r="EIB3788" s="179"/>
      <c r="EIC3788" s="179"/>
      <c r="EID3788" s="179"/>
      <c r="EIE3788" s="179"/>
      <c r="EIF3788" s="179"/>
      <c r="EIG3788" s="179"/>
      <c r="EIH3788" s="179"/>
      <c r="EII3788" s="179"/>
      <c r="EIJ3788" s="179"/>
      <c r="EIK3788" s="179"/>
      <c r="EIL3788" s="179"/>
      <c r="EIM3788" s="179"/>
      <c r="EIN3788" s="179"/>
      <c r="EIO3788" s="179"/>
      <c r="EIP3788" s="179"/>
      <c r="EIQ3788" s="179"/>
      <c r="EIR3788" s="179"/>
      <c r="EIS3788" s="179"/>
      <c r="EIT3788" s="179"/>
      <c r="EIU3788" s="179"/>
      <c r="EIV3788" s="179"/>
      <c r="EIW3788" s="179"/>
      <c r="EIX3788" s="179"/>
      <c r="EIY3788" s="179"/>
      <c r="EIZ3788" s="179"/>
      <c r="EJA3788" s="179"/>
      <c r="EJB3788" s="179"/>
      <c r="EJC3788" s="179"/>
      <c r="EJD3788" s="179"/>
      <c r="EJE3788" s="179"/>
      <c r="EJF3788" s="179"/>
      <c r="EJG3788" s="179"/>
      <c r="EJH3788" s="179"/>
      <c r="EJI3788" s="179"/>
      <c r="EJJ3788" s="179"/>
      <c r="EJK3788" s="179"/>
      <c r="EJL3788" s="179"/>
      <c r="EJM3788" s="179"/>
      <c r="EJN3788" s="179"/>
      <c r="EJO3788" s="179"/>
      <c r="EJP3788" s="179"/>
      <c r="EJQ3788" s="179"/>
      <c r="EJR3788" s="179"/>
      <c r="EJS3788" s="179"/>
      <c r="EJT3788" s="179"/>
      <c r="EJU3788" s="179"/>
      <c r="EJV3788" s="179"/>
      <c r="EJW3788" s="179"/>
      <c r="EJX3788" s="179"/>
      <c r="EJY3788" s="179"/>
      <c r="EJZ3788" s="179"/>
      <c r="EKA3788" s="179"/>
      <c r="EKB3788" s="179"/>
      <c r="EKC3788" s="179"/>
      <c r="EKD3788" s="179"/>
      <c r="EKE3788" s="179"/>
      <c r="EKF3788" s="179"/>
      <c r="EKG3788" s="179"/>
      <c r="EKH3788" s="179"/>
      <c r="EKI3788" s="179"/>
      <c r="EKJ3788" s="179"/>
      <c r="EKK3788" s="179"/>
      <c r="EKL3788" s="179"/>
      <c r="EKM3788" s="179"/>
      <c r="EKN3788" s="179"/>
      <c r="EKO3788" s="179"/>
      <c r="EKP3788" s="179"/>
      <c r="EKQ3788" s="179"/>
      <c r="EKR3788" s="179"/>
      <c r="EKS3788" s="179"/>
      <c r="EKT3788" s="179"/>
      <c r="EKU3788" s="179"/>
      <c r="EKV3788" s="179"/>
      <c r="EKW3788" s="179"/>
      <c r="EKX3788" s="179"/>
      <c r="EKY3788" s="179"/>
      <c r="EKZ3788" s="179"/>
      <c r="ELA3788" s="179"/>
      <c r="ELB3788" s="179"/>
      <c r="ELC3788" s="179"/>
      <c r="ELD3788" s="179"/>
      <c r="ELE3788" s="179"/>
      <c r="ELF3788" s="179"/>
      <c r="ELG3788" s="179"/>
      <c r="ELH3788" s="179"/>
      <c r="ELI3788" s="179"/>
      <c r="ELJ3788" s="179"/>
      <c r="ELK3788" s="179"/>
      <c r="ELL3788" s="179"/>
      <c r="ELM3788" s="179"/>
      <c r="ELN3788" s="179"/>
      <c r="ELO3788" s="179"/>
      <c r="ELP3788" s="179"/>
      <c r="ELQ3788" s="179"/>
      <c r="ELR3788" s="179"/>
      <c r="ELS3788" s="179"/>
      <c r="ELT3788" s="179"/>
      <c r="ELU3788" s="179"/>
      <c r="ELV3788" s="179"/>
      <c r="ELW3788" s="179"/>
      <c r="ELX3788" s="179"/>
      <c r="ELY3788" s="179"/>
      <c r="ELZ3788" s="179"/>
      <c r="EMA3788" s="179"/>
      <c r="EMB3788" s="179"/>
      <c r="EMC3788" s="179"/>
      <c r="EMD3788" s="179"/>
      <c r="EME3788" s="179"/>
      <c r="EMF3788" s="179"/>
      <c r="EMG3788" s="179"/>
      <c r="EMH3788" s="179"/>
      <c r="EMI3788" s="179"/>
      <c r="EMJ3788" s="179"/>
      <c r="EMK3788" s="179"/>
      <c r="EML3788" s="179"/>
      <c r="EMM3788" s="179"/>
      <c r="EMN3788" s="179"/>
      <c r="EMO3788" s="179"/>
      <c r="EMP3788" s="179"/>
      <c r="EMQ3788" s="179"/>
      <c r="EMR3788" s="179"/>
      <c r="EMS3788" s="179"/>
      <c r="EMT3788" s="179"/>
      <c r="EMU3788" s="179"/>
      <c r="EMV3788" s="179"/>
      <c r="EMW3788" s="179"/>
      <c r="EMX3788" s="179"/>
      <c r="EMY3788" s="179"/>
      <c r="EMZ3788" s="179"/>
      <c r="ENA3788" s="179"/>
      <c r="ENB3788" s="179"/>
      <c r="ENC3788" s="179"/>
      <c r="END3788" s="179"/>
      <c r="ENE3788" s="179"/>
      <c r="ENF3788" s="179"/>
      <c r="ENG3788" s="179"/>
      <c r="ENH3788" s="179"/>
      <c r="ENI3788" s="179"/>
      <c r="ENJ3788" s="179"/>
      <c r="ENK3788" s="179"/>
      <c r="ENL3788" s="179"/>
      <c r="ENM3788" s="179"/>
      <c r="ENN3788" s="179"/>
      <c r="ENO3788" s="179"/>
      <c r="ENP3788" s="179"/>
      <c r="ENQ3788" s="179"/>
      <c r="ENR3788" s="179"/>
      <c r="ENS3788" s="179"/>
      <c r="ENT3788" s="179"/>
      <c r="ENU3788" s="179"/>
      <c r="ENV3788" s="179"/>
      <c r="ENW3788" s="179"/>
      <c r="ENX3788" s="179"/>
      <c r="ENY3788" s="179"/>
      <c r="ENZ3788" s="179"/>
      <c r="EOA3788" s="179"/>
      <c r="EOB3788" s="179"/>
      <c r="EOC3788" s="179"/>
      <c r="EOD3788" s="179"/>
      <c r="EOE3788" s="179"/>
      <c r="EOF3788" s="179"/>
      <c r="EOG3788" s="179"/>
      <c r="EOH3788" s="179"/>
      <c r="EOI3788" s="179"/>
      <c r="EOJ3788" s="179"/>
      <c r="EOK3788" s="179"/>
      <c r="EOL3788" s="179"/>
      <c r="EOM3788" s="179"/>
      <c r="EON3788" s="179"/>
      <c r="EOO3788" s="179"/>
      <c r="EOP3788" s="179"/>
      <c r="EOQ3788" s="179"/>
      <c r="EOR3788" s="179"/>
      <c r="EOS3788" s="179"/>
      <c r="EOT3788" s="179"/>
      <c r="EOU3788" s="179"/>
      <c r="EOV3788" s="179"/>
      <c r="EOW3788" s="179"/>
      <c r="EOX3788" s="179"/>
      <c r="EOY3788" s="179"/>
      <c r="EOZ3788" s="179"/>
      <c r="EPA3788" s="179"/>
      <c r="EPB3788" s="179"/>
      <c r="EPC3788" s="179"/>
      <c r="EPD3788" s="179"/>
      <c r="EPE3788" s="179"/>
      <c r="EPF3788" s="179"/>
      <c r="EPG3788" s="179"/>
      <c r="EPH3788" s="179"/>
      <c r="EPI3788" s="179"/>
      <c r="EPJ3788" s="179"/>
      <c r="EPK3788" s="179"/>
      <c r="EPL3788" s="179"/>
      <c r="EPM3788" s="179"/>
      <c r="EPN3788" s="179"/>
      <c r="EPO3788" s="179"/>
      <c r="EPP3788" s="179"/>
      <c r="EPQ3788" s="179"/>
      <c r="EPR3788" s="179"/>
      <c r="EPS3788" s="179"/>
      <c r="EPT3788" s="179"/>
      <c r="EPU3788" s="179"/>
      <c r="EPV3788" s="179"/>
      <c r="EPW3788" s="179"/>
      <c r="EPX3788" s="179"/>
      <c r="EPY3788" s="179"/>
      <c r="EPZ3788" s="179"/>
      <c r="EQA3788" s="179"/>
      <c r="EQB3788" s="179"/>
      <c r="EQC3788" s="179"/>
      <c r="EQD3788" s="179"/>
      <c r="EQE3788" s="179"/>
      <c r="EQF3788" s="179"/>
      <c r="EQG3788" s="179"/>
      <c r="EQH3788" s="179"/>
      <c r="EQI3788" s="179"/>
      <c r="EQJ3788" s="179"/>
      <c r="EQK3788" s="179"/>
      <c r="EQL3788" s="179"/>
      <c r="EQM3788" s="179"/>
      <c r="EQN3788" s="179"/>
      <c r="EQO3788" s="179"/>
      <c r="EQP3788" s="179"/>
      <c r="EQQ3788" s="179"/>
      <c r="EQR3788" s="179"/>
      <c r="EQS3788" s="179"/>
      <c r="EQT3788" s="179"/>
      <c r="EQU3788" s="179"/>
      <c r="EQV3788" s="179"/>
      <c r="EQW3788" s="179"/>
      <c r="EQX3788" s="179"/>
      <c r="EQY3788" s="179"/>
      <c r="EQZ3788" s="179"/>
      <c r="ERA3788" s="179"/>
      <c r="ERB3788" s="179"/>
      <c r="ERC3788" s="179"/>
      <c r="ERD3788" s="179"/>
      <c r="ERE3788" s="179"/>
      <c r="ERF3788" s="179"/>
      <c r="ERG3788" s="179"/>
      <c r="ERH3788" s="179"/>
      <c r="ERI3788" s="179"/>
      <c r="ERJ3788" s="179"/>
      <c r="ERK3788" s="179"/>
      <c r="ERL3788" s="179"/>
      <c r="ERM3788" s="179"/>
      <c r="ERN3788" s="179"/>
      <c r="ERO3788" s="179"/>
      <c r="ERP3788" s="179"/>
      <c r="ERQ3788" s="179"/>
      <c r="ERR3788" s="179"/>
      <c r="ERS3788" s="179"/>
      <c r="ERT3788" s="179"/>
      <c r="ERU3788" s="179"/>
      <c r="ERV3788" s="179"/>
      <c r="ERW3788" s="179"/>
      <c r="ERX3788" s="179"/>
      <c r="ERY3788" s="179"/>
      <c r="ERZ3788" s="179"/>
      <c r="ESA3788" s="179"/>
      <c r="ESB3788" s="179"/>
      <c r="ESC3788" s="179"/>
      <c r="ESD3788" s="179"/>
      <c r="ESE3788" s="179"/>
      <c r="ESF3788" s="179"/>
      <c r="ESG3788" s="179"/>
      <c r="ESH3788" s="179"/>
      <c r="ESI3788" s="179"/>
      <c r="ESJ3788" s="179"/>
      <c r="ESK3788" s="179"/>
      <c r="ESL3788" s="179"/>
      <c r="ESM3788" s="179"/>
      <c r="ESN3788" s="179"/>
      <c r="ESO3788" s="179"/>
      <c r="ESP3788" s="179"/>
      <c r="ESQ3788" s="179"/>
      <c r="ESR3788" s="179"/>
      <c r="ESS3788" s="179"/>
      <c r="EST3788" s="179"/>
      <c r="ESU3788" s="179"/>
      <c r="ESV3788" s="179"/>
      <c r="ESW3788" s="179"/>
      <c r="ESX3788" s="179"/>
      <c r="ESY3788" s="179"/>
      <c r="ESZ3788" s="179"/>
      <c r="ETA3788" s="179"/>
      <c r="ETB3788" s="179"/>
      <c r="ETC3788" s="179"/>
      <c r="ETD3788" s="179"/>
      <c r="ETE3788" s="179"/>
      <c r="ETF3788" s="179"/>
      <c r="ETG3788" s="179"/>
      <c r="ETH3788" s="179"/>
      <c r="ETI3788" s="179"/>
      <c r="ETJ3788" s="179"/>
      <c r="ETK3788" s="179"/>
      <c r="ETL3788" s="179"/>
      <c r="ETM3788" s="179"/>
      <c r="ETN3788" s="179"/>
      <c r="ETO3788" s="179"/>
      <c r="ETP3788" s="179"/>
      <c r="ETQ3788" s="179"/>
      <c r="ETR3788" s="179"/>
      <c r="ETS3788" s="179"/>
      <c r="ETT3788" s="179"/>
      <c r="ETU3788" s="179"/>
      <c r="ETV3788" s="179"/>
      <c r="ETW3788" s="179"/>
      <c r="ETX3788" s="179"/>
      <c r="ETY3788" s="179"/>
      <c r="ETZ3788" s="179"/>
      <c r="EUA3788" s="179"/>
      <c r="EUB3788" s="179"/>
      <c r="EUC3788" s="179"/>
      <c r="EUD3788" s="179"/>
      <c r="EUE3788" s="179"/>
      <c r="EUF3788" s="179"/>
      <c r="EUG3788" s="179"/>
      <c r="EUH3788" s="179"/>
      <c r="EUI3788" s="179"/>
      <c r="EUJ3788" s="179"/>
      <c r="EUK3788" s="179"/>
      <c r="EUL3788" s="179"/>
      <c r="EUM3788" s="179"/>
      <c r="EUN3788" s="179"/>
      <c r="EUO3788" s="179"/>
      <c r="EUP3788" s="179"/>
      <c r="EUQ3788" s="179"/>
      <c r="EUR3788" s="179"/>
      <c r="EUS3788" s="179"/>
      <c r="EUT3788" s="179"/>
      <c r="EUU3788" s="179"/>
      <c r="EUV3788" s="179"/>
      <c r="EUW3788" s="179"/>
      <c r="EUX3788" s="179"/>
      <c r="EUY3788" s="179"/>
      <c r="EUZ3788" s="179"/>
      <c r="EVA3788" s="179"/>
      <c r="EVB3788" s="179"/>
      <c r="EVC3788" s="179"/>
      <c r="EVD3788" s="179"/>
      <c r="EVE3788" s="179"/>
      <c r="EVF3788" s="179"/>
      <c r="EVG3788" s="179"/>
      <c r="EVH3788" s="179"/>
      <c r="EVI3788" s="179"/>
      <c r="EVJ3788" s="179"/>
      <c r="EVK3788" s="179"/>
      <c r="EVL3788" s="179"/>
      <c r="EVM3788" s="179"/>
      <c r="EVN3788" s="179"/>
      <c r="EVO3788" s="179"/>
      <c r="EVP3788" s="179"/>
      <c r="EVQ3788" s="179"/>
      <c r="EVR3788" s="179"/>
      <c r="EVS3788" s="179"/>
      <c r="EVT3788" s="179"/>
      <c r="EVU3788" s="179"/>
      <c r="EVV3788" s="179"/>
      <c r="EVW3788" s="179"/>
      <c r="EVX3788" s="179"/>
      <c r="EVY3788" s="179"/>
      <c r="EVZ3788" s="179"/>
      <c r="EWA3788" s="179"/>
      <c r="EWB3788" s="179"/>
      <c r="EWC3788" s="179"/>
      <c r="EWD3788" s="179"/>
      <c r="EWE3788" s="179"/>
      <c r="EWF3788" s="179"/>
      <c r="EWG3788" s="179"/>
      <c r="EWH3788" s="179"/>
      <c r="EWI3788" s="179"/>
      <c r="EWJ3788" s="179"/>
      <c r="EWK3788" s="179"/>
      <c r="EWL3788" s="179"/>
      <c r="EWM3788" s="179"/>
      <c r="EWN3788" s="179"/>
      <c r="EWO3788" s="179"/>
      <c r="EWP3788" s="179"/>
      <c r="EWQ3788" s="179"/>
      <c r="EWR3788" s="179"/>
      <c r="EWS3788" s="179"/>
      <c r="EWT3788" s="179"/>
      <c r="EWU3788" s="179"/>
      <c r="EWV3788" s="179"/>
      <c r="EWW3788" s="179"/>
      <c r="EWX3788" s="179"/>
      <c r="EWY3788" s="179"/>
      <c r="EWZ3788" s="179"/>
      <c r="EXA3788" s="179"/>
      <c r="EXB3788" s="179"/>
      <c r="EXC3788" s="179"/>
      <c r="EXD3788" s="179"/>
      <c r="EXE3788" s="179"/>
      <c r="EXF3788" s="179"/>
      <c r="EXG3788" s="179"/>
      <c r="EXH3788" s="179"/>
      <c r="EXI3788" s="179"/>
      <c r="EXJ3788" s="179"/>
      <c r="EXK3788" s="179"/>
      <c r="EXL3788" s="179"/>
      <c r="EXM3788" s="179"/>
      <c r="EXN3788" s="179"/>
      <c r="EXO3788" s="179"/>
      <c r="EXP3788" s="179"/>
      <c r="EXQ3788" s="179"/>
      <c r="EXR3788" s="179"/>
      <c r="EXS3788" s="179"/>
      <c r="EXT3788" s="179"/>
      <c r="EXU3788" s="179"/>
      <c r="EXV3788" s="179"/>
      <c r="EXW3788" s="179"/>
      <c r="EXX3788" s="179"/>
      <c r="EXY3788" s="179"/>
      <c r="EXZ3788" s="179"/>
      <c r="EYA3788" s="179"/>
      <c r="EYB3788" s="179"/>
      <c r="EYC3788" s="179"/>
      <c r="EYD3788" s="179"/>
      <c r="EYE3788" s="179"/>
      <c r="EYF3788" s="179"/>
      <c r="EYG3788" s="179"/>
      <c r="EYH3788" s="179"/>
      <c r="EYI3788" s="179"/>
      <c r="EYJ3788" s="179"/>
      <c r="EYK3788" s="179"/>
      <c r="EYL3788" s="179"/>
      <c r="EYM3788" s="179"/>
      <c r="EYN3788" s="179"/>
      <c r="EYO3788" s="179"/>
      <c r="EYP3788" s="179"/>
      <c r="EYQ3788" s="179"/>
      <c r="EYR3788" s="179"/>
      <c r="EYS3788" s="179"/>
      <c r="EYT3788" s="179"/>
      <c r="EYU3788" s="179"/>
      <c r="EYV3788" s="179"/>
      <c r="EYW3788" s="179"/>
      <c r="EYX3788" s="179"/>
      <c r="EYY3788" s="179"/>
      <c r="EYZ3788" s="179"/>
      <c r="EZA3788" s="179"/>
      <c r="EZB3788" s="179"/>
      <c r="EZC3788" s="179"/>
      <c r="EZD3788" s="179"/>
      <c r="EZE3788" s="179"/>
      <c r="EZF3788" s="179"/>
      <c r="EZG3788" s="179"/>
      <c r="EZH3788" s="179"/>
      <c r="EZI3788" s="179"/>
      <c r="EZJ3788" s="179"/>
      <c r="EZK3788" s="179"/>
      <c r="EZL3788" s="179"/>
      <c r="EZM3788" s="179"/>
      <c r="EZN3788" s="179"/>
      <c r="EZO3788" s="179"/>
      <c r="EZP3788" s="179"/>
      <c r="EZQ3788" s="179"/>
      <c r="EZR3788" s="179"/>
      <c r="EZS3788" s="179"/>
      <c r="EZT3788" s="179"/>
      <c r="EZU3788" s="179"/>
      <c r="EZV3788" s="179"/>
      <c r="EZW3788" s="179"/>
      <c r="EZX3788" s="179"/>
      <c r="EZY3788" s="179"/>
      <c r="EZZ3788" s="179"/>
      <c r="FAA3788" s="179"/>
      <c r="FAB3788" s="179"/>
      <c r="FAC3788" s="179"/>
      <c r="FAD3788" s="179"/>
      <c r="FAE3788" s="179"/>
      <c r="FAF3788" s="179"/>
      <c r="FAG3788" s="179"/>
      <c r="FAH3788" s="179"/>
      <c r="FAI3788" s="179"/>
      <c r="FAJ3788" s="179"/>
      <c r="FAK3788" s="179"/>
      <c r="FAL3788" s="179"/>
      <c r="FAM3788" s="179"/>
      <c r="FAN3788" s="179"/>
      <c r="FAO3788" s="179"/>
      <c r="FAP3788" s="179"/>
      <c r="FAQ3788" s="179"/>
      <c r="FAR3788" s="179"/>
      <c r="FAS3788" s="179"/>
      <c r="FAT3788" s="179"/>
      <c r="FAU3788" s="179"/>
      <c r="FAV3788" s="179"/>
      <c r="FAW3788" s="179"/>
      <c r="FAX3788" s="179"/>
      <c r="FAY3788" s="179"/>
      <c r="FAZ3788" s="179"/>
      <c r="FBA3788" s="179"/>
      <c r="FBB3788" s="179"/>
      <c r="FBC3788" s="179"/>
      <c r="FBD3788" s="179"/>
      <c r="FBE3788" s="179"/>
      <c r="FBF3788" s="179"/>
      <c r="FBG3788" s="179"/>
      <c r="FBH3788" s="179"/>
      <c r="FBI3788" s="179"/>
      <c r="FBJ3788" s="179"/>
      <c r="FBK3788" s="179"/>
      <c r="FBL3788" s="179"/>
      <c r="FBM3788" s="179"/>
      <c r="FBN3788" s="179"/>
      <c r="FBO3788" s="179"/>
      <c r="FBP3788" s="179"/>
      <c r="FBQ3788" s="179"/>
      <c r="FBR3788" s="179"/>
      <c r="FBS3788" s="179"/>
      <c r="FBT3788" s="179"/>
      <c r="FBU3788" s="179"/>
      <c r="FBV3788" s="179"/>
      <c r="FBW3788" s="179"/>
      <c r="FBX3788" s="179"/>
      <c r="FBY3788" s="179"/>
      <c r="FBZ3788" s="179"/>
      <c r="FCA3788" s="179"/>
      <c r="FCB3788" s="179"/>
      <c r="FCC3788" s="179"/>
      <c r="FCD3788" s="179"/>
      <c r="FCE3788" s="179"/>
      <c r="FCF3788" s="179"/>
      <c r="FCG3788" s="179"/>
      <c r="FCH3788" s="179"/>
      <c r="FCI3788" s="179"/>
      <c r="FCJ3788" s="179"/>
      <c r="FCK3788" s="179"/>
      <c r="FCL3788" s="179"/>
      <c r="FCM3788" s="179"/>
      <c r="FCN3788" s="179"/>
      <c r="FCO3788" s="179"/>
      <c r="FCP3788" s="179"/>
      <c r="FCQ3788" s="179"/>
      <c r="FCR3788" s="179"/>
      <c r="FCS3788" s="179"/>
      <c r="FCT3788" s="179"/>
      <c r="FCU3788" s="179"/>
      <c r="FCV3788" s="179"/>
      <c r="FCW3788" s="179"/>
      <c r="FCX3788" s="179"/>
      <c r="FCY3788" s="179"/>
      <c r="FCZ3788" s="179"/>
      <c r="FDA3788" s="179"/>
      <c r="FDB3788" s="179"/>
      <c r="FDC3788" s="179"/>
      <c r="FDD3788" s="179"/>
      <c r="FDE3788" s="179"/>
      <c r="FDF3788" s="179"/>
      <c r="FDG3788" s="179"/>
      <c r="FDH3788" s="179"/>
      <c r="FDI3788" s="179"/>
      <c r="FDJ3788" s="179"/>
      <c r="FDK3788" s="179"/>
      <c r="FDL3788" s="179"/>
      <c r="FDM3788" s="179"/>
      <c r="FDN3788" s="179"/>
      <c r="FDO3788" s="179"/>
      <c r="FDP3788" s="179"/>
      <c r="FDQ3788" s="179"/>
      <c r="FDR3788" s="179"/>
      <c r="FDS3788" s="179"/>
      <c r="FDT3788" s="179"/>
      <c r="FDU3788" s="179"/>
      <c r="FDV3788" s="179"/>
      <c r="FDW3788" s="179"/>
      <c r="FDX3788" s="179"/>
      <c r="FDY3788" s="179"/>
      <c r="FDZ3788" s="179"/>
      <c r="FEA3788" s="179"/>
      <c r="FEB3788" s="179"/>
      <c r="FEC3788" s="179"/>
      <c r="FED3788" s="179"/>
      <c r="FEE3788" s="179"/>
      <c r="FEF3788" s="179"/>
      <c r="FEG3788" s="179"/>
      <c r="FEH3788" s="179"/>
      <c r="FEI3788" s="179"/>
      <c r="FEJ3788" s="179"/>
      <c r="FEK3788" s="179"/>
      <c r="FEL3788" s="179"/>
      <c r="FEM3788" s="179"/>
      <c r="FEN3788" s="179"/>
      <c r="FEO3788" s="179"/>
      <c r="FEP3788" s="179"/>
      <c r="FEQ3788" s="179"/>
      <c r="FER3788" s="179"/>
      <c r="FES3788" s="179"/>
      <c r="FET3788" s="179"/>
      <c r="FEU3788" s="179"/>
      <c r="FEV3788" s="179"/>
      <c r="FEW3788" s="179"/>
      <c r="FEX3788" s="179"/>
      <c r="FEY3788" s="179"/>
      <c r="FEZ3788" s="179"/>
      <c r="FFA3788" s="179"/>
      <c r="FFB3788" s="179"/>
      <c r="FFC3788" s="179"/>
      <c r="FFD3788" s="179"/>
      <c r="FFE3788" s="179"/>
      <c r="FFF3788" s="179"/>
      <c r="FFG3788" s="179"/>
      <c r="FFH3788" s="179"/>
      <c r="FFI3788" s="179"/>
      <c r="FFJ3788" s="179"/>
      <c r="FFK3788" s="179"/>
      <c r="FFL3788" s="179"/>
      <c r="FFM3788" s="179"/>
      <c r="FFN3788" s="179"/>
      <c r="FFO3788" s="179"/>
      <c r="FFP3788" s="179"/>
      <c r="FFQ3788" s="179"/>
      <c r="FFR3788" s="179"/>
      <c r="FFS3788" s="179"/>
      <c r="FFT3788" s="179"/>
      <c r="FFU3788" s="179"/>
      <c r="FFV3788" s="179"/>
      <c r="FFW3788" s="179"/>
      <c r="FFX3788" s="179"/>
      <c r="FFY3788" s="179"/>
      <c r="FFZ3788" s="179"/>
      <c r="FGA3788" s="179"/>
      <c r="FGB3788" s="179"/>
      <c r="FGC3788" s="179"/>
      <c r="FGD3788" s="179"/>
      <c r="FGE3788" s="179"/>
      <c r="FGF3788" s="179"/>
      <c r="FGG3788" s="179"/>
      <c r="FGH3788" s="179"/>
      <c r="FGI3788" s="179"/>
      <c r="FGJ3788" s="179"/>
      <c r="FGK3788" s="179"/>
      <c r="FGL3788" s="179"/>
      <c r="FGM3788" s="179"/>
      <c r="FGN3788" s="179"/>
      <c r="FGO3788" s="179"/>
      <c r="FGP3788" s="179"/>
      <c r="FGQ3788" s="179"/>
      <c r="FGR3788" s="179"/>
      <c r="FGS3788" s="179"/>
      <c r="FGT3788" s="179"/>
      <c r="FGU3788" s="179"/>
      <c r="FGV3788" s="179"/>
      <c r="FGW3788" s="179"/>
      <c r="FGX3788" s="179"/>
      <c r="FGY3788" s="179"/>
      <c r="FGZ3788" s="179"/>
      <c r="FHA3788" s="179"/>
      <c r="FHB3788" s="179"/>
      <c r="FHC3788" s="179"/>
      <c r="FHD3788" s="179"/>
      <c r="FHE3788" s="179"/>
      <c r="FHF3788" s="179"/>
      <c r="FHG3788" s="179"/>
      <c r="FHH3788" s="179"/>
      <c r="FHI3788" s="179"/>
      <c r="FHJ3788" s="179"/>
      <c r="FHK3788" s="179"/>
      <c r="FHL3788" s="179"/>
      <c r="FHM3788" s="179"/>
      <c r="FHN3788" s="179"/>
      <c r="FHO3788" s="179"/>
      <c r="FHP3788" s="179"/>
      <c r="FHQ3788" s="179"/>
      <c r="FHR3788" s="179"/>
      <c r="FHS3788" s="179"/>
      <c r="FHT3788" s="179"/>
      <c r="FHU3788" s="179"/>
      <c r="FHV3788" s="179"/>
      <c r="FHW3788" s="179"/>
      <c r="FHX3788" s="179"/>
      <c r="FHY3788" s="179"/>
      <c r="FHZ3788" s="179"/>
      <c r="FIA3788" s="179"/>
      <c r="FIB3788" s="179"/>
      <c r="FIC3788" s="179"/>
      <c r="FID3788" s="179"/>
      <c r="FIE3788" s="179"/>
      <c r="FIF3788" s="179"/>
      <c r="FIG3788" s="179"/>
      <c r="FIH3788" s="179"/>
      <c r="FII3788" s="179"/>
      <c r="FIJ3788" s="179"/>
      <c r="FIK3788" s="179"/>
      <c r="FIL3788" s="179"/>
      <c r="FIM3788" s="179"/>
      <c r="FIN3788" s="179"/>
      <c r="FIO3788" s="179"/>
      <c r="FIP3788" s="179"/>
      <c r="FIQ3788" s="179"/>
      <c r="FIR3788" s="179"/>
      <c r="FIS3788" s="179"/>
      <c r="FIT3788" s="179"/>
      <c r="FIU3788" s="179"/>
      <c r="FIV3788" s="179"/>
      <c r="FIW3788" s="179"/>
      <c r="FIX3788" s="179"/>
      <c r="FIY3788" s="179"/>
      <c r="FIZ3788" s="179"/>
      <c r="FJA3788" s="179"/>
      <c r="FJB3788" s="179"/>
      <c r="FJC3788" s="179"/>
      <c r="FJD3788" s="179"/>
      <c r="FJE3788" s="179"/>
      <c r="FJF3788" s="179"/>
      <c r="FJG3788" s="179"/>
      <c r="FJH3788" s="179"/>
      <c r="FJI3788" s="179"/>
      <c r="FJJ3788" s="179"/>
      <c r="FJK3788" s="179"/>
      <c r="FJL3788" s="179"/>
      <c r="FJM3788" s="179"/>
      <c r="FJN3788" s="179"/>
      <c r="FJO3788" s="179"/>
      <c r="FJP3788" s="179"/>
      <c r="FJQ3788" s="179"/>
      <c r="FJR3788" s="179"/>
      <c r="FJS3788" s="179"/>
      <c r="FJT3788" s="179"/>
      <c r="FJU3788" s="179"/>
      <c r="FJV3788" s="179"/>
      <c r="FJW3788" s="179"/>
      <c r="FJX3788" s="179"/>
      <c r="FJY3788" s="179"/>
      <c r="FJZ3788" s="179"/>
      <c r="FKA3788" s="179"/>
      <c r="FKB3788" s="179"/>
      <c r="FKC3788" s="179"/>
      <c r="FKD3788" s="179"/>
      <c r="FKE3788" s="179"/>
      <c r="FKF3788" s="179"/>
      <c r="FKG3788" s="179"/>
      <c r="FKH3788" s="179"/>
      <c r="FKI3788" s="179"/>
      <c r="FKJ3788" s="179"/>
      <c r="FKK3788" s="179"/>
      <c r="FKL3788" s="179"/>
      <c r="FKM3788" s="179"/>
      <c r="FKN3788" s="179"/>
      <c r="FKO3788" s="179"/>
      <c r="FKP3788" s="179"/>
      <c r="FKQ3788" s="179"/>
      <c r="FKR3788" s="179"/>
      <c r="FKS3788" s="179"/>
      <c r="FKT3788" s="179"/>
      <c r="FKU3788" s="179"/>
      <c r="FKV3788" s="179"/>
      <c r="FKW3788" s="179"/>
      <c r="FKX3788" s="179"/>
      <c r="FKY3788" s="179"/>
      <c r="FKZ3788" s="179"/>
      <c r="FLA3788" s="179"/>
      <c r="FLB3788" s="179"/>
      <c r="FLC3788" s="179"/>
      <c r="FLD3788" s="179"/>
      <c r="FLE3788" s="179"/>
      <c r="FLF3788" s="179"/>
      <c r="FLG3788" s="179"/>
      <c r="FLH3788" s="179"/>
      <c r="FLI3788" s="179"/>
      <c r="FLJ3788" s="179"/>
      <c r="FLK3788" s="179"/>
      <c r="FLL3788" s="179"/>
      <c r="FLM3788" s="179"/>
      <c r="FLN3788" s="179"/>
      <c r="FLO3788" s="179"/>
      <c r="FLP3788" s="179"/>
      <c r="FLQ3788" s="179"/>
      <c r="FLR3788" s="179"/>
      <c r="FLS3788" s="179"/>
      <c r="FLT3788" s="179"/>
      <c r="FLU3788" s="179"/>
      <c r="FLV3788" s="179"/>
      <c r="FLW3788" s="179"/>
      <c r="FLX3788" s="179"/>
      <c r="FLY3788" s="179"/>
      <c r="FLZ3788" s="179"/>
      <c r="FMA3788" s="179"/>
      <c r="FMB3788" s="179"/>
      <c r="FMC3788" s="179"/>
      <c r="FMD3788" s="179"/>
      <c r="FME3788" s="179"/>
      <c r="FMF3788" s="179"/>
      <c r="FMG3788" s="179"/>
      <c r="FMH3788" s="179"/>
      <c r="FMI3788" s="179"/>
      <c r="FMJ3788" s="179"/>
      <c r="FMK3788" s="179"/>
      <c r="FML3788" s="179"/>
      <c r="FMM3788" s="179"/>
      <c r="FMN3788" s="179"/>
      <c r="FMO3788" s="179"/>
      <c r="FMP3788" s="179"/>
      <c r="FMQ3788" s="179"/>
      <c r="FMR3788" s="179"/>
      <c r="FMS3788" s="179"/>
      <c r="FMT3788" s="179"/>
      <c r="FMU3788" s="179"/>
      <c r="FMV3788" s="179"/>
      <c r="FMW3788" s="179"/>
      <c r="FMX3788" s="179"/>
      <c r="FMY3788" s="179"/>
      <c r="FMZ3788" s="179"/>
      <c r="FNA3788" s="179"/>
      <c r="FNB3788" s="179"/>
      <c r="FNC3788" s="179"/>
      <c r="FND3788" s="179"/>
      <c r="FNE3788" s="179"/>
      <c r="FNF3788" s="179"/>
      <c r="FNG3788" s="179"/>
      <c r="FNH3788" s="179"/>
      <c r="FNI3788" s="179"/>
      <c r="FNJ3788" s="179"/>
      <c r="FNK3788" s="179"/>
      <c r="FNL3788" s="179"/>
      <c r="FNM3788" s="179"/>
      <c r="FNN3788" s="179"/>
      <c r="FNO3788" s="179"/>
      <c r="FNP3788" s="179"/>
      <c r="FNQ3788" s="179"/>
      <c r="FNR3788" s="179"/>
      <c r="FNS3788" s="179"/>
      <c r="FNT3788" s="179"/>
      <c r="FNU3788" s="179"/>
      <c r="FNV3788" s="179"/>
      <c r="FNW3788" s="179"/>
      <c r="FNX3788" s="179"/>
      <c r="FNY3788" s="179"/>
      <c r="FNZ3788" s="179"/>
      <c r="FOA3788" s="179"/>
      <c r="FOB3788" s="179"/>
      <c r="FOC3788" s="179"/>
      <c r="FOD3788" s="179"/>
      <c r="FOE3788" s="179"/>
      <c r="FOF3788" s="179"/>
      <c r="FOG3788" s="179"/>
      <c r="FOH3788" s="179"/>
      <c r="FOI3788" s="179"/>
      <c r="FOJ3788" s="179"/>
      <c r="FOK3788" s="179"/>
      <c r="FOL3788" s="179"/>
      <c r="FOM3788" s="179"/>
      <c r="FON3788" s="179"/>
      <c r="FOO3788" s="179"/>
      <c r="FOP3788" s="179"/>
      <c r="FOQ3788" s="179"/>
      <c r="FOR3788" s="179"/>
      <c r="FOS3788" s="179"/>
      <c r="FOT3788" s="179"/>
      <c r="FOU3788" s="179"/>
      <c r="FOV3788" s="179"/>
      <c r="FOW3788" s="179"/>
      <c r="FOX3788" s="179"/>
      <c r="FOY3788" s="179"/>
      <c r="FOZ3788" s="179"/>
      <c r="FPA3788" s="179"/>
      <c r="FPB3788" s="179"/>
      <c r="FPC3788" s="179"/>
      <c r="FPD3788" s="179"/>
      <c r="FPE3788" s="179"/>
      <c r="FPF3788" s="179"/>
      <c r="FPG3788" s="179"/>
      <c r="FPH3788" s="179"/>
      <c r="FPI3788" s="179"/>
      <c r="FPJ3788" s="179"/>
      <c r="FPK3788" s="179"/>
      <c r="FPL3788" s="179"/>
      <c r="FPM3788" s="179"/>
      <c r="FPN3788" s="179"/>
      <c r="FPO3788" s="179"/>
      <c r="FPP3788" s="179"/>
      <c r="FPQ3788" s="179"/>
      <c r="FPR3788" s="179"/>
      <c r="FPS3788" s="179"/>
      <c r="FPT3788" s="179"/>
      <c r="FPU3788" s="179"/>
      <c r="FPV3788" s="179"/>
      <c r="FPW3788" s="179"/>
      <c r="FPX3788" s="179"/>
      <c r="FPY3788" s="179"/>
      <c r="FPZ3788" s="179"/>
      <c r="FQA3788" s="179"/>
      <c r="FQB3788" s="179"/>
      <c r="FQC3788" s="179"/>
      <c r="FQD3788" s="179"/>
      <c r="FQE3788" s="179"/>
      <c r="FQF3788" s="179"/>
      <c r="FQG3788" s="179"/>
      <c r="FQH3788" s="179"/>
      <c r="FQI3788" s="179"/>
      <c r="FQJ3788" s="179"/>
      <c r="FQK3788" s="179"/>
      <c r="FQL3788" s="179"/>
      <c r="FQM3788" s="179"/>
      <c r="FQN3788" s="179"/>
      <c r="FQO3788" s="179"/>
      <c r="FQP3788" s="179"/>
      <c r="FQQ3788" s="179"/>
      <c r="FQR3788" s="179"/>
      <c r="FQS3788" s="179"/>
      <c r="FQT3788" s="179"/>
      <c r="FQU3788" s="179"/>
      <c r="FQV3788" s="179"/>
      <c r="FQW3788" s="179"/>
      <c r="FQX3788" s="179"/>
      <c r="FQY3788" s="179"/>
      <c r="FQZ3788" s="179"/>
      <c r="FRA3788" s="179"/>
      <c r="FRB3788" s="179"/>
      <c r="FRC3788" s="179"/>
      <c r="FRD3788" s="179"/>
      <c r="FRE3788" s="179"/>
      <c r="FRF3788" s="179"/>
      <c r="FRG3788" s="179"/>
      <c r="FRH3788" s="179"/>
      <c r="FRI3788" s="179"/>
      <c r="FRJ3788" s="179"/>
      <c r="FRK3788" s="179"/>
      <c r="FRL3788" s="179"/>
      <c r="FRM3788" s="179"/>
      <c r="FRN3788" s="179"/>
      <c r="FRO3788" s="179"/>
      <c r="FRP3788" s="179"/>
      <c r="FRQ3788" s="179"/>
      <c r="FRR3788" s="179"/>
      <c r="FRS3788" s="179"/>
      <c r="FRT3788" s="179"/>
      <c r="FRU3788" s="179"/>
      <c r="FRV3788" s="179"/>
      <c r="FRW3788" s="179"/>
      <c r="FRX3788" s="179"/>
      <c r="FRY3788" s="179"/>
      <c r="FRZ3788" s="179"/>
      <c r="FSA3788" s="179"/>
      <c r="FSB3788" s="179"/>
      <c r="FSC3788" s="179"/>
      <c r="FSD3788" s="179"/>
      <c r="FSE3788" s="179"/>
      <c r="FSF3788" s="179"/>
      <c r="FSG3788" s="179"/>
      <c r="FSH3788" s="179"/>
      <c r="FSI3788" s="179"/>
      <c r="FSJ3788" s="179"/>
      <c r="FSK3788" s="179"/>
      <c r="FSL3788" s="179"/>
      <c r="FSM3788" s="179"/>
      <c r="FSN3788" s="179"/>
      <c r="FSO3788" s="179"/>
      <c r="FSP3788" s="179"/>
      <c r="FSQ3788" s="179"/>
      <c r="FSR3788" s="179"/>
      <c r="FSS3788" s="179"/>
      <c r="FST3788" s="179"/>
      <c r="FSU3788" s="179"/>
      <c r="FSV3788" s="179"/>
      <c r="FSW3788" s="179"/>
      <c r="FSX3788" s="179"/>
      <c r="FSY3788" s="179"/>
      <c r="FSZ3788" s="179"/>
      <c r="FTA3788" s="179"/>
      <c r="FTB3788" s="179"/>
      <c r="FTC3788" s="179"/>
      <c r="FTD3788" s="179"/>
      <c r="FTE3788" s="179"/>
      <c r="FTF3788" s="179"/>
      <c r="FTG3788" s="179"/>
      <c r="FTH3788" s="179"/>
      <c r="FTI3788" s="179"/>
      <c r="FTJ3788" s="179"/>
      <c r="FTK3788" s="179"/>
      <c r="FTL3788" s="179"/>
      <c r="FTM3788" s="179"/>
      <c r="FTN3788" s="179"/>
      <c r="FTO3788" s="179"/>
      <c r="FTP3788" s="179"/>
      <c r="FTQ3788" s="179"/>
      <c r="FTR3788" s="179"/>
      <c r="FTS3788" s="179"/>
      <c r="FTT3788" s="179"/>
      <c r="FTU3788" s="179"/>
      <c r="FTV3788" s="179"/>
      <c r="FTW3788" s="179"/>
      <c r="FTX3788" s="179"/>
      <c r="FTY3788" s="179"/>
      <c r="FTZ3788" s="179"/>
      <c r="FUA3788" s="179"/>
      <c r="FUB3788" s="179"/>
      <c r="FUC3788" s="179"/>
      <c r="FUD3788" s="179"/>
      <c r="FUE3788" s="179"/>
      <c r="FUF3788" s="179"/>
      <c r="FUG3788" s="179"/>
      <c r="FUH3788" s="179"/>
      <c r="FUI3788" s="179"/>
      <c r="FUJ3788" s="179"/>
      <c r="FUK3788" s="179"/>
      <c r="FUL3788" s="179"/>
      <c r="FUM3788" s="179"/>
      <c r="FUN3788" s="179"/>
      <c r="FUO3788" s="179"/>
      <c r="FUP3788" s="179"/>
      <c r="FUQ3788" s="179"/>
      <c r="FUR3788" s="179"/>
      <c r="FUS3788" s="179"/>
      <c r="FUT3788" s="179"/>
      <c r="FUU3788" s="179"/>
      <c r="FUV3788" s="179"/>
      <c r="FUW3788" s="179"/>
      <c r="FUX3788" s="179"/>
      <c r="FUY3788" s="179"/>
      <c r="FUZ3788" s="179"/>
      <c r="FVA3788" s="179"/>
      <c r="FVB3788" s="179"/>
      <c r="FVC3788" s="179"/>
      <c r="FVD3788" s="179"/>
      <c r="FVE3788" s="179"/>
      <c r="FVF3788" s="179"/>
      <c r="FVG3788" s="179"/>
      <c r="FVH3788" s="179"/>
      <c r="FVI3788" s="179"/>
      <c r="FVJ3788" s="179"/>
      <c r="FVK3788" s="179"/>
      <c r="FVL3788" s="179"/>
      <c r="FVM3788" s="179"/>
      <c r="FVN3788" s="179"/>
      <c r="FVO3788" s="179"/>
      <c r="FVP3788" s="179"/>
      <c r="FVQ3788" s="179"/>
      <c r="FVR3788" s="179"/>
      <c r="FVS3788" s="179"/>
      <c r="FVT3788" s="179"/>
      <c r="FVU3788" s="179"/>
      <c r="FVV3788" s="179"/>
      <c r="FVW3788" s="179"/>
      <c r="FVX3788" s="179"/>
      <c r="FVY3788" s="179"/>
      <c r="FVZ3788" s="179"/>
      <c r="FWA3788" s="179"/>
      <c r="FWB3788" s="179"/>
      <c r="FWC3788" s="179"/>
      <c r="FWD3788" s="179"/>
      <c r="FWE3788" s="179"/>
      <c r="FWF3788" s="179"/>
      <c r="FWG3788" s="179"/>
      <c r="FWH3788" s="179"/>
      <c r="FWI3788" s="179"/>
      <c r="FWJ3788" s="179"/>
      <c r="FWK3788" s="179"/>
      <c r="FWL3788" s="179"/>
      <c r="FWM3788" s="179"/>
      <c r="FWN3788" s="179"/>
      <c r="FWO3788" s="179"/>
      <c r="FWP3788" s="179"/>
      <c r="FWQ3788" s="179"/>
      <c r="FWR3788" s="179"/>
      <c r="FWS3788" s="179"/>
      <c r="FWT3788" s="179"/>
      <c r="FWU3788" s="179"/>
      <c r="FWV3788" s="179"/>
      <c r="FWW3788" s="179"/>
      <c r="FWX3788" s="179"/>
      <c r="FWY3788" s="179"/>
      <c r="FWZ3788" s="179"/>
      <c r="FXA3788" s="179"/>
      <c r="FXB3788" s="179"/>
      <c r="FXC3788" s="179"/>
      <c r="FXD3788" s="179"/>
      <c r="FXE3788" s="179"/>
      <c r="FXF3788" s="179"/>
      <c r="FXG3788" s="179"/>
      <c r="FXH3788" s="179"/>
      <c r="FXI3788" s="179"/>
      <c r="FXJ3788" s="179"/>
      <c r="FXK3788" s="179"/>
      <c r="FXL3788" s="179"/>
      <c r="FXM3788" s="179"/>
      <c r="FXN3788" s="179"/>
      <c r="FXO3788" s="179"/>
      <c r="FXP3788" s="179"/>
      <c r="FXQ3788" s="179"/>
      <c r="FXR3788" s="179"/>
      <c r="FXS3788" s="179"/>
      <c r="FXT3788" s="179"/>
      <c r="FXU3788" s="179"/>
      <c r="FXV3788" s="179"/>
      <c r="FXW3788" s="179"/>
      <c r="FXX3788" s="179"/>
      <c r="FXY3788" s="179"/>
      <c r="FXZ3788" s="179"/>
      <c r="FYA3788" s="179"/>
      <c r="FYB3788" s="179"/>
      <c r="FYC3788" s="179"/>
      <c r="FYD3788" s="179"/>
      <c r="FYE3788" s="179"/>
      <c r="FYF3788" s="179"/>
      <c r="FYG3788" s="179"/>
      <c r="FYH3788" s="179"/>
      <c r="FYI3788" s="179"/>
      <c r="FYJ3788" s="179"/>
      <c r="FYK3788" s="179"/>
      <c r="FYL3788" s="179"/>
      <c r="FYM3788" s="179"/>
      <c r="FYN3788" s="179"/>
      <c r="FYO3788" s="179"/>
      <c r="FYP3788" s="179"/>
      <c r="FYQ3788" s="179"/>
      <c r="FYR3788" s="179"/>
      <c r="FYS3788" s="179"/>
      <c r="FYT3788" s="179"/>
      <c r="FYU3788" s="179"/>
      <c r="FYV3788" s="179"/>
      <c r="FYW3788" s="179"/>
      <c r="FYX3788" s="179"/>
      <c r="FYY3788" s="179"/>
      <c r="FYZ3788" s="179"/>
      <c r="FZA3788" s="179"/>
      <c r="FZB3788" s="179"/>
      <c r="FZC3788" s="179"/>
      <c r="FZD3788" s="179"/>
      <c r="FZE3788" s="179"/>
      <c r="FZF3788" s="179"/>
      <c r="FZG3788" s="179"/>
      <c r="FZH3788" s="179"/>
      <c r="FZI3788" s="179"/>
      <c r="FZJ3788" s="179"/>
      <c r="FZK3788" s="179"/>
      <c r="FZL3788" s="179"/>
      <c r="FZM3788" s="179"/>
      <c r="FZN3788" s="179"/>
      <c r="FZO3788" s="179"/>
      <c r="FZP3788" s="179"/>
      <c r="FZQ3788" s="179"/>
      <c r="FZR3788" s="179"/>
      <c r="FZS3788" s="179"/>
      <c r="FZT3788" s="179"/>
      <c r="FZU3788" s="179"/>
      <c r="FZV3788" s="179"/>
      <c r="FZW3788" s="179"/>
      <c r="FZX3788" s="179"/>
      <c r="FZY3788" s="179"/>
      <c r="FZZ3788" s="179"/>
      <c r="GAA3788" s="179"/>
      <c r="GAB3788" s="179"/>
      <c r="GAC3788" s="179"/>
      <c r="GAD3788" s="179"/>
      <c r="GAE3788" s="179"/>
      <c r="GAF3788" s="179"/>
      <c r="GAG3788" s="179"/>
      <c r="GAH3788" s="179"/>
      <c r="GAI3788" s="179"/>
      <c r="GAJ3788" s="179"/>
      <c r="GAK3788" s="179"/>
      <c r="GAL3788" s="179"/>
      <c r="GAM3788" s="179"/>
      <c r="GAN3788" s="179"/>
      <c r="GAO3788" s="179"/>
      <c r="GAP3788" s="179"/>
      <c r="GAQ3788" s="179"/>
      <c r="GAR3788" s="179"/>
      <c r="GAS3788" s="179"/>
      <c r="GAT3788" s="179"/>
      <c r="GAU3788" s="179"/>
      <c r="GAV3788" s="179"/>
      <c r="GAW3788" s="179"/>
      <c r="GAX3788" s="179"/>
      <c r="GAY3788" s="179"/>
      <c r="GAZ3788" s="179"/>
      <c r="GBA3788" s="179"/>
      <c r="GBB3788" s="179"/>
      <c r="GBC3788" s="179"/>
      <c r="GBD3788" s="179"/>
      <c r="GBE3788" s="179"/>
      <c r="GBF3788" s="179"/>
      <c r="GBG3788" s="179"/>
      <c r="GBH3788" s="179"/>
      <c r="GBI3788" s="179"/>
      <c r="GBJ3788" s="179"/>
      <c r="GBK3788" s="179"/>
      <c r="GBL3788" s="179"/>
      <c r="GBM3788" s="179"/>
      <c r="GBN3788" s="179"/>
      <c r="GBO3788" s="179"/>
      <c r="GBP3788" s="179"/>
      <c r="GBQ3788" s="179"/>
      <c r="GBR3788" s="179"/>
      <c r="GBS3788" s="179"/>
      <c r="GBT3788" s="179"/>
      <c r="GBU3788" s="179"/>
      <c r="GBV3788" s="179"/>
      <c r="GBW3788" s="179"/>
      <c r="GBX3788" s="179"/>
      <c r="GBY3788" s="179"/>
      <c r="GBZ3788" s="179"/>
      <c r="GCA3788" s="179"/>
      <c r="GCB3788" s="179"/>
      <c r="GCC3788" s="179"/>
      <c r="GCD3788" s="179"/>
      <c r="GCE3788" s="179"/>
      <c r="GCF3788" s="179"/>
      <c r="GCG3788" s="179"/>
      <c r="GCH3788" s="179"/>
      <c r="GCI3788" s="179"/>
      <c r="GCJ3788" s="179"/>
      <c r="GCK3788" s="179"/>
      <c r="GCL3788" s="179"/>
      <c r="GCM3788" s="179"/>
      <c r="GCN3788" s="179"/>
      <c r="GCO3788" s="179"/>
      <c r="GCP3788" s="179"/>
      <c r="GCQ3788" s="179"/>
      <c r="GCR3788" s="179"/>
      <c r="GCS3788" s="179"/>
      <c r="GCT3788" s="179"/>
      <c r="GCU3788" s="179"/>
      <c r="GCV3788" s="179"/>
      <c r="GCW3788" s="179"/>
      <c r="GCX3788" s="179"/>
      <c r="GCY3788" s="179"/>
      <c r="GCZ3788" s="179"/>
      <c r="GDA3788" s="179"/>
      <c r="GDB3788" s="179"/>
      <c r="GDC3788" s="179"/>
      <c r="GDD3788" s="179"/>
      <c r="GDE3788" s="179"/>
      <c r="GDF3788" s="179"/>
      <c r="GDG3788" s="179"/>
      <c r="GDH3788" s="179"/>
      <c r="GDI3788" s="179"/>
      <c r="GDJ3788" s="179"/>
      <c r="GDK3788" s="179"/>
      <c r="GDL3788" s="179"/>
      <c r="GDM3788" s="179"/>
      <c r="GDN3788" s="179"/>
      <c r="GDO3788" s="179"/>
      <c r="GDP3788" s="179"/>
      <c r="GDQ3788" s="179"/>
      <c r="GDR3788" s="179"/>
      <c r="GDS3788" s="179"/>
      <c r="GDT3788" s="179"/>
      <c r="GDU3788" s="179"/>
      <c r="GDV3788" s="179"/>
      <c r="GDW3788" s="179"/>
      <c r="GDX3788" s="179"/>
      <c r="GDY3788" s="179"/>
      <c r="GDZ3788" s="179"/>
      <c r="GEA3788" s="179"/>
      <c r="GEB3788" s="179"/>
      <c r="GEC3788" s="179"/>
      <c r="GED3788" s="179"/>
      <c r="GEE3788" s="179"/>
      <c r="GEF3788" s="179"/>
      <c r="GEG3788" s="179"/>
      <c r="GEH3788" s="179"/>
      <c r="GEI3788" s="179"/>
      <c r="GEJ3788" s="179"/>
      <c r="GEK3788" s="179"/>
      <c r="GEL3788" s="179"/>
      <c r="GEM3788" s="179"/>
      <c r="GEN3788" s="179"/>
      <c r="GEO3788" s="179"/>
      <c r="GEP3788" s="179"/>
      <c r="GEQ3788" s="179"/>
      <c r="GER3788" s="179"/>
      <c r="GES3788" s="179"/>
      <c r="GET3788" s="179"/>
      <c r="GEU3788" s="179"/>
      <c r="GEV3788" s="179"/>
      <c r="GEW3788" s="179"/>
      <c r="GEX3788" s="179"/>
      <c r="GEY3788" s="179"/>
      <c r="GEZ3788" s="179"/>
      <c r="GFA3788" s="179"/>
      <c r="GFB3788" s="179"/>
      <c r="GFC3788" s="179"/>
      <c r="GFD3788" s="179"/>
      <c r="GFE3788" s="179"/>
      <c r="GFF3788" s="179"/>
      <c r="GFG3788" s="179"/>
      <c r="GFH3788" s="179"/>
      <c r="GFI3788" s="179"/>
      <c r="GFJ3788" s="179"/>
      <c r="GFK3788" s="179"/>
      <c r="GFL3788" s="179"/>
      <c r="GFM3788" s="179"/>
      <c r="GFN3788" s="179"/>
      <c r="GFO3788" s="179"/>
      <c r="GFP3788" s="179"/>
      <c r="GFQ3788" s="179"/>
      <c r="GFR3788" s="179"/>
      <c r="GFS3788" s="179"/>
      <c r="GFT3788" s="179"/>
      <c r="GFU3788" s="179"/>
      <c r="GFV3788" s="179"/>
      <c r="GFW3788" s="179"/>
      <c r="GFX3788" s="179"/>
      <c r="GFY3788" s="179"/>
      <c r="GFZ3788" s="179"/>
      <c r="GGA3788" s="179"/>
      <c r="GGB3788" s="179"/>
      <c r="GGC3788" s="179"/>
      <c r="GGD3788" s="179"/>
      <c r="GGE3788" s="179"/>
      <c r="GGF3788" s="179"/>
      <c r="GGG3788" s="179"/>
      <c r="GGH3788" s="179"/>
      <c r="GGI3788" s="179"/>
      <c r="GGJ3788" s="179"/>
      <c r="GGK3788" s="179"/>
      <c r="GGL3788" s="179"/>
      <c r="GGM3788" s="179"/>
      <c r="GGN3788" s="179"/>
      <c r="GGO3788" s="179"/>
      <c r="GGP3788" s="179"/>
      <c r="GGQ3788" s="179"/>
      <c r="GGR3788" s="179"/>
      <c r="GGS3788" s="179"/>
      <c r="GGT3788" s="179"/>
      <c r="GGU3788" s="179"/>
      <c r="GGV3788" s="179"/>
      <c r="GGW3788" s="179"/>
      <c r="GGX3788" s="179"/>
      <c r="GGY3788" s="179"/>
      <c r="GGZ3788" s="179"/>
      <c r="GHA3788" s="179"/>
      <c r="GHB3788" s="179"/>
      <c r="GHC3788" s="179"/>
      <c r="GHD3788" s="179"/>
      <c r="GHE3788" s="179"/>
      <c r="GHF3788" s="179"/>
      <c r="GHG3788" s="179"/>
      <c r="GHH3788" s="179"/>
      <c r="GHI3788" s="179"/>
      <c r="GHJ3788" s="179"/>
      <c r="GHK3788" s="179"/>
      <c r="GHL3788" s="179"/>
      <c r="GHM3788" s="179"/>
      <c r="GHN3788" s="179"/>
      <c r="GHO3788" s="179"/>
      <c r="GHP3788" s="179"/>
      <c r="GHQ3788" s="179"/>
      <c r="GHR3788" s="179"/>
      <c r="GHS3788" s="179"/>
      <c r="GHT3788" s="179"/>
      <c r="GHU3788" s="179"/>
      <c r="GHV3788" s="179"/>
      <c r="GHW3788" s="179"/>
      <c r="GHX3788" s="179"/>
      <c r="GHY3788" s="179"/>
      <c r="GHZ3788" s="179"/>
      <c r="GIA3788" s="179"/>
      <c r="GIB3788" s="179"/>
      <c r="GIC3788" s="179"/>
      <c r="GID3788" s="179"/>
      <c r="GIE3788" s="179"/>
      <c r="GIF3788" s="179"/>
      <c r="GIG3788" s="179"/>
      <c r="GIH3788" s="179"/>
      <c r="GII3788" s="179"/>
      <c r="GIJ3788" s="179"/>
      <c r="GIK3788" s="179"/>
      <c r="GIL3788" s="179"/>
      <c r="GIM3788" s="179"/>
      <c r="GIN3788" s="179"/>
      <c r="GIO3788" s="179"/>
      <c r="GIP3788" s="179"/>
      <c r="GIQ3788" s="179"/>
      <c r="GIR3788" s="179"/>
      <c r="GIS3788" s="179"/>
      <c r="GIT3788" s="179"/>
      <c r="GIU3788" s="179"/>
      <c r="GIV3788" s="179"/>
      <c r="GIW3788" s="179"/>
      <c r="GIX3788" s="179"/>
      <c r="GIY3788" s="179"/>
      <c r="GIZ3788" s="179"/>
      <c r="GJA3788" s="179"/>
      <c r="GJB3788" s="179"/>
      <c r="GJC3788" s="179"/>
      <c r="GJD3788" s="179"/>
      <c r="GJE3788" s="179"/>
      <c r="GJF3788" s="179"/>
      <c r="GJG3788" s="179"/>
      <c r="GJH3788" s="179"/>
      <c r="GJI3788" s="179"/>
      <c r="GJJ3788" s="179"/>
      <c r="GJK3788" s="179"/>
      <c r="GJL3788" s="179"/>
      <c r="GJM3788" s="179"/>
      <c r="GJN3788" s="179"/>
      <c r="GJO3788" s="179"/>
      <c r="GJP3788" s="179"/>
      <c r="GJQ3788" s="179"/>
      <c r="GJR3788" s="179"/>
      <c r="GJS3788" s="179"/>
      <c r="GJT3788" s="179"/>
      <c r="GJU3788" s="179"/>
      <c r="GJV3788" s="179"/>
      <c r="GJW3788" s="179"/>
      <c r="GJX3788" s="179"/>
      <c r="GJY3788" s="179"/>
      <c r="GJZ3788" s="179"/>
      <c r="GKA3788" s="179"/>
      <c r="GKB3788" s="179"/>
      <c r="GKC3788" s="179"/>
      <c r="GKD3788" s="179"/>
      <c r="GKE3788" s="179"/>
      <c r="GKF3788" s="179"/>
      <c r="GKG3788" s="179"/>
      <c r="GKH3788" s="179"/>
      <c r="GKI3788" s="179"/>
      <c r="GKJ3788" s="179"/>
      <c r="GKK3788" s="179"/>
      <c r="GKL3788" s="179"/>
      <c r="GKM3788" s="179"/>
      <c r="GKN3788" s="179"/>
      <c r="GKO3788" s="179"/>
      <c r="GKP3788" s="179"/>
      <c r="GKQ3788" s="179"/>
      <c r="GKR3788" s="179"/>
      <c r="GKS3788" s="179"/>
      <c r="GKT3788" s="179"/>
      <c r="GKU3788" s="179"/>
      <c r="GKV3788" s="179"/>
      <c r="GKW3788" s="179"/>
      <c r="GKX3788" s="179"/>
      <c r="GKY3788" s="179"/>
      <c r="GKZ3788" s="179"/>
      <c r="GLA3788" s="179"/>
      <c r="GLB3788" s="179"/>
      <c r="GLC3788" s="179"/>
      <c r="GLD3788" s="179"/>
      <c r="GLE3788" s="179"/>
      <c r="GLF3788" s="179"/>
      <c r="GLG3788" s="179"/>
      <c r="GLH3788" s="179"/>
      <c r="GLI3788" s="179"/>
      <c r="GLJ3788" s="179"/>
      <c r="GLK3788" s="179"/>
      <c r="GLL3788" s="179"/>
      <c r="GLM3788" s="179"/>
      <c r="GLN3788" s="179"/>
      <c r="GLO3788" s="179"/>
      <c r="GLP3788" s="179"/>
      <c r="GLQ3788" s="179"/>
      <c r="GLR3788" s="179"/>
      <c r="GLS3788" s="179"/>
      <c r="GLT3788" s="179"/>
      <c r="GLU3788" s="179"/>
      <c r="GLV3788" s="179"/>
      <c r="GLW3788" s="179"/>
      <c r="GLX3788" s="179"/>
      <c r="GLY3788" s="179"/>
      <c r="GLZ3788" s="179"/>
      <c r="GMA3788" s="179"/>
      <c r="GMB3788" s="179"/>
      <c r="GMC3788" s="179"/>
      <c r="GMD3788" s="179"/>
      <c r="GME3788" s="179"/>
      <c r="GMF3788" s="179"/>
      <c r="GMG3788" s="179"/>
      <c r="GMH3788" s="179"/>
      <c r="GMI3788" s="179"/>
      <c r="GMJ3788" s="179"/>
      <c r="GMK3788" s="179"/>
      <c r="GML3788" s="179"/>
      <c r="GMM3788" s="179"/>
      <c r="GMN3788" s="179"/>
      <c r="GMO3788" s="179"/>
      <c r="GMP3788" s="179"/>
      <c r="GMQ3788" s="179"/>
      <c r="GMR3788" s="179"/>
      <c r="GMS3788" s="179"/>
      <c r="GMT3788" s="179"/>
      <c r="GMU3788" s="179"/>
      <c r="GMV3788" s="179"/>
      <c r="GMW3788" s="179"/>
      <c r="GMX3788" s="179"/>
      <c r="GMY3788" s="179"/>
      <c r="GMZ3788" s="179"/>
      <c r="GNA3788" s="179"/>
      <c r="GNB3788" s="179"/>
      <c r="GNC3788" s="179"/>
      <c r="GND3788" s="179"/>
      <c r="GNE3788" s="179"/>
      <c r="GNF3788" s="179"/>
      <c r="GNG3788" s="179"/>
      <c r="GNH3788" s="179"/>
      <c r="GNI3788" s="179"/>
      <c r="GNJ3788" s="179"/>
      <c r="GNK3788" s="179"/>
      <c r="GNL3788" s="179"/>
      <c r="GNM3788" s="179"/>
      <c r="GNN3788" s="179"/>
      <c r="GNO3788" s="179"/>
      <c r="GNP3788" s="179"/>
      <c r="GNQ3788" s="179"/>
      <c r="GNR3788" s="179"/>
      <c r="GNS3788" s="179"/>
      <c r="GNT3788" s="179"/>
      <c r="GNU3788" s="179"/>
      <c r="GNV3788" s="179"/>
      <c r="GNW3788" s="179"/>
      <c r="GNX3788" s="179"/>
      <c r="GNY3788" s="179"/>
      <c r="GNZ3788" s="179"/>
      <c r="GOA3788" s="179"/>
      <c r="GOB3788" s="179"/>
      <c r="GOC3788" s="179"/>
      <c r="GOD3788" s="179"/>
      <c r="GOE3788" s="179"/>
      <c r="GOF3788" s="179"/>
      <c r="GOG3788" s="179"/>
      <c r="GOH3788" s="179"/>
      <c r="GOI3788" s="179"/>
      <c r="GOJ3788" s="179"/>
      <c r="GOK3788" s="179"/>
      <c r="GOL3788" s="179"/>
      <c r="GOM3788" s="179"/>
      <c r="GON3788" s="179"/>
      <c r="GOO3788" s="179"/>
      <c r="GOP3788" s="179"/>
      <c r="GOQ3788" s="179"/>
      <c r="GOR3788" s="179"/>
      <c r="GOS3788" s="179"/>
      <c r="GOT3788" s="179"/>
      <c r="GOU3788" s="179"/>
      <c r="GOV3788" s="179"/>
      <c r="GOW3788" s="179"/>
      <c r="GOX3788" s="179"/>
      <c r="GOY3788" s="179"/>
      <c r="GOZ3788" s="179"/>
      <c r="GPA3788" s="179"/>
      <c r="GPB3788" s="179"/>
      <c r="GPC3788" s="179"/>
      <c r="GPD3788" s="179"/>
      <c r="GPE3788" s="179"/>
      <c r="GPF3788" s="179"/>
      <c r="GPG3788" s="179"/>
      <c r="GPH3788" s="179"/>
      <c r="GPI3788" s="179"/>
      <c r="GPJ3788" s="179"/>
      <c r="GPK3788" s="179"/>
      <c r="GPL3788" s="179"/>
      <c r="GPM3788" s="179"/>
      <c r="GPN3788" s="179"/>
      <c r="GPO3788" s="179"/>
      <c r="GPP3788" s="179"/>
      <c r="GPQ3788" s="179"/>
      <c r="GPR3788" s="179"/>
      <c r="GPS3788" s="179"/>
      <c r="GPT3788" s="179"/>
      <c r="GPU3788" s="179"/>
      <c r="GPV3788" s="179"/>
      <c r="GPW3788" s="179"/>
      <c r="GPX3788" s="179"/>
      <c r="GPY3788" s="179"/>
      <c r="GPZ3788" s="179"/>
      <c r="GQA3788" s="179"/>
      <c r="GQB3788" s="179"/>
      <c r="GQC3788" s="179"/>
      <c r="GQD3788" s="179"/>
      <c r="GQE3788" s="179"/>
      <c r="GQF3788" s="179"/>
      <c r="GQG3788" s="179"/>
      <c r="GQH3788" s="179"/>
      <c r="GQI3788" s="179"/>
      <c r="GQJ3788" s="179"/>
      <c r="GQK3788" s="179"/>
      <c r="GQL3788" s="179"/>
      <c r="GQM3788" s="179"/>
      <c r="GQN3788" s="179"/>
      <c r="GQO3788" s="179"/>
      <c r="GQP3788" s="179"/>
      <c r="GQQ3788" s="179"/>
      <c r="GQR3788" s="179"/>
      <c r="GQS3788" s="179"/>
      <c r="GQT3788" s="179"/>
      <c r="GQU3788" s="179"/>
      <c r="GQV3788" s="179"/>
      <c r="GQW3788" s="179"/>
      <c r="GQX3788" s="179"/>
      <c r="GQY3788" s="179"/>
      <c r="GQZ3788" s="179"/>
      <c r="GRA3788" s="179"/>
      <c r="GRB3788" s="179"/>
      <c r="GRC3788" s="179"/>
      <c r="GRD3788" s="179"/>
      <c r="GRE3788" s="179"/>
      <c r="GRF3788" s="179"/>
      <c r="GRG3788" s="179"/>
      <c r="GRH3788" s="179"/>
      <c r="GRI3788" s="179"/>
      <c r="GRJ3788" s="179"/>
      <c r="GRK3788" s="179"/>
      <c r="GRL3788" s="179"/>
      <c r="GRM3788" s="179"/>
      <c r="GRN3788" s="179"/>
      <c r="GRO3788" s="179"/>
      <c r="GRP3788" s="179"/>
      <c r="GRQ3788" s="179"/>
      <c r="GRR3788" s="179"/>
      <c r="GRS3788" s="179"/>
      <c r="GRT3788" s="179"/>
      <c r="GRU3788" s="179"/>
      <c r="GRV3788" s="179"/>
      <c r="GRW3788" s="179"/>
      <c r="GRX3788" s="179"/>
      <c r="GRY3788" s="179"/>
      <c r="GRZ3788" s="179"/>
      <c r="GSA3788" s="179"/>
      <c r="GSB3788" s="179"/>
      <c r="GSC3788" s="179"/>
      <c r="GSD3788" s="179"/>
      <c r="GSE3788" s="179"/>
      <c r="GSF3788" s="179"/>
      <c r="GSG3788" s="179"/>
      <c r="GSH3788" s="179"/>
      <c r="GSI3788" s="179"/>
      <c r="GSJ3788" s="179"/>
      <c r="GSK3788" s="179"/>
      <c r="GSL3788" s="179"/>
      <c r="GSM3788" s="179"/>
      <c r="GSN3788" s="179"/>
      <c r="GSO3788" s="179"/>
      <c r="GSP3788" s="179"/>
      <c r="GSQ3788" s="179"/>
      <c r="GSR3788" s="179"/>
      <c r="GSS3788" s="179"/>
      <c r="GST3788" s="179"/>
      <c r="GSU3788" s="179"/>
      <c r="GSV3788" s="179"/>
      <c r="GSW3788" s="179"/>
      <c r="GSX3788" s="179"/>
      <c r="GSY3788" s="179"/>
      <c r="GSZ3788" s="179"/>
      <c r="GTA3788" s="179"/>
      <c r="GTB3788" s="179"/>
      <c r="GTC3788" s="179"/>
      <c r="GTD3788" s="179"/>
      <c r="GTE3788" s="179"/>
      <c r="GTF3788" s="179"/>
      <c r="GTG3788" s="179"/>
      <c r="GTH3788" s="179"/>
      <c r="GTI3788" s="179"/>
      <c r="GTJ3788" s="179"/>
      <c r="GTK3788" s="179"/>
      <c r="GTL3788" s="179"/>
      <c r="GTM3788" s="179"/>
      <c r="GTN3788" s="179"/>
      <c r="GTO3788" s="179"/>
      <c r="GTP3788" s="179"/>
      <c r="GTQ3788" s="179"/>
      <c r="GTR3788" s="179"/>
      <c r="GTS3788" s="179"/>
      <c r="GTT3788" s="179"/>
      <c r="GTU3788" s="179"/>
      <c r="GTV3788" s="179"/>
      <c r="GTW3788" s="179"/>
      <c r="GTX3788" s="179"/>
      <c r="GTY3788" s="179"/>
      <c r="GTZ3788" s="179"/>
      <c r="GUA3788" s="179"/>
      <c r="GUB3788" s="179"/>
      <c r="GUC3788" s="179"/>
      <c r="GUD3788" s="179"/>
      <c r="GUE3788" s="179"/>
      <c r="GUF3788" s="179"/>
      <c r="GUG3788" s="179"/>
      <c r="GUH3788" s="179"/>
      <c r="GUI3788" s="179"/>
      <c r="GUJ3788" s="179"/>
      <c r="GUK3788" s="179"/>
      <c r="GUL3788" s="179"/>
      <c r="GUM3788" s="179"/>
      <c r="GUN3788" s="179"/>
      <c r="GUO3788" s="179"/>
      <c r="GUP3788" s="179"/>
      <c r="GUQ3788" s="179"/>
      <c r="GUR3788" s="179"/>
      <c r="GUS3788" s="179"/>
      <c r="GUT3788" s="179"/>
      <c r="GUU3788" s="179"/>
      <c r="GUV3788" s="179"/>
      <c r="GUW3788" s="179"/>
      <c r="GUX3788" s="179"/>
      <c r="GUY3788" s="179"/>
      <c r="GUZ3788" s="179"/>
      <c r="GVA3788" s="179"/>
      <c r="GVB3788" s="179"/>
      <c r="GVC3788" s="179"/>
      <c r="GVD3788" s="179"/>
      <c r="GVE3788" s="179"/>
      <c r="GVF3788" s="179"/>
      <c r="GVG3788" s="179"/>
      <c r="GVH3788" s="179"/>
      <c r="GVI3788" s="179"/>
      <c r="GVJ3788" s="179"/>
      <c r="GVK3788" s="179"/>
      <c r="GVL3788" s="179"/>
      <c r="GVM3788" s="179"/>
      <c r="GVN3788" s="179"/>
      <c r="GVO3788" s="179"/>
      <c r="GVP3788" s="179"/>
      <c r="GVQ3788" s="179"/>
      <c r="GVR3788" s="179"/>
      <c r="GVS3788" s="179"/>
      <c r="GVT3788" s="179"/>
      <c r="GVU3788" s="179"/>
      <c r="GVV3788" s="179"/>
      <c r="GVW3788" s="179"/>
      <c r="GVX3788" s="179"/>
      <c r="GVY3788" s="179"/>
      <c r="GVZ3788" s="179"/>
      <c r="GWA3788" s="179"/>
      <c r="GWB3788" s="179"/>
      <c r="GWC3788" s="179"/>
      <c r="GWD3788" s="179"/>
      <c r="GWE3788" s="179"/>
      <c r="GWF3788" s="179"/>
      <c r="GWG3788" s="179"/>
      <c r="GWH3788" s="179"/>
      <c r="GWI3788" s="179"/>
      <c r="GWJ3788" s="179"/>
      <c r="GWK3788" s="179"/>
      <c r="GWL3788" s="179"/>
      <c r="GWM3788" s="179"/>
      <c r="GWN3788" s="179"/>
      <c r="GWO3788" s="179"/>
      <c r="GWP3788" s="179"/>
      <c r="GWQ3788" s="179"/>
      <c r="GWR3788" s="179"/>
      <c r="GWS3788" s="179"/>
      <c r="GWT3788" s="179"/>
      <c r="GWU3788" s="179"/>
      <c r="GWV3788" s="179"/>
      <c r="GWW3788" s="179"/>
      <c r="GWX3788" s="179"/>
      <c r="GWY3788" s="179"/>
      <c r="GWZ3788" s="179"/>
      <c r="GXA3788" s="179"/>
      <c r="GXB3788" s="179"/>
      <c r="GXC3788" s="179"/>
      <c r="GXD3788" s="179"/>
      <c r="GXE3788" s="179"/>
      <c r="GXF3788" s="179"/>
      <c r="GXG3788" s="179"/>
      <c r="GXH3788" s="179"/>
      <c r="GXI3788" s="179"/>
      <c r="GXJ3788" s="179"/>
      <c r="GXK3788" s="179"/>
      <c r="GXL3788" s="179"/>
      <c r="GXM3788" s="179"/>
      <c r="GXN3788" s="179"/>
      <c r="GXO3788" s="179"/>
      <c r="GXP3788" s="179"/>
      <c r="GXQ3788" s="179"/>
      <c r="GXR3788" s="179"/>
      <c r="GXS3788" s="179"/>
      <c r="GXT3788" s="179"/>
      <c r="GXU3788" s="179"/>
      <c r="GXV3788" s="179"/>
      <c r="GXW3788" s="179"/>
      <c r="GXX3788" s="179"/>
      <c r="GXY3788" s="179"/>
      <c r="GXZ3788" s="179"/>
      <c r="GYA3788" s="179"/>
      <c r="GYB3788" s="179"/>
      <c r="GYC3788" s="179"/>
      <c r="GYD3788" s="179"/>
      <c r="GYE3788" s="179"/>
      <c r="GYF3788" s="179"/>
      <c r="GYG3788" s="179"/>
      <c r="GYH3788" s="179"/>
      <c r="GYI3788" s="179"/>
      <c r="GYJ3788" s="179"/>
      <c r="GYK3788" s="179"/>
      <c r="GYL3788" s="179"/>
      <c r="GYM3788" s="179"/>
      <c r="GYN3788" s="179"/>
      <c r="GYO3788" s="179"/>
      <c r="GYP3788" s="179"/>
      <c r="GYQ3788" s="179"/>
      <c r="GYR3788" s="179"/>
      <c r="GYS3788" s="179"/>
      <c r="GYT3788" s="179"/>
      <c r="GYU3788" s="179"/>
      <c r="GYV3788" s="179"/>
      <c r="GYW3788" s="179"/>
      <c r="GYX3788" s="179"/>
      <c r="GYY3788" s="179"/>
      <c r="GYZ3788" s="179"/>
      <c r="GZA3788" s="179"/>
      <c r="GZB3788" s="179"/>
      <c r="GZC3788" s="179"/>
      <c r="GZD3788" s="179"/>
      <c r="GZE3788" s="179"/>
      <c r="GZF3788" s="179"/>
      <c r="GZG3788" s="179"/>
      <c r="GZH3788" s="179"/>
      <c r="GZI3788" s="179"/>
      <c r="GZJ3788" s="179"/>
      <c r="GZK3788" s="179"/>
      <c r="GZL3788" s="179"/>
      <c r="GZM3788" s="179"/>
      <c r="GZN3788" s="179"/>
      <c r="GZO3788" s="179"/>
      <c r="GZP3788" s="179"/>
      <c r="GZQ3788" s="179"/>
      <c r="GZR3788" s="179"/>
      <c r="GZS3788" s="179"/>
      <c r="GZT3788" s="179"/>
      <c r="GZU3788" s="179"/>
      <c r="GZV3788" s="179"/>
      <c r="GZW3788" s="179"/>
      <c r="GZX3788" s="179"/>
      <c r="GZY3788" s="179"/>
      <c r="GZZ3788" s="179"/>
      <c r="HAA3788" s="179"/>
      <c r="HAB3788" s="179"/>
      <c r="HAC3788" s="179"/>
      <c r="HAD3788" s="179"/>
      <c r="HAE3788" s="179"/>
      <c r="HAF3788" s="179"/>
      <c r="HAG3788" s="179"/>
      <c r="HAH3788" s="179"/>
      <c r="HAI3788" s="179"/>
      <c r="HAJ3788" s="179"/>
      <c r="HAK3788" s="179"/>
      <c r="HAL3788" s="179"/>
      <c r="HAM3788" s="179"/>
      <c r="HAN3788" s="179"/>
      <c r="HAO3788" s="179"/>
      <c r="HAP3788" s="179"/>
      <c r="HAQ3788" s="179"/>
      <c r="HAR3788" s="179"/>
      <c r="HAS3788" s="179"/>
      <c r="HAT3788" s="179"/>
      <c r="HAU3788" s="179"/>
      <c r="HAV3788" s="179"/>
      <c r="HAW3788" s="179"/>
      <c r="HAX3788" s="179"/>
      <c r="HAY3788" s="179"/>
      <c r="HAZ3788" s="179"/>
      <c r="HBA3788" s="179"/>
      <c r="HBB3788" s="179"/>
      <c r="HBC3788" s="179"/>
      <c r="HBD3788" s="179"/>
      <c r="HBE3788" s="179"/>
      <c r="HBF3788" s="179"/>
      <c r="HBG3788" s="179"/>
      <c r="HBH3788" s="179"/>
      <c r="HBI3788" s="179"/>
      <c r="HBJ3788" s="179"/>
      <c r="HBK3788" s="179"/>
      <c r="HBL3788" s="179"/>
      <c r="HBM3788" s="179"/>
      <c r="HBN3788" s="179"/>
      <c r="HBO3788" s="179"/>
      <c r="HBP3788" s="179"/>
      <c r="HBQ3788" s="179"/>
      <c r="HBR3788" s="179"/>
      <c r="HBS3788" s="179"/>
      <c r="HBT3788" s="179"/>
      <c r="HBU3788" s="179"/>
      <c r="HBV3788" s="179"/>
      <c r="HBW3788" s="179"/>
      <c r="HBX3788" s="179"/>
      <c r="HBY3788" s="179"/>
      <c r="HBZ3788" s="179"/>
      <c r="HCA3788" s="179"/>
      <c r="HCB3788" s="179"/>
      <c r="HCC3788" s="179"/>
      <c r="HCD3788" s="179"/>
      <c r="HCE3788" s="179"/>
      <c r="HCF3788" s="179"/>
      <c r="HCG3788" s="179"/>
      <c r="HCH3788" s="179"/>
      <c r="HCI3788" s="179"/>
      <c r="HCJ3788" s="179"/>
      <c r="HCK3788" s="179"/>
      <c r="HCL3788" s="179"/>
      <c r="HCM3788" s="179"/>
      <c r="HCN3788" s="179"/>
      <c r="HCO3788" s="179"/>
      <c r="HCP3788" s="179"/>
      <c r="HCQ3788" s="179"/>
      <c r="HCR3788" s="179"/>
      <c r="HCS3788" s="179"/>
      <c r="HCT3788" s="179"/>
      <c r="HCU3788" s="179"/>
      <c r="HCV3788" s="179"/>
      <c r="HCW3788" s="179"/>
      <c r="HCX3788" s="179"/>
      <c r="HCY3788" s="179"/>
      <c r="HCZ3788" s="179"/>
      <c r="HDA3788" s="179"/>
      <c r="HDB3788" s="179"/>
      <c r="HDC3788" s="179"/>
      <c r="HDD3788" s="179"/>
      <c r="HDE3788" s="179"/>
      <c r="HDF3788" s="179"/>
      <c r="HDG3788" s="179"/>
      <c r="HDH3788" s="179"/>
      <c r="HDI3788" s="179"/>
      <c r="HDJ3788" s="179"/>
      <c r="HDK3788" s="179"/>
      <c r="HDL3788" s="179"/>
      <c r="HDM3788" s="179"/>
      <c r="HDN3788" s="179"/>
      <c r="HDO3788" s="179"/>
      <c r="HDP3788" s="179"/>
      <c r="HDQ3788" s="179"/>
      <c r="HDR3788" s="179"/>
      <c r="HDS3788" s="179"/>
      <c r="HDT3788" s="179"/>
      <c r="HDU3788" s="179"/>
      <c r="HDV3788" s="179"/>
      <c r="HDW3788" s="179"/>
      <c r="HDX3788" s="179"/>
      <c r="HDY3788" s="179"/>
      <c r="HDZ3788" s="179"/>
      <c r="HEA3788" s="179"/>
      <c r="HEB3788" s="179"/>
      <c r="HEC3788" s="179"/>
      <c r="HED3788" s="179"/>
      <c r="HEE3788" s="179"/>
      <c r="HEF3788" s="179"/>
      <c r="HEG3788" s="179"/>
      <c r="HEH3788" s="179"/>
      <c r="HEI3788" s="179"/>
      <c r="HEJ3788" s="179"/>
      <c r="HEK3788" s="179"/>
      <c r="HEL3788" s="179"/>
      <c r="HEM3788" s="179"/>
      <c r="HEN3788" s="179"/>
      <c r="HEO3788" s="179"/>
      <c r="HEP3788" s="179"/>
      <c r="HEQ3788" s="179"/>
      <c r="HER3788" s="179"/>
      <c r="HES3788" s="179"/>
      <c r="HET3788" s="179"/>
      <c r="HEU3788" s="179"/>
      <c r="HEV3788" s="179"/>
      <c r="HEW3788" s="179"/>
      <c r="HEX3788" s="179"/>
      <c r="HEY3788" s="179"/>
      <c r="HEZ3788" s="179"/>
      <c r="HFA3788" s="179"/>
      <c r="HFB3788" s="179"/>
      <c r="HFC3788" s="179"/>
      <c r="HFD3788" s="179"/>
      <c r="HFE3788" s="179"/>
      <c r="HFF3788" s="179"/>
      <c r="HFG3788" s="179"/>
      <c r="HFH3788" s="179"/>
      <c r="HFI3788" s="179"/>
      <c r="HFJ3788" s="179"/>
      <c r="HFK3788" s="179"/>
      <c r="HFL3788" s="179"/>
      <c r="HFM3788" s="179"/>
      <c r="HFN3788" s="179"/>
      <c r="HFO3788" s="179"/>
      <c r="HFP3788" s="179"/>
      <c r="HFQ3788" s="179"/>
      <c r="HFR3788" s="179"/>
      <c r="HFS3788" s="179"/>
      <c r="HFT3788" s="179"/>
      <c r="HFU3788" s="179"/>
      <c r="HFV3788" s="179"/>
      <c r="HFW3788" s="179"/>
      <c r="HFX3788" s="179"/>
      <c r="HFY3788" s="179"/>
      <c r="HFZ3788" s="179"/>
      <c r="HGA3788" s="179"/>
      <c r="HGB3788" s="179"/>
      <c r="HGC3788" s="179"/>
      <c r="HGD3788" s="179"/>
      <c r="HGE3788" s="179"/>
      <c r="HGF3788" s="179"/>
      <c r="HGG3788" s="179"/>
      <c r="HGH3788" s="179"/>
      <c r="HGI3788" s="179"/>
      <c r="HGJ3788" s="179"/>
      <c r="HGK3788" s="179"/>
      <c r="HGL3788" s="179"/>
      <c r="HGM3788" s="179"/>
      <c r="HGN3788" s="179"/>
      <c r="HGO3788" s="179"/>
      <c r="HGP3788" s="179"/>
      <c r="HGQ3788" s="179"/>
      <c r="HGR3788" s="179"/>
      <c r="HGS3788" s="179"/>
      <c r="HGT3788" s="179"/>
      <c r="HGU3788" s="179"/>
      <c r="HGV3788" s="179"/>
      <c r="HGW3788" s="179"/>
      <c r="HGX3788" s="179"/>
      <c r="HGY3788" s="179"/>
      <c r="HGZ3788" s="179"/>
      <c r="HHA3788" s="179"/>
      <c r="HHB3788" s="179"/>
      <c r="HHC3788" s="179"/>
      <c r="HHD3788" s="179"/>
      <c r="HHE3788" s="179"/>
      <c r="HHF3788" s="179"/>
      <c r="HHG3788" s="179"/>
      <c r="HHH3788" s="179"/>
      <c r="HHI3788" s="179"/>
      <c r="HHJ3788" s="179"/>
      <c r="HHK3788" s="179"/>
      <c r="HHL3788" s="179"/>
      <c r="HHM3788" s="179"/>
      <c r="HHN3788" s="179"/>
      <c r="HHO3788" s="179"/>
      <c r="HHP3788" s="179"/>
      <c r="HHQ3788" s="179"/>
      <c r="HHR3788" s="179"/>
      <c r="HHS3788" s="179"/>
      <c r="HHT3788" s="179"/>
      <c r="HHU3788" s="179"/>
      <c r="HHV3788" s="179"/>
      <c r="HHW3788" s="179"/>
      <c r="HHX3788" s="179"/>
      <c r="HHY3788" s="179"/>
      <c r="HHZ3788" s="179"/>
      <c r="HIA3788" s="179"/>
      <c r="HIB3788" s="179"/>
      <c r="HIC3788" s="179"/>
      <c r="HID3788" s="179"/>
      <c r="HIE3788" s="179"/>
      <c r="HIF3788" s="179"/>
      <c r="HIG3788" s="179"/>
      <c r="HIH3788" s="179"/>
      <c r="HII3788" s="179"/>
      <c r="HIJ3788" s="179"/>
      <c r="HIK3788" s="179"/>
      <c r="HIL3788" s="179"/>
      <c r="HIM3788" s="179"/>
      <c r="HIN3788" s="179"/>
      <c r="HIO3788" s="179"/>
      <c r="HIP3788" s="179"/>
      <c r="HIQ3788" s="179"/>
      <c r="HIR3788" s="179"/>
      <c r="HIS3788" s="179"/>
      <c r="HIT3788" s="179"/>
      <c r="HIU3788" s="179"/>
      <c r="HIV3788" s="179"/>
      <c r="HIW3788" s="179"/>
      <c r="HIX3788" s="179"/>
      <c r="HIY3788" s="179"/>
      <c r="HIZ3788" s="179"/>
      <c r="HJA3788" s="179"/>
      <c r="HJB3788" s="179"/>
      <c r="HJC3788" s="179"/>
      <c r="HJD3788" s="179"/>
      <c r="HJE3788" s="179"/>
      <c r="HJF3788" s="179"/>
      <c r="HJG3788" s="179"/>
      <c r="HJH3788" s="179"/>
      <c r="HJI3788" s="179"/>
      <c r="HJJ3788" s="179"/>
      <c r="HJK3788" s="179"/>
      <c r="HJL3788" s="179"/>
      <c r="HJM3788" s="179"/>
      <c r="HJN3788" s="179"/>
      <c r="HJO3788" s="179"/>
      <c r="HJP3788" s="179"/>
      <c r="HJQ3788" s="179"/>
      <c r="HJR3788" s="179"/>
      <c r="HJS3788" s="179"/>
      <c r="HJT3788" s="179"/>
      <c r="HJU3788" s="179"/>
      <c r="HJV3788" s="179"/>
      <c r="HJW3788" s="179"/>
      <c r="HJX3788" s="179"/>
      <c r="HJY3788" s="179"/>
      <c r="HJZ3788" s="179"/>
      <c r="HKA3788" s="179"/>
      <c r="HKB3788" s="179"/>
      <c r="HKC3788" s="179"/>
      <c r="HKD3788" s="179"/>
      <c r="HKE3788" s="179"/>
      <c r="HKF3788" s="179"/>
      <c r="HKG3788" s="179"/>
      <c r="HKH3788" s="179"/>
      <c r="HKI3788" s="179"/>
      <c r="HKJ3788" s="179"/>
      <c r="HKK3788" s="179"/>
      <c r="HKL3788" s="179"/>
      <c r="HKM3788" s="179"/>
      <c r="HKN3788" s="179"/>
      <c r="HKO3788" s="179"/>
      <c r="HKP3788" s="179"/>
      <c r="HKQ3788" s="179"/>
      <c r="HKR3788" s="179"/>
      <c r="HKS3788" s="179"/>
      <c r="HKT3788" s="179"/>
      <c r="HKU3788" s="179"/>
      <c r="HKV3788" s="179"/>
      <c r="HKW3788" s="179"/>
      <c r="HKX3788" s="179"/>
      <c r="HKY3788" s="179"/>
      <c r="HKZ3788" s="179"/>
      <c r="HLA3788" s="179"/>
      <c r="HLB3788" s="179"/>
      <c r="HLC3788" s="179"/>
      <c r="HLD3788" s="179"/>
      <c r="HLE3788" s="179"/>
      <c r="HLF3788" s="179"/>
      <c r="HLG3788" s="179"/>
      <c r="HLH3788" s="179"/>
      <c r="HLI3788" s="179"/>
      <c r="HLJ3788" s="179"/>
      <c r="HLK3788" s="179"/>
      <c r="HLL3788" s="179"/>
      <c r="HLM3788" s="179"/>
      <c r="HLN3788" s="179"/>
      <c r="HLO3788" s="179"/>
      <c r="HLP3788" s="179"/>
      <c r="HLQ3788" s="179"/>
      <c r="HLR3788" s="179"/>
      <c r="HLS3788" s="179"/>
      <c r="HLT3788" s="179"/>
      <c r="HLU3788" s="179"/>
      <c r="HLV3788" s="179"/>
      <c r="HLW3788" s="179"/>
      <c r="HLX3788" s="179"/>
      <c r="HLY3788" s="179"/>
      <c r="HLZ3788" s="179"/>
      <c r="HMA3788" s="179"/>
      <c r="HMB3788" s="179"/>
      <c r="HMC3788" s="179"/>
      <c r="HMD3788" s="179"/>
      <c r="HME3788" s="179"/>
      <c r="HMF3788" s="179"/>
      <c r="HMG3788" s="179"/>
      <c r="HMH3788" s="179"/>
      <c r="HMI3788" s="179"/>
      <c r="HMJ3788" s="179"/>
      <c r="HMK3788" s="179"/>
      <c r="HML3788" s="179"/>
      <c r="HMM3788" s="179"/>
      <c r="HMN3788" s="179"/>
      <c r="HMO3788" s="179"/>
      <c r="HMP3788" s="179"/>
      <c r="HMQ3788" s="179"/>
      <c r="HMR3788" s="179"/>
      <c r="HMS3788" s="179"/>
      <c r="HMT3788" s="179"/>
      <c r="HMU3788" s="179"/>
      <c r="HMV3788" s="179"/>
      <c r="HMW3788" s="179"/>
      <c r="HMX3788" s="179"/>
      <c r="HMY3788" s="179"/>
      <c r="HMZ3788" s="179"/>
      <c r="HNA3788" s="179"/>
      <c r="HNB3788" s="179"/>
      <c r="HNC3788" s="179"/>
      <c r="HND3788" s="179"/>
      <c r="HNE3788" s="179"/>
      <c r="HNF3788" s="179"/>
      <c r="HNG3788" s="179"/>
      <c r="HNH3788" s="179"/>
      <c r="HNI3788" s="179"/>
      <c r="HNJ3788" s="179"/>
      <c r="HNK3788" s="179"/>
      <c r="HNL3788" s="179"/>
      <c r="HNM3788" s="179"/>
      <c r="HNN3788" s="179"/>
      <c r="HNO3788" s="179"/>
      <c r="HNP3788" s="179"/>
      <c r="HNQ3788" s="179"/>
      <c r="HNR3788" s="179"/>
      <c r="HNS3788" s="179"/>
      <c r="HNT3788" s="179"/>
      <c r="HNU3788" s="179"/>
      <c r="HNV3788" s="179"/>
      <c r="HNW3788" s="179"/>
      <c r="HNX3788" s="179"/>
      <c r="HNY3788" s="179"/>
      <c r="HNZ3788" s="179"/>
      <c r="HOA3788" s="179"/>
      <c r="HOB3788" s="179"/>
      <c r="HOC3788" s="179"/>
      <c r="HOD3788" s="179"/>
      <c r="HOE3788" s="179"/>
      <c r="HOF3788" s="179"/>
      <c r="HOG3788" s="179"/>
      <c r="HOH3788" s="179"/>
      <c r="HOI3788" s="179"/>
      <c r="HOJ3788" s="179"/>
      <c r="HOK3788" s="179"/>
      <c r="HOL3788" s="179"/>
      <c r="HOM3788" s="179"/>
      <c r="HON3788" s="179"/>
      <c r="HOO3788" s="179"/>
      <c r="HOP3788" s="179"/>
      <c r="HOQ3788" s="179"/>
      <c r="HOR3788" s="179"/>
      <c r="HOS3788" s="179"/>
      <c r="HOT3788" s="179"/>
      <c r="HOU3788" s="179"/>
      <c r="HOV3788" s="179"/>
      <c r="HOW3788" s="179"/>
      <c r="HOX3788" s="179"/>
      <c r="HOY3788" s="179"/>
      <c r="HOZ3788" s="179"/>
      <c r="HPA3788" s="179"/>
      <c r="HPB3788" s="179"/>
      <c r="HPC3788" s="179"/>
      <c r="HPD3788" s="179"/>
      <c r="HPE3788" s="179"/>
      <c r="HPF3788" s="179"/>
      <c r="HPG3788" s="179"/>
      <c r="HPH3788" s="179"/>
      <c r="HPI3788" s="179"/>
      <c r="HPJ3788" s="179"/>
      <c r="HPK3788" s="179"/>
      <c r="HPL3788" s="179"/>
      <c r="HPM3788" s="179"/>
      <c r="HPN3788" s="179"/>
      <c r="HPO3788" s="179"/>
      <c r="HPP3788" s="179"/>
      <c r="HPQ3788" s="179"/>
      <c r="HPR3788" s="179"/>
      <c r="HPS3788" s="179"/>
      <c r="HPT3788" s="179"/>
      <c r="HPU3788" s="179"/>
      <c r="HPV3788" s="179"/>
      <c r="HPW3788" s="179"/>
      <c r="HPX3788" s="179"/>
      <c r="HPY3788" s="179"/>
      <c r="HPZ3788" s="179"/>
      <c r="HQA3788" s="179"/>
      <c r="HQB3788" s="179"/>
      <c r="HQC3788" s="179"/>
      <c r="HQD3788" s="179"/>
      <c r="HQE3788" s="179"/>
      <c r="HQF3788" s="179"/>
      <c r="HQG3788" s="179"/>
      <c r="HQH3788" s="179"/>
      <c r="HQI3788" s="179"/>
      <c r="HQJ3788" s="179"/>
      <c r="HQK3788" s="179"/>
      <c r="HQL3788" s="179"/>
      <c r="HQM3788" s="179"/>
      <c r="HQN3788" s="179"/>
      <c r="HQO3788" s="179"/>
      <c r="HQP3788" s="179"/>
      <c r="HQQ3788" s="179"/>
      <c r="HQR3788" s="179"/>
      <c r="HQS3788" s="179"/>
      <c r="HQT3788" s="179"/>
      <c r="HQU3788" s="179"/>
      <c r="HQV3788" s="179"/>
      <c r="HQW3788" s="179"/>
      <c r="HQX3788" s="179"/>
      <c r="HQY3788" s="179"/>
      <c r="HQZ3788" s="179"/>
      <c r="HRA3788" s="179"/>
      <c r="HRB3788" s="179"/>
      <c r="HRC3788" s="179"/>
      <c r="HRD3788" s="179"/>
      <c r="HRE3788" s="179"/>
      <c r="HRF3788" s="179"/>
      <c r="HRG3788" s="179"/>
      <c r="HRH3788" s="179"/>
      <c r="HRI3788" s="179"/>
      <c r="HRJ3788" s="179"/>
      <c r="HRK3788" s="179"/>
      <c r="HRL3788" s="179"/>
      <c r="HRM3788" s="179"/>
      <c r="HRN3788" s="179"/>
      <c r="HRO3788" s="179"/>
      <c r="HRP3788" s="179"/>
      <c r="HRQ3788" s="179"/>
      <c r="HRR3788" s="179"/>
      <c r="HRS3788" s="179"/>
      <c r="HRT3788" s="179"/>
      <c r="HRU3788" s="179"/>
      <c r="HRV3788" s="179"/>
      <c r="HRW3788" s="179"/>
      <c r="HRX3788" s="179"/>
      <c r="HRY3788" s="179"/>
      <c r="HRZ3788" s="179"/>
      <c r="HSA3788" s="179"/>
      <c r="HSB3788" s="179"/>
      <c r="HSC3788" s="179"/>
      <c r="HSD3788" s="179"/>
      <c r="HSE3788" s="179"/>
      <c r="HSF3788" s="179"/>
      <c r="HSG3788" s="179"/>
      <c r="HSH3788" s="179"/>
      <c r="HSI3788" s="179"/>
      <c r="HSJ3788" s="179"/>
      <c r="HSK3788" s="179"/>
      <c r="HSL3788" s="179"/>
      <c r="HSM3788" s="179"/>
      <c r="HSN3788" s="179"/>
      <c r="HSO3788" s="179"/>
      <c r="HSP3788" s="179"/>
      <c r="HSQ3788" s="179"/>
      <c r="HSR3788" s="179"/>
      <c r="HSS3788" s="179"/>
      <c r="HST3788" s="179"/>
      <c r="HSU3788" s="179"/>
      <c r="HSV3788" s="179"/>
      <c r="HSW3788" s="179"/>
      <c r="HSX3788" s="179"/>
      <c r="HSY3788" s="179"/>
      <c r="HSZ3788" s="179"/>
      <c r="HTA3788" s="179"/>
      <c r="HTB3788" s="179"/>
      <c r="HTC3788" s="179"/>
      <c r="HTD3788" s="179"/>
      <c r="HTE3788" s="179"/>
      <c r="HTF3788" s="179"/>
      <c r="HTG3788" s="179"/>
      <c r="HTH3788" s="179"/>
      <c r="HTI3788" s="179"/>
      <c r="HTJ3788" s="179"/>
      <c r="HTK3788" s="179"/>
      <c r="HTL3788" s="179"/>
      <c r="HTM3788" s="179"/>
      <c r="HTN3788" s="179"/>
      <c r="HTO3788" s="179"/>
      <c r="HTP3788" s="179"/>
      <c r="HTQ3788" s="179"/>
      <c r="HTR3788" s="179"/>
      <c r="HTS3788" s="179"/>
      <c r="HTT3788" s="179"/>
      <c r="HTU3788" s="179"/>
      <c r="HTV3788" s="179"/>
      <c r="HTW3788" s="179"/>
      <c r="HTX3788" s="179"/>
      <c r="HTY3788" s="179"/>
      <c r="HTZ3788" s="179"/>
      <c r="HUA3788" s="179"/>
      <c r="HUB3788" s="179"/>
      <c r="HUC3788" s="179"/>
      <c r="HUD3788" s="179"/>
      <c r="HUE3788" s="179"/>
      <c r="HUF3788" s="179"/>
      <c r="HUG3788" s="179"/>
      <c r="HUH3788" s="179"/>
      <c r="HUI3788" s="179"/>
      <c r="HUJ3788" s="179"/>
      <c r="HUK3788" s="179"/>
      <c r="HUL3788" s="179"/>
      <c r="HUM3788" s="179"/>
      <c r="HUN3788" s="179"/>
      <c r="HUO3788" s="179"/>
      <c r="HUP3788" s="179"/>
      <c r="HUQ3788" s="179"/>
      <c r="HUR3788" s="179"/>
      <c r="HUS3788" s="179"/>
      <c r="HUT3788" s="179"/>
      <c r="HUU3788" s="179"/>
      <c r="HUV3788" s="179"/>
      <c r="HUW3788" s="179"/>
      <c r="HUX3788" s="179"/>
      <c r="HUY3788" s="179"/>
      <c r="HUZ3788" s="179"/>
      <c r="HVA3788" s="179"/>
      <c r="HVB3788" s="179"/>
      <c r="HVC3788" s="179"/>
      <c r="HVD3788" s="179"/>
      <c r="HVE3788" s="179"/>
      <c r="HVF3788" s="179"/>
      <c r="HVG3788" s="179"/>
      <c r="HVH3788" s="179"/>
      <c r="HVI3788" s="179"/>
      <c r="HVJ3788" s="179"/>
      <c r="HVK3788" s="179"/>
      <c r="HVL3788" s="179"/>
      <c r="HVM3788" s="179"/>
      <c r="HVN3788" s="179"/>
      <c r="HVO3788" s="179"/>
      <c r="HVP3788" s="179"/>
      <c r="HVQ3788" s="179"/>
      <c r="HVR3788" s="179"/>
      <c r="HVS3788" s="179"/>
      <c r="HVT3788" s="179"/>
      <c r="HVU3788" s="179"/>
      <c r="HVV3788" s="179"/>
      <c r="HVW3788" s="179"/>
      <c r="HVX3788" s="179"/>
      <c r="HVY3788" s="179"/>
      <c r="HVZ3788" s="179"/>
      <c r="HWA3788" s="179"/>
      <c r="HWB3788" s="179"/>
      <c r="HWC3788" s="179"/>
      <c r="HWD3788" s="179"/>
      <c r="HWE3788" s="179"/>
      <c r="HWF3788" s="179"/>
      <c r="HWG3788" s="179"/>
      <c r="HWH3788" s="179"/>
      <c r="HWI3788" s="179"/>
      <c r="HWJ3788" s="179"/>
      <c r="HWK3788" s="179"/>
      <c r="HWL3788" s="179"/>
      <c r="HWM3788" s="179"/>
      <c r="HWN3788" s="179"/>
      <c r="HWO3788" s="179"/>
      <c r="HWP3788" s="179"/>
      <c r="HWQ3788" s="179"/>
      <c r="HWR3788" s="179"/>
      <c r="HWS3788" s="179"/>
      <c r="HWT3788" s="179"/>
      <c r="HWU3788" s="179"/>
      <c r="HWV3788" s="179"/>
      <c r="HWW3788" s="179"/>
      <c r="HWX3788" s="179"/>
      <c r="HWY3788" s="179"/>
      <c r="HWZ3788" s="179"/>
      <c r="HXA3788" s="179"/>
      <c r="HXB3788" s="179"/>
      <c r="HXC3788" s="179"/>
      <c r="HXD3788" s="179"/>
      <c r="HXE3788" s="179"/>
      <c r="HXF3788" s="179"/>
      <c r="HXG3788" s="179"/>
      <c r="HXH3788" s="179"/>
      <c r="HXI3788" s="179"/>
      <c r="HXJ3788" s="179"/>
      <c r="HXK3788" s="179"/>
      <c r="HXL3788" s="179"/>
      <c r="HXM3788" s="179"/>
      <c r="HXN3788" s="179"/>
      <c r="HXO3788" s="179"/>
      <c r="HXP3788" s="179"/>
      <c r="HXQ3788" s="179"/>
      <c r="HXR3788" s="179"/>
      <c r="HXS3788" s="179"/>
      <c r="HXT3788" s="179"/>
      <c r="HXU3788" s="179"/>
      <c r="HXV3788" s="179"/>
      <c r="HXW3788" s="179"/>
      <c r="HXX3788" s="179"/>
      <c r="HXY3788" s="179"/>
      <c r="HXZ3788" s="179"/>
      <c r="HYA3788" s="179"/>
      <c r="HYB3788" s="179"/>
      <c r="HYC3788" s="179"/>
      <c r="HYD3788" s="179"/>
      <c r="HYE3788" s="179"/>
      <c r="HYF3788" s="179"/>
      <c r="HYG3788" s="179"/>
      <c r="HYH3788" s="179"/>
      <c r="HYI3788" s="179"/>
      <c r="HYJ3788" s="179"/>
      <c r="HYK3788" s="179"/>
      <c r="HYL3788" s="179"/>
      <c r="HYM3788" s="179"/>
      <c r="HYN3788" s="179"/>
      <c r="HYO3788" s="179"/>
      <c r="HYP3788" s="179"/>
      <c r="HYQ3788" s="179"/>
      <c r="HYR3788" s="179"/>
      <c r="HYS3788" s="179"/>
      <c r="HYT3788" s="179"/>
      <c r="HYU3788" s="179"/>
      <c r="HYV3788" s="179"/>
      <c r="HYW3788" s="179"/>
      <c r="HYX3788" s="179"/>
      <c r="HYY3788" s="179"/>
      <c r="HYZ3788" s="179"/>
      <c r="HZA3788" s="179"/>
      <c r="HZB3788" s="179"/>
      <c r="HZC3788" s="179"/>
      <c r="HZD3788" s="179"/>
      <c r="HZE3788" s="179"/>
      <c r="HZF3788" s="179"/>
      <c r="HZG3788" s="179"/>
      <c r="HZH3788" s="179"/>
      <c r="HZI3788" s="179"/>
      <c r="HZJ3788" s="179"/>
      <c r="HZK3788" s="179"/>
      <c r="HZL3788" s="179"/>
      <c r="HZM3788" s="179"/>
      <c r="HZN3788" s="179"/>
      <c r="HZO3788" s="179"/>
      <c r="HZP3788" s="179"/>
      <c r="HZQ3788" s="179"/>
      <c r="HZR3788" s="179"/>
      <c r="HZS3788" s="179"/>
      <c r="HZT3788" s="179"/>
      <c r="HZU3788" s="179"/>
      <c r="HZV3788" s="179"/>
      <c r="HZW3788" s="179"/>
      <c r="HZX3788" s="179"/>
      <c r="HZY3788" s="179"/>
      <c r="HZZ3788" s="179"/>
      <c r="IAA3788" s="179"/>
      <c r="IAB3788" s="179"/>
      <c r="IAC3788" s="179"/>
      <c r="IAD3788" s="179"/>
      <c r="IAE3788" s="179"/>
      <c r="IAF3788" s="179"/>
      <c r="IAG3788" s="179"/>
      <c r="IAH3788" s="179"/>
      <c r="IAI3788" s="179"/>
      <c r="IAJ3788" s="179"/>
      <c r="IAK3788" s="179"/>
      <c r="IAL3788" s="179"/>
      <c r="IAM3788" s="179"/>
      <c r="IAN3788" s="179"/>
      <c r="IAO3788" s="179"/>
      <c r="IAP3788" s="179"/>
      <c r="IAQ3788" s="179"/>
      <c r="IAR3788" s="179"/>
      <c r="IAS3788" s="179"/>
      <c r="IAT3788" s="179"/>
      <c r="IAU3788" s="179"/>
      <c r="IAV3788" s="179"/>
      <c r="IAW3788" s="179"/>
      <c r="IAX3788" s="179"/>
      <c r="IAY3788" s="179"/>
      <c r="IAZ3788" s="179"/>
      <c r="IBA3788" s="179"/>
      <c r="IBB3788" s="179"/>
      <c r="IBC3788" s="179"/>
      <c r="IBD3788" s="179"/>
      <c r="IBE3788" s="179"/>
      <c r="IBF3788" s="179"/>
      <c r="IBG3788" s="179"/>
      <c r="IBH3788" s="179"/>
      <c r="IBI3788" s="179"/>
      <c r="IBJ3788" s="179"/>
      <c r="IBK3788" s="179"/>
      <c r="IBL3788" s="179"/>
      <c r="IBM3788" s="179"/>
      <c r="IBN3788" s="179"/>
      <c r="IBO3788" s="179"/>
      <c r="IBP3788" s="179"/>
      <c r="IBQ3788" s="179"/>
      <c r="IBR3788" s="179"/>
      <c r="IBS3788" s="179"/>
      <c r="IBT3788" s="179"/>
      <c r="IBU3788" s="179"/>
      <c r="IBV3788" s="179"/>
      <c r="IBW3788" s="179"/>
      <c r="IBX3788" s="179"/>
      <c r="IBY3788" s="179"/>
      <c r="IBZ3788" s="179"/>
      <c r="ICA3788" s="179"/>
      <c r="ICB3788" s="179"/>
      <c r="ICC3788" s="179"/>
      <c r="ICD3788" s="179"/>
      <c r="ICE3788" s="179"/>
      <c r="ICF3788" s="179"/>
      <c r="ICG3788" s="179"/>
      <c r="ICH3788" s="179"/>
      <c r="ICI3788" s="179"/>
      <c r="ICJ3788" s="179"/>
      <c r="ICK3788" s="179"/>
      <c r="ICL3788" s="179"/>
      <c r="ICM3788" s="179"/>
      <c r="ICN3788" s="179"/>
      <c r="ICO3788" s="179"/>
      <c r="ICP3788" s="179"/>
      <c r="ICQ3788" s="179"/>
      <c r="ICR3788" s="179"/>
      <c r="ICS3788" s="179"/>
      <c r="ICT3788" s="179"/>
      <c r="ICU3788" s="179"/>
      <c r="ICV3788" s="179"/>
      <c r="ICW3788" s="179"/>
      <c r="ICX3788" s="179"/>
      <c r="ICY3788" s="179"/>
      <c r="ICZ3788" s="179"/>
      <c r="IDA3788" s="179"/>
      <c r="IDB3788" s="179"/>
      <c r="IDC3788" s="179"/>
      <c r="IDD3788" s="179"/>
      <c r="IDE3788" s="179"/>
      <c r="IDF3788" s="179"/>
      <c r="IDG3788" s="179"/>
      <c r="IDH3788" s="179"/>
      <c r="IDI3788" s="179"/>
      <c r="IDJ3788" s="179"/>
      <c r="IDK3788" s="179"/>
      <c r="IDL3788" s="179"/>
      <c r="IDM3788" s="179"/>
      <c r="IDN3788" s="179"/>
      <c r="IDO3788" s="179"/>
      <c r="IDP3788" s="179"/>
      <c r="IDQ3788" s="179"/>
      <c r="IDR3788" s="179"/>
      <c r="IDS3788" s="179"/>
      <c r="IDT3788" s="179"/>
      <c r="IDU3788" s="179"/>
      <c r="IDV3788" s="179"/>
      <c r="IDW3788" s="179"/>
      <c r="IDX3788" s="179"/>
      <c r="IDY3788" s="179"/>
      <c r="IDZ3788" s="179"/>
      <c r="IEA3788" s="179"/>
      <c r="IEB3788" s="179"/>
      <c r="IEC3788" s="179"/>
      <c r="IED3788" s="179"/>
      <c r="IEE3788" s="179"/>
      <c r="IEF3788" s="179"/>
      <c r="IEG3788" s="179"/>
      <c r="IEH3788" s="179"/>
      <c r="IEI3788" s="179"/>
      <c r="IEJ3788" s="179"/>
      <c r="IEK3788" s="179"/>
      <c r="IEL3788" s="179"/>
      <c r="IEM3788" s="179"/>
      <c r="IEN3788" s="179"/>
      <c r="IEO3788" s="179"/>
      <c r="IEP3788" s="179"/>
      <c r="IEQ3788" s="179"/>
      <c r="IER3788" s="179"/>
      <c r="IES3788" s="179"/>
      <c r="IET3788" s="179"/>
      <c r="IEU3788" s="179"/>
      <c r="IEV3788" s="179"/>
      <c r="IEW3788" s="179"/>
      <c r="IEX3788" s="179"/>
      <c r="IEY3788" s="179"/>
      <c r="IEZ3788" s="179"/>
      <c r="IFA3788" s="179"/>
      <c r="IFB3788" s="179"/>
      <c r="IFC3788" s="179"/>
      <c r="IFD3788" s="179"/>
      <c r="IFE3788" s="179"/>
      <c r="IFF3788" s="179"/>
      <c r="IFG3788" s="179"/>
      <c r="IFH3788" s="179"/>
      <c r="IFI3788" s="179"/>
      <c r="IFJ3788" s="179"/>
      <c r="IFK3788" s="179"/>
      <c r="IFL3788" s="179"/>
      <c r="IFM3788" s="179"/>
      <c r="IFN3788" s="179"/>
      <c r="IFO3788" s="179"/>
      <c r="IFP3788" s="179"/>
      <c r="IFQ3788" s="179"/>
      <c r="IFR3788" s="179"/>
      <c r="IFS3788" s="179"/>
      <c r="IFT3788" s="179"/>
      <c r="IFU3788" s="179"/>
      <c r="IFV3788" s="179"/>
      <c r="IFW3788" s="179"/>
      <c r="IFX3788" s="179"/>
      <c r="IFY3788" s="179"/>
      <c r="IFZ3788" s="179"/>
      <c r="IGA3788" s="179"/>
      <c r="IGB3788" s="179"/>
      <c r="IGC3788" s="179"/>
      <c r="IGD3788" s="179"/>
      <c r="IGE3788" s="179"/>
      <c r="IGF3788" s="179"/>
      <c r="IGG3788" s="179"/>
      <c r="IGH3788" s="179"/>
      <c r="IGI3788" s="179"/>
      <c r="IGJ3788" s="179"/>
      <c r="IGK3788" s="179"/>
      <c r="IGL3788" s="179"/>
      <c r="IGM3788" s="179"/>
      <c r="IGN3788" s="179"/>
      <c r="IGO3788" s="179"/>
      <c r="IGP3788" s="179"/>
      <c r="IGQ3788" s="179"/>
      <c r="IGR3788" s="179"/>
      <c r="IGS3788" s="179"/>
      <c r="IGT3788" s="179"/>
      <c r="IGU3788" s="179"/>
      <c r="IGV3788" s="179"/>
      <c r="IGW3788" s="179"/>
      <c r="IGX3788" s="179"/>
      <c r="IGY3788" s="179"/>
      <c r="IGZ3788" s="179"/>
      <c r="IHA3788" s="179"/>
      <c r="IHB3788" s="179"/>
      <c r="IHC3788" s="179"/>
      <c r="IHD3788" s="179"/>
      <c r="IHE3788" s="179"/>
      <c r="IHF3788" s="179"/>
      <c r="IHG3788" s="179"/>
      <c r="IHH3788" s="179"/>
      <c r="IHI3788" s="179"/>
      <c r="IHJ3788" s="179"/>
      <c r="IHK3788" s="179"/>
      <c r="IHL3788" s="179"/>
      <c r="IHM3788" s="179"/>
      <c r="IHN3788" s="179"/>
      <c r="IHO3788" s="179"/>
      <c r="IHP3788" s="179"/>
      <c r="IHQ3788" s="179"/>
      <c r="IHR3788" s="179"/>
      <c r="IHS3788" s="179"/>
      <c r="IHT3788" s="179"/>
      <c r="IHU3788" s="179"/>
      <c r="IHV3788" s="179"/>
      <c r="IHW3788" s="179"/>
      <c r="IHX3788" s="179"/>
      <c r="IHY3788" s="179"/>
      <c r="IHZ3788" s="179"/>
      <c r="IIA3788" s="179"/>
      <c r="IIB3788" s="179"/>
      <c r="IIC3788" s="179"/>
      <c r="IID3788" s="179"/>
      <c r="IIE3788" s="179"/>
      <c r="IIF3788" s="179"/>
      <c r="IIG3788" s="179"/>
      <c r="IIH3788" s="179"/>
      <c r="III3788" s="179"/>
      <c r="IIJ3788" s="179"/>
      <c r="IIK3788" s="179"/>
      <c r="IIL3788" s="179"/>
      <c r="IIM3788" s="179"/>
      <c r="IIN3788" s="179"/>
      <c r="IIO3788" s="179"/>
      <c r="IIP3788" s="179"/>
      <c r="IIQ3788" s="179"/>
      <c r="IIR3788" s="179"/>
      <c r="IIS3788" s="179"/>
      <c r="IIT3788" s="179"/>
      <c r="IIU3788" s="179"/>
      <c r="IIV3788" s="179"/>
      <c r="IIW3788" s="179"/>
      <c r="IIX3788" s="179"/>
      <c r="IIY3788" s="179"/>
      <c r="IIZ3788" s="179"/>
      <c r="IJA3788" s="179"/>
      <c r="IJB3788" s="179"/>
      <c r="IJC3788" s="179"/>
      <c r="IJD3788" s="179"/>
      <c r="IJE3788" s="179"/>
      <c r="IJF3788" s="179"/>
      <c r="IJG3788" s="179"/>
      <c r="IJH3788" s="179"/>
      <c r="IJI3788" s="179"/>
      <c r="IJJ3788" s="179"/>
      <c r="IJK3788" s="179"/>
      <c r="IJL3788" s="179"/>
      <c r="IJM3788" s="179"/>
      <c r="IJN3788" s="179"/>
      <c r="IJO3788" s="179"/>
      <c r="IJP3788" s="179"/>
      <c r="IJQ3788" s="179"/>
      <c r="IJR3788" s="179"/>
      <c r="IJS3788" s="179"/>
      <c r="IJT3788" s="179"/>
      <c r="IJU3788" s="179"/>
      <c r="IJV3788" s="179"/>
      <c r="IJW3788" s="179"/>
      <c r="IJX3788" s="179"/>
      <c r="IJY3788" s="179"/>
      <c r="IJZ3788" s="179"/>
      <c r="IKA3788" s="179"/>
      <c r="IKB3788" s="179"/>
      <c r="IKC3788" s="179"/>
      <c r="IKD3788" s="179"/>
      <c r="IKE3788" s="179"/>
      <c r="IKF3788" s="179"/>
      <c r="IKG3788" s="179"/>
      <c r="IKH3788" s="179"/>
      <c r="IKI3788" s="179"/>
      <c r="IKJ3788" s="179"/>
      <c r="IKK3788" s="179"/>
      <c r="IKL3788" s="179"/>
      <c r="IKM3788" s="179"/>
      <c r="IKN3788" s="179"/>
      <c r="IKO3788" s="179"/>
      <c r="IKP3788" s="179"/>
      <c r="IKQ3788" s="179"/>
      <c r="IKR3788" s="179"/>
      <c r="IKS3788" s="179"/>
      <c r="IKT3788" s="179"/>
      <c r="IKU3788" s="179"/>
      <c r="IKV3788" s="179"/>
      <c r="IKW3788" s="179"/>
      <c r="IKX3788" s="179"/>
      <c r="IKY3788" s="179"/>
      <c r="IKZ3788" s="179"/>
      <c r="ILA3788" s="179"/>
      <c r="ILB3788" s="179"/>
      <c r="ILC3788" s="179"/>
      <c r="ILD3788" s="179"/>
      <c r="ILE3788" s="179"/>
      <c r="ILF3788" s="179"/>
      <c r="ILG3788" s="179"/>
      <c r="ILH3788" s="179"/>
      <c r="ILI3788" s="179"/>
      <c r="ILJ3788" s="179"/>
      <c r="ILK3788" s="179"/>
      <c r="ILL3788" s="179"/>
      <c r="ILM3788" s="179"/>
      <c r="ILN3788" s="179"/>
      <c r="ILO3788" s="179"/>
      <c r="ILP3788" s="179"/>
      <c r="ILQ3788" s="179"/>
      <c r="ILR3788" s="179"/>
      <c r="ILS3788" s="179"/>
      <c r="ILT3788" s="179"/>
      <c r="ILU3788" s="179"/>
      <c r="ILV3788" s="179"/>
      <c r="ILW3788" s="179"/>
      <c r="ILX3788" s="179"/>
      <c r="ILY3788" s="179"/>
      <c r="ILZ3788" s="179"/>
      <c r="IMA3788" s="179"/>
      <c r="IMB3788" s="179"/>
      <c r="IMC3788" s="179"/>
      <c r="IMD3788" s="179"/>
      <c r="IME3788" s="179"/>
      <c r="IMF3788" s="179"/>
      <c r="IMG3788" s="179"/>
      <c r="IMH3788" s="179"/>
      <c r="IMI3788" s="179"/>
      <c r="IMJ3788" s="179"/>
      <c r="IMK3788" s="179"/>
      <c r="IML3788" s="179"/>
      <c r="IMM3788" s="179"/>
      <c r="IMN3788" s="179"/>
      <c r="IMO3788" s="179"/>
      <c r="IMP3788" s="179"/>
      <c r="IMQ3788" s="179"/>
      <c r="IMR3788" s="179"/>
      <c r="IMS3788" s="179"/>
      <c r="IMT3788" s="179"/>
      <c r="IMU3788" s="179"/>
      <c r="IMV3788" s="179"/>
      <c r="IMW3788" s="179"/>
      <c r="IMX3788" s="179"/>
      <c r="IMY3788" s="179"/>
      <c r="IMZ3788" s="179"/>
      <c r="INA3788" s="179"/>
      <c r="INB3788" s="179"/>
      <c r="INC3788" s="179"/>
      <c r="IND3788" s="179"/>
      <c r="INE3788" s="179"/>
      <c r="INF3788" s="179"/>
      <c r="ING3788" s="179"/>
      <c r="INH3788" s="179"/>
      <c r="INI3788" s="179"/>
      <c r="INJ3788" s="179"/>
      <c r="INK3788" s="179"/>
      <c r="INL3788" s="179"/>
      <c r="INM3788" s="179"/>
      <c r="INN3788" s="179"/>
      <c r="INO3788" s="179"/>
      <c r="INP3788" s="179"/>
      <c r="INQ3788" s="179"/>
      <c r="INR3788" s="179"/>
      <c r="INS3788" s="179"/>
      <c r="INT3788" s="179"/>
      <c r="INU3788" s="179"/>
      <c r="INV3788" s="179"/>
      <c r="INW3788" s="179"/>
      <c r="INX3788" s="179"/>
      <c r="INY3788" s="179"/>
      <c r="INZ3788" s="179"/>
      <c r="IOA3788" s="179"/>
      <c r="IOB3788" s="179"/>
      <c r="IOC3788" s="179"/>
      <c r="IOD3788" s="179"/>
      <c r="IOE3788" s="179"/>
      <c r="IOF3788" s="179"/>
      <c r="IOG3788" s="179"/>
      <c r="IOH3788" s="179"/>
      <c r="IOI3788" s="179"/>
      <c r="IOJ3788" s="179"/>
      <c r="IOK3788" s="179"/>
      <c r="IOL3788" s="179"/>
      <c r="IOM3788" s="179"/>
      <c r="ION3788" s="179"/>
      <c r="IOO3788" s="179"/>
      <c r="IOP3788" s="179"/>
      <c r="IOQ3788" s="179"/>
      <c r="IOR3788" s="179"/>
      <c r="IOS3788" s="179"/>
      <c r="IOT3788" s="179"/>
      <c r="IOU3788" s="179"/>
      <c r="IOV3788" s="179"/>
      <c r="IOW3788" s="179"/>
      <c r="IOX3788" s="179"/>
      <c r="IOY3788" s="179"/>
      <c r="IOZ3788" s="179"/>
      <c r="IPA3788" s="179"/>
      <c r="IPB3788" s="179"/>
      <c r="IPC3788" s="179"/>
      <c r="IPD3788" s="179"/>
      <c r="IPE3788" s="179"/>
      <c r="IPF3788" s="179"/>
      <c r="IPG3788" s="179"/>
      <c r="IPH3788" s="179"/>
      <c r="IPI3788" s="179"/>
      <c r="IPJ3788" s="179"/>
      <c r="IPK3788" s="179"/>
      <c r="IPL3788" s="179"/>
      <c r="IPM3788" s="179"/>
      <c r="IPN3788" s="179"/>
      <c r="IPO3788" s="179"/>
      <c r="IPP3788" s="179"/>
      <c r="IPQ3788" s="179"/>
      <c r="IPR3788" s="179"/>
      <c r="IPS3788" s="179"/>
      <c r="IPT3788" s="179"/>
      <c r="IPU3788" s="179"/>
      <c r="IPV3788" s="179"/>
      <c r="IPW3788" s="179"/>
      <c r="IPX3788" s="179"/>
      <c r="IPY3788" s="179"/>
      <c r="IPZ3788" s="179"/>
      <c r="IQA3788" s="179"/>
      <c r="IQB3788" s="179"/>
      <c r="IQC3788" s="179"/>
      <c r="IQD3788" s="179"/>
      <c r="IQE3788" s="179"/>
      <c r="IQF3788" s="179"/>
      <c r="IQG3788" s="179"/>
      <c r="IQH3788" s="179"/>
      <c r="IQI3788" s="179"/>
      <c r="IQJ3788" s="179"/>
      <c r="IQK3788" s="179"/>
      <c r="IQL3788" s="179"/>
      <c r="IQM3788" s="179"/>
      <c r="IQN3788" s="179"/>
      <c r="IQO3788" s="179"/>
      <c r="IQP3788" s="179"/>
      <c r="IQQ3788" s="179"/>
      <c r="IQR3788" s="179"/>
      <c r="IQS3788" s="179"/>
      <c r="IQT3788" s="179"/>
      <c r="IQU3788" s="179"/>
      <c r="IQV3788" s="179"/>
      <c r="IQW3788" s="179"/>
      <c r="IQX3788" s="179"/>
      <c r="IQY3788" s="179"/>
      <c r="IQZ3788" s="179"/>
      <c r="IRA3788" s="179"/>
      <c r="IRB3788" s="179"/>
      <c r="IRC3788" s="179"/>
      <c r="IRD3788" s="179"/>
      <c r="IRE3788" s="179"/>
      <c r="IRF3788" s="179"/>
      <c r="IRG3788" s="179"/>
      <c r="IRH3788" s="179"/>
      <c r="IRI3788" s="179"/>
      <c r="IRJ3788" s="179"/>
      <c r="IRK3788" s="179"/>
      <c r="IRL3788" s="179"/>
      <c r="IRM3788" s="179"/>
      <c r="IRN3788" s="179"/>
      <c r="IRO3788" s="179"/>
      <c r="IRP3788" s="179"/>
      <c r="IRQ3788" s="179"/>
      <c r="IRR3788" s="179"/>
      <c r="IRS3788" s="179"/>
      <c r="IRT3788" s="179"/>
      <c r="IRU3788" s="179"/>
      <c r="IRV3788" s="179"/>
      <c r="IRW3788" s="179"/>
      <c r="IRX3788" s="179"/>
      <c r="IRY3788" s="179"/>
      <c r="IRZ3788" s="179"/>
      <c r="ISA3788" s="179"/>
      <c r="ISB3788" s="179"/>
      <c r="ISC3788" s="179"/>
      <c r="ISD3788" s="179"/>
      <c r="ISE3788" s="179"/>
      <c r="ISF3788" s="179"/>
      <c r="ISG3788" s="179"/>
      <c r="ISH3788" s="179"/>
      <c r="ISI3788" s="179"/>
      <c r="ISJ3788" s="179"/>
      <c r="ISK3788" s="179"/>
      <c r="ISL3788" s="179"/>
      <c r="ISM3788" s="179"/>
      <c r="ISN3788" s="179"/>
      <c r="ISO3788" s="179"/>
      <c r="ISP3788" s="179"/>
      <c r="ISQ3788" s="179"/>
      <c r="ISR3788" s="179"/>
      <c r="ISS3788" s="179"/>
      <c r="IST3788" s="179"/>
      <c r="ISU3788" s="179"/>
      <c r="ISV3788" s="179"/>
      <c r="ISW3788" s="179"/>
      <c r="ISX3788" s="179"/>
      <c r="ISY3788" s="179"/>
      <c r="ISZ3788" s="179"/>
      <c r="ITA3788" s="179"/>
      <c r="ITB3788" s="179"/>
      <c r="ITC3788" s="179"/>
      <c r="ITD3788" s="179"/>
      <c r="ITE3788" s="179"/>
      <c r="ITF3788" s="179"/>
      <c r="ITG3788" s="179"/>
      <c r="ITH3788" s="179"/>
      <c r="ITI3788" s="179"/>
      <c r="ITJ3788" s="179"/>
      <c r="ITK3788" s="179"/>
      <c r="ITL3788" s="179"/>
      <c r="ITM3788" s="179"/>
      <c r="ITN3788" s="179"/>
      <c r="ITO3788" s="179"/>
      <c r="ITP3788" s="179"/>
      <c r="ITQ3788" s="179"/>
      <c r="ITR3788" s="179"/>
      <c r="ITS3788" s="179"/>
      <c r="ITT3788" s="179"/>
      <c r="ITU3788" s="179"/>
      <c r="ITV3788" s="179"/>
      <c r="ITW3788" s="179"/>
      <c r="ITX3788" s="179"/>
      <c r="ITY3788" s="179"/>
      <c r="ITZ3788" s="179"/>
      <c r="IUA3788" s="179"/>
      <c r="IUB3788" s="179"/>
      <c r="IUC3788" s="179"/>
      <c r="IUD3788" s="179"/>
      <c r="IUE3788" s="179"/>
      <c r="IUF3788" s="179"/>
      <c r="IUG3788" s="179"/>
      <c r="IUH3788" s="179"/>
      <c r="IUI3788" s="179"/>
      <c r="IUJ3788" s="179"/>
      <c r="IUK3788" s="179"/>
      <c r="IUL3788" s="179"/>
      <c r="IUM3788" s="179"/>
      <c r="IUN3788" s="179"/>
      <c r="IUO3788" s="179"/>
      <c r="IUP3788" s="179"/>
      <c r="IUQ3788" s="179"/>
      <c r="IUR3788" s="179"/>
      <c r="IUS3788" s="179"/>
      <c r="IUT3788" s="179"/>
      <c r="IUU3788" s="179"/>
      <c r="IUV3788" s="179"/>
      <c r="IUW3788" s="179"/>
      <c r="IUX3788" s="179"/>
      <c r="IUY3788" s="179"/>
      <c r="IUZ3788" s="179"/>
      <c r="IVA3788" s="179"/>
      <c r="IVB3788" s="179"/>
      <c r="IVC3788" s="179"/>
      <c r="IVD3788" s="179"/>
      <c r="IVE3788" s="179"/>
      <c r="IVF3788" s="179"/>
      <c r="IVG3788" s="179"/>
      <c r="IVH3788" s="179"/>
      <c r="IVI3788" s="179"/>
      <c r="IVJ3788" s="179"/>
      <c r="IVK3788" s="179"/>
      <c r="IVL3788" s="179"/>
      <c r="IVM3788" s="179"/>
      <c r="IVN3788" s="179"/>
      <c r="IVO3788" s="179"/>
      <c r="IVP3788" s="179"/>
      <c r="IVQ3788" s="179"/>
      <c r="IVR3788" s="179"/>
      <c r="IVS3788" s="179"/>
      <c r="IVT3788" s="179"/>
      <c r="IVU3788" s="179"/>
      <c r="IVV3788" s="179"/>
      <c r="IVW3788" s="179"/>
      <c r="IVX3788" s="179"/>
      <c r="IVY3788" s="179"/>
      <c r="IVZ3788" s="179"/>
      <c r="IWA3788" s="179"/>
      <c r="IWB3788" s="179"/>
      <c r="IWC3788" s="179"/>
      <c r="IWD3788" s="179"/>
      <c r="IWE3788" s="179"/>
      <c r="IWF3788" s="179"/>
      <c r="IWG3788" s="179"/>
      <c r="IWH3788" s="179"/>
      <c r="IWI3788" s="179"/>
      <c r="IWJ3788" s="179"/>
      <c r="IWK3788" s="179"/>
      <c r="IWL3788" s="179"/>
      <c r="IWM3788" s="179"/>
      <c r="IWN3788" s="179"/>
      <c r="IWO3788" s="179"/>
      <c r="IWP3788" s="179"/>
      <c r="IWQ3788" s="179"/>
      <c r="IWR3788" s="179"/>
      <c r="IWS3788" s="179"/>
      <c r="IWT3788" s="179"/>
      <c r="IWU3788" s="179"/>
      <c r="IWV3788" s="179"/>
      <c r="IWW3788" s="179"/>
      <c r="IWX3788" s="179"/>
      <c r="IWY3788" s="179"/>
      <c r="IWZ3788" s="179"/>
      <c r="IXA3788" s="179"/>
      <c r="IXB3788" s="179"/>
      <c r="IXC3788" s="179"/>
      <c r="IXD3788" s="179"/>
      <c r="IXE3788" s="179"/>
      <c r="IXF3788" s="179"/>
      <c r="IXG3788" s="179"/>
      <c r="IXH3788" s="179"/>
      <c r="IXI3788" s="179"/>
      <c r="IXJ3788" s="179"/>
      <c r="IXK3788" s="179"/>
      <c r="IXL3788" s="179"/>
      <c r="IXM3788" s="179"/>
      <c r="IXN3788" s="179"/>
      <c r="IXO3788" s="179"/>
      <c r="IXP3788" s="179"/>
      <c r="IXQ3788" s="179"/>
      <c r="IXR3788" s="179"/>
      <c r="IXS3788" s="179"/>
      <c r="IXT3788" s="179"/>
      <c r="IXU3788" s="179"/>
      <c r="IXV3788" s="179"/>
      <c r="IXW3788" s="179"/>
      <c r="IXX3788" s="179"/>
      <c r="IXY3788" s="179"/>
      <c r="IXZ3788" s="179"/>
      <c r="IYA3788" s="179"/>
      <c r="IYB3788" s="179"/>
      <c r="IYC3788" s="179"/>
      <c r="IYD3788" s="179"/>
      <c r="IYE3788" s="179"/>
      <c r="IYF3788" s="179"/>
      <c r="IYG3788" s="179"/>
      <c r="IYH3788" s="179"/>
      <c r="IYI3788" s="179"/>
      <c r="IYJ3788" s="179"/>
      <c r="IYK3788" s="179"/>
      <c r="IYL3788" s="179"/>
      <c r="IYM3788" s="179"/>
      <c r="IYN3788" s="179"/>
      <c r="IYO3788" s="179"/>
      <c r="IYP3788" s="179"/>
      <c r="IYQ3788" s="179"/>
      <c r="IYR3788" s="179"/>
      <c r="IYS3788" s="179"/>
      <c r="IYT3788" s="179"/>
      <c r="IYU3788" s="179"/>
      <c r="IYV3788" s="179"/>
      <c r="IYW3788" s="179"/>
      <c r="IYX3788" s="179"/>
      <c r="IYY3788" s="179"/>
      <c r="IYZ3788" s="179"/>
      <c r="IZA3788" s="179"/>
      <c r="IZB3788" s="179"/>
      <c r="IZC3788" s="179"/>
      <c r="IZD3788" s="179"/>
      <c r="IZE3788" s="179"/>
      <c r="IZF3788" s="179"/>
      <c r="IZG3788" s="179"/>
      <c r="IZH3788" s="179"/>
      <c r="IZI3788" s="179"/>
      <c r="IZJ3788" s="179"/>
      <c r="IZK3788" s="179"/>
      <c r="IZL3788" s="179"/>
      <c r="IZM3788" s="179"/>
      <c r="IZN3788" s="179"/>
      <c r="IZO3788" s="179"/>
      <c r="IZP3788" s="179"/>
      <c r="IZQ3788" s="179"/>
      <c r="IZR3788" s="179"/>
      <c r="IZS3788" s="179"/>
      <c r="IZT3788" s="179"/>
      <c r="IZU3788" s="179"/>
      <c r="IZV3788" s="179"/>
      <c r="IZW3788" s="179"/>
      <c r="IZX3788" s="179"/>
      <c r="IZY3788" s="179"/>
      <c r="IZZ3788" s="179"/>
      <c r="JAA3788" s="179"/>
      <c r="JAB3788" s="179"/>
      <c r="JAC3788" s="179"/>
      <c r="JAD3788" s="179"/>
      <c r="JAE3788" s="179"/>
      <c r="JAF3788" s="179"/>
      <c r="JAG3788" s="179"/>
      <c r="JAH3788" s="179"/>
      <c r="JAI3788" s="179"/>
      <c r="JAJ3788" s="179"/>
      <c r="JAK3788" s="179"/>
      <c r="JAL3788" s="179"/>
      <c r="JAM3788" s="179"/>
      <c r="JAN3788" s="179"/>
      <c r="JAO3788" s="179"/>
      <c r="JAP3788" s="179"/>
      <c r="JAQ3788" s="179"/>
      <c r="JAR3788" s="179"/>
      <c r="JAS3788" s="179"/>
      <c r="JAT3788" s="179"/>
      <c r="JAU3788" s="179"/>
      <c r="JAV3788" s="179"/>
      <c r="JAW3788" s="179"/>
      <c r="JAX3788" s="179"/>
      <c r="JAY3788" s="179"/>
      <c r="JAZ3788" s="179"/>
      <c r="JBA3788" s="179"/>
      <c r="JBB3788" s="179"/>
      <c r="JBC3788" s="179"/>
      <c r="JBD3788" s="179"/>
      <c r="JBE3788" s="179"/>
      <c r="JBF3788" s="179"/>
      <c r="JBG3788" s="179"/>
      <c r="JBH3788" s="179"/>
      <c r="JBI3788" s="179"/>
      <c r="JBJ3788" s="179"/>
      <c r="JBK3788" s="179"/>
      <c r="JBL3788" s="179"/>
      <c r="JBM3788" s="179"/>
      <c r="JBN3788" s="179"/>
      <c r="JBO3788" s="179"/>
      <c r="JBP3788" s="179"/>
      <c r="JBQ3788" s="179"/>
      <c r="JBR3788" s="179"/>
      <c r="JBS3788" s="179"/>
      <c r="JBT3788" s="179"/>
      <c r="JBU3788" s="179"/>
      <c r="JBV3788" s="179"/>
      <c r="JBW3788" s="179"/>
      <c r="JBX3788" s="179"/>
      <c r="JBY3788" s="179"/>
      <c r="JBZ3788" s="179"/>
      <c r="JCA3788" s="179"/>
      <c r="JCB3788" s="179"/>
      <c r="JCC3788" s="179"/>
      <c r="JCD3788" s="179"/>
      <c r="JCE3788" s="179"/>
      <c r="JCF3788" s="179"/>
      <c r="JCG3788" s="179"/>
      <c r="JCH3788" s="179"/>
      <c r="JCI3788" s="179"/>
      <c r="JCJ3788" s="179"/>
      <c r="JCK3788" s="179"/>
      <c r="JCL3788" s="179"/>
      <c r="JCM3788" s="179"/>
      <c r="JCN3788" s="179"/>
      <c r="JCO3788" s="179"/>
      <c r="JCP3788" s="179"/>
      <c r="JCQ3788" s="179"/>
      <c r="JCR3788" s="179"/>
      <c r="JCS3788" s="179"/>
      <c r="JCT3788" s="179"/>
      <c r="JCU3788" s="179"/>
      <c r="JCV3788" s="179"/>
      <c r="JCW3788" s="179"/>
      <c r="JCX3788" s="179"/>
      <c r="JCY3788" s="179"/>
      <c r="JCZ3788" s="179"/>
      <c r="JDA3788" s="179"/>
      <c r="JDB3788" s="179"/>
      <c r="JDC3788" s="179"/>
      <c r="JDD3788" s="179"/>
      <c r="JDE3788" s="179"/>
      <c r="JDF3788" s="179"/>
      <c r="JDG3788" s="179"/>
      <c r="JDH3788" s="179"/>
      <c r="JDI3788" s="179"/>
      <c r="JDJ3788" s="179"/>
      <c r="JDK3788" s="179"/>
      <c r="JDL3788" s="179"/>
      <c r="JDM3788" s="179"/>
      <c r="JDN3788" s="179"/>
      <c r="JDO3788" s="179"/>
      <c r="JDP3788" s="179"/>
      <c r="JDQ3788" s="179"/>
      <c r="JDR3788" s="179"/>
      <c r="JDS3788" s="179"/>
      <c r="JDT3788" s="179"/>
      <c r="JDU3788" s="179"/>
      <c r="JDV3788" s="179"/>
      <c r="JDW3788" s="179"/>
      <c r="JDX3788" s="179"/>
      <c r="JDY3788" s="179"/>
      <c r="JDZ3788" s="179"/>
      <c r="JEA3788" s="179"/>
      <c r="JEB3788" s="179"/>
      <c r="JEC3788" s="179"/>
      <c r="JED3788" s="179"/>
      <c r="JEE3788" s="179"/>
      <c r="JEF3788" s="179"/>
      <c r="JEG3788" s="179"/>
      <c r="JEH3788" s="179"/>
      <c r="JEI3788" s="179"/>
      <c r="JEJ3788" s="179"/>
      <c r="JEK3788" s="179"/>
      <c r="JEL3788" s="179"/>
      <c r="JEM3788" s="179"/>
      <c r="JEN3788" s="179"/>
      <c r="JEO3788" s="179"/>
      <c r="JEP3788" s="179"/>
      <c r="JEQ3788" s="179"/>
      <c r="JER3788" s="179"/>
      <c r="JES3788" s="179"/>
      <c r="JET3788" s="179"/>
      <c r="JEU3788" s="179"/>
      <c r="JEV3788" s="179"/>
      <c r="JEW3788" s="179"/>
      <c r="JEX3788" s="179"/>
      <c r="JEY3788" s="179"/>
      <c r="JEZ3788" s="179"/>
      <c r="JFA3788" s="179"/>
      <c r="JFB3788" s="179"/>
      <c r="JFC3788" s="179"/>
      <c r="JFD3788" s="179"/>
      <c r="JFE3788" s="179"/>
      <c r="JFF3788" s="179"/>
      <c r="JFG3788" s="179"/>
      <c r="JFH3788" s="179"/>
      <c r="JFI3788" s="179"/>
      <c r="JFJ3788" s="179"/>
      <c r="JFK3788" s="179"/>
      <c r="JFL3788" s="179"/>
      <c r="JFM3788" s="179"/>
      <c r="JFN3788" s="179"/>
      <c r="JFO3788" s="179"/>
      <c r="JFP3788" s="179"/>
      <c r="JFQ3788" s="179"/>
      <c r="JFR3788" s="179"/>
      <c r="JFS3788" s="179"/>
      <c r="JFT3788" s="179"/>
      <c r="JFU3788" s="179"/>
      <c r="JFV3788" s="179"/>
      <c r="JFW3788" s="179"/>
      <c r="JFX3788" s="179"/>
      <c r="JFY3788" s="179"/>
      <c r="JFZ3788" s="179"/>
      <c r="JGA3788" s="179"/>
      <c r="JGB3788" s="179"/>
      <c r="JGC3788" s="179"/>
      <c r="JGD3788" s="179"/>
      <c r="JGE3788" s="179"/>
      <c r="JGF3788" s="179"/>
      <c r="JGG3788" s="179"/>
      <c r="JGH3788" s="179"/>
      <c r="JGI3788" s="179"/>
      <c r="JGJ3788" s="179"/>
      <c r="JGK3788" s="179"/>
      <c r="JGL3788" s="179"/>
      <c r="JGM3788" s="179"/>
      <c r="JGN3788" s="179"/>
      <c r="JGO3788" s="179"/>
      <c r="JGP3788" s="179"/>
      <c r="JGQ3788" s="179"/>
      <c r="JGR3788" s="179"/>
      <c r="JGS3788" s="179"/>
      <c r="JGT3788" s="179"/>
      <c r="JGU3788" s="179"/>
      <c r="JGV3788" s="179"/>
      <c r="JGW3788" s="179"/>
      <c r="JGX3788" s="179"/>
      <c r="JGY3788" s="179"/>
      <c r="JGZ3788" s="179"/>
      <c r="JHA3788" s="179"/>
      <c r="JHB3788" s="179"/>
      <c r="JHC3788" s="179"/>
      <c r="JHD3788" s="179"/>
      <c r="JHE3788" s="179"/>
      <c r="JHF3788" s="179"/>
      <c r="JHG3788" s="179"/>
      <c r="JHH3788" s="179"/>
      <c r="JHI3788" s="179"/>
      <c r="JHJ3788" s="179"/>
      <c r="JHK3788" s="179"/>
      <c r="JHL3788" s="179"/>
      <c r="JHM3788" s="179"/>
      <c r="JHN3788" s="179"/>
      <c r="JHO3788" s="179"/>
      <c r="JHP3788" s="179"/>
      <c r="JHQ3788" s="179"/>
      <c r="JHR3788" s="179"/>
      <c r="JHS3788" s="179"/>
      <c r="JHT3788" s="179"/>
      <c r="JHU3788" s="179"/>
      <c r="JHV3788" s="179"/>
      <c r="JHW3788" s="179"/>
      <c r="JHX3788" s="179"/>
      <c r="JHY3788" s="179"/>
      <c r="JHZ3788" s="179"/>
      <c r="JIA3788" s="179"/>
      <c r="JIB3788" s="179"/>
      <c r="JIC3788" s="179"/>
      <c r="JID3788" s="179"/>
      <c r="JIE3788" s="179"/>
      <c r="JIF3788" s="179"/>
      <c r="JIG3788" s="179"/>
      <c r="JIH3788" s="179"/>
      <c r="JII3788" s="179"/>
      <c r="JIJ3788" s="179"/>
      <c r="JIK3788" s="179"/>
      <c r="JIL3788" s="179"/>
      <c r="JIM3788" s="179"/>
      <c r="JIN3788" s="179"/>
      <c r="JIO3788" s="179"/>
      <c r="JIP3788" s="179"/>
      <c r="JIQ3788" s="179"/>
      <c r="JIR3788" s="179"/>
      <c r="JIS3788" s="179"/>
      <c r="JIT3788" s="179"/>
      <c r="JIU3788" s="179"/>
      <c r="JIV3788" s="179"/>
      <c r="JIW3788" s="179"/>
      <c r="JIX3788" s="179"/>
      <c r="JIY3788" s="179"/>
      <c r="JIZ3788" s="179"/>
      <c r="JJA3788" s="179"/>
      <c r="JJB3788" s="179"/>
      <c r="JJC3788" s="179"/>
      <c r="JJD3788" s="179"/>
      <c r="JJE3788" s="179"/>
      <c r="JJF3788" s="179"/>
      <c r="JJG3788" s="179"/>
      <c r="JJH3788" s="179"/>
      <c r="JJI3788" s="179"/>
      <c r="JJJ3788" s="179"/>
      <c r="JJK3788" s="179"/>
      <c r="JJL3788" s="179"/>
      <c r="JJM3788" s="179"/>
      <c r="JJN3788" s="179"/>
      <c r="JJO3788" s="179"/>
      <c r="JJP3788" s="179"/>
      <c r="JJQ3788" s="179"/>
      <c r="JJR3788" s="179"/>
      <c r="JJS3788" s="179"/>
      <c r="JJT3788" s="179"/>
      <c r="JJU3788" s="179"/>
      <c r="JJV3788" s="179"/>
      <c r="JJW3788" s="179"/>
      <c r="JJX3788" s="179"/>
      <c r="JJY3788" s="179"/>
      <c r="JJZ3788" s="179"/>
      <c r="JKA3788" s="179"/>
      <c r="JKB3788" s="179"/>
      <c r="JKC3788" s="179"/>
      <c r="JKD3788" s="179"/>
      <c r="JKE3788" s="179"/>
      <c r="JKF3788" s="179"/>
      <c r="JKG3788" s="179"/>
      <c r="JKH3788" s="179"/>
      <c r="JKI3788" s="179"/>
      <c r="JKJ3788" s="179"/>
      <c r="JKK3788" s="179"/>
      <c r="JKL3788" s="179"/>
      <c r="JKM3788" s="179"/>
      <c r="JKN3788" s="179"/>
      <c r="JKO3788" s="179"/>
      <c r="JKP3788" s="179"/>
      <c r="JKQ3788" s="179"/>
      <c r="JKR3788" s="179"/>
      <c r="JKS3788" s="179"/>
      <c r="JKT3788" s="179"/>
      <c r="JKU3788" s="179"/>
      <c r="JKV3788" s="179"/>
      <c r="JKW3788" s="179"/>
      <c r="JKX3788" s="179"/>
      <c r="JKY3788" s="179"/>
      <c r="JKZ3788" s="179"/>
      <c r="JLA3788" s="179"/>
      <c r="JLB3788" s="179"/>
      <c r="JLC3788" s="179"/>
      <c r="JLD3788" s="179"/>
      <c r="JLE3788" s="179"/>
      <c r="JLF3788" s="179"/>
      <c r="JLG3788" s="179"/>
      <c r="JLH3788" s="179"/>
      <c r="JLI3788" s="179"/>
      <c r="JLJ3788" s="179"/>
      <c r="JLK3788" s="179"/>
      <c r="JLL3788" s="179"/>
      <c r="JLM3788" s="179"/>
      <c r="JLN3788" s="179"/>
      <c r="JLO3788" s="179"/>
      <c r="JLP3788" s="179"/>
      <c r="JLQ3788" s="179"/>
      <c r="JLR3788" s="179"/>
      <c r="JLS3788" s="179"/>
      <c r="JLT3788" s="179"/>
      <c r="JLU3788" s="179"/>
      <c r="JLV3788" s="179"/>
      <c r="JLW3788" s="179"/>
      <c r="JLX3788" s="179"/>
      <c r="JLY3788" s="179"/>
      <c r="JLZ3788" s="179"/>
      <c r="JMA3788" s="179"/>
      <c r="JMB3788" s="179"/>
      <c r="JMC3788" s="179"/>
      <c r="JMD3788" s="179"/>
      <c r="JME3788" s="179"/>
      <c r="JMF3788" s="179"/>
      <c r="JMG3788" s="179"/>
      <c r="JMH3788" s="179"/>
      <c r="JMI3788" s="179"/>
      <c r="JMJ3788" s="179"/>
      <c r="JMK3788" s="179"/>
      <c r="JML3788" s="179"/>
      <c r="JMM3788" s="179"/>
      <c r="JMN3788" s="179"/>
      <c r="JMO3788" s="179"/>
      <c r="JMP3788" s="179"/>
      <c r="JMQ3788" s="179"/>
      <c r="JMR3788" s="179"/>
      <c r="JMS3788" s="179"/>
      <c r="JMT3788" s="179"/>
      <c r="JMU3788" s="179"/>
      <c r="JMV3788" s="179"/>
      <c r="JMW3788" s="179"/>
      <c r="JMX3788" s="179"/>
      <c r="JMY3788" s="179"/>
      <c r="JMZ3788" s="179"/>
      <c r="JNA3788" s="179"/>
      <c r="JNB3788" s="179"/>
      <c r="JNC3788" s="179"/>
      <c r="JND3788" s="179"/>
      <c r="JNE3788" s="179"/>
      <c r="JNF3788" s="179"/>
      <c r="JNG3788" s="179"/>
      <c r="JNH3788" s="179"/>
      <c r="JNI3788" s="179"/>
      <c r="JNJ3788" s="179"/>
      <c r="JNK3788" s="179"/>
      <c r="JNL3788" s="179"/>
      <c r="JNM3788" s="179"/>
      <c r="JNN3788" s="179"/>
      <c r="JNO3788" s="179"/>
      <c r="JNP3788" s="179"/>
      <c r="JNQ3788" s="179"/>
      <c r="JNR3788" s="179"/>
      <c r="JNS3788" s="179"/>
      <c r="JNT3788" s="179"/>
      <c r="JNU3788" s="179"/>
      <c r="JNV3788" s="179"/>
      <c r="JNW3788" s="179"/>
      <c r="JNX3788" s="179"/>
      <c r="JNY3788" s="179"/>
      <c r="JNZ3788" s="179"/>
      <c r="JOA3788" s="179"/>
      <c r="JOB3788" s="179"/>
      <c r="JOC3788" s="179"/>
      <c r="JOD3788" s="179"/>
      <c r="JOE3788" s="179"/>
      <c r="JOF3788" s="179"/>
      <c r="JOG3788" s="179"/>
      <c r="JOH3788" s="179"/>
      <c r="JOI3788" s="179"/>
      <c r="JOJ3788" s="179"/>
      <c r="JOK3788" s="179"/>
      <c r="JOL3788" s="179"/>
      <c r="JOM3788" s="179"/>
      <c r="JON3788" s="179"/>
      <c r="JOO3788" s="179"/>
      <c r="JOP3788" s="179"/>
      <c r="JOQ3788" s="179"/>
      <c r="JOR3788" s="179"/>
      <c r="JOS3788" s="179"/>
      <c r="JOT3788" s="179"/>
      <c r="JOU3788" s="179"/>
      <c r="JOV3788" s="179"/>
      <c r="JOW3788" s="179"/>
      <c r="JOX3788" s="179"/>
      <c r="JOY3788" s="179"/>
      <c r="JOZ3788" s="179"/>
      <c r="JPA3788" s="179"/>
      <c r="JPB3788" s="179"/>
      <c r="JPC3788" s="179"/>
      <c r="JPD3788" s="179"/>
      <c r="JPE3788" s="179"/>
      <c r="JPF3788" s="179"/>
      <c r="JPG3788" s="179"/>
      <c r="JPH3788" s="179"/>
      <c r="JPI3788" s="179"/>
      <c r="JPJ3788" s="179"/>
      <c r="JPK3788" s="179"/>
      <c r="JPL3788" s="179"/>
      <c r="JPM3788" s="179"/>
      <c r="JPN3788" s="179"/>
      <c r="JPO3788" s="179"/>
      <c r="JPP3788" s="179"/>
      <c r="JPQ3788" s="179"/>
      <c r="JPR3788" s="179"/>
      <c r="JPS3788" s="179"/>
      <c r="JPT3788" s="179"/>
      <c r="JPU3788" s="179"/>
      <c r="JPV3788" s="179"/>
      <c r="JPW3788" s="179"/>
      <c r="JPX3788" s="179"/>
      <c r="JPY3788" s="179"/>
      <c r="JPZ3788" s="179"/>
      <c r="JQA3788" s="179"/>
      <c r="JQB3788" s="179"/>
      <c r="JQC3788" s="179"/>
      <c r="JQD3788" s="179"/>
      <c r="JQE3788" s="179"/>
      <c r="JQF3788" s="179"/>
      <c r="JQG3788" s="179"/>
      <c r="JQH3788" s="179"/>
      <c r="JQI3788" s="179"/>
      <c r="JQJ3788" s="179"/>
      <c r="JQK3788" s="179"/>
      <c r="JQL3788" s="179"/>
      <c r="JQM3788" s="179"/>
      <c r="JQN3788" s="179"/>
      <c r="JQO3788" s="179"/>
      <c r="JQP3788" s="179"/>
      <c r="JQQ3788" s="179"/>
      <c r="JQR3788" s="179"/>
      <c r="JQS3788" s="179"/>
      <c r="JQT3788" s="179"/>
      <c r="JQU3788" s="179"/>
      <c r="JQV3788" s="179"/>
      <c r="JQW3788" s="179"/>
      <c r="JQX3788" s="179"/>
      <c r="JQY3788" s="179"/>
      <c r="JQZ3788" s="179"/>
      <c r="JRA3788" s="179"/>
      <c r="JRB3788" s="179"/>
      <c r="JRC3788" s="179"/>
      <c r="JRD3788" s="179"/>
      <c r="JRE3788" s="179"/>
      <c r="JRF3788" s="179"/>
      <c r="JRG3788" s="179"/>
      <c r="JRH3788" s="179"/>
      <c r="JRI3788" s="179"/>
      <c r="JRJ3788" s="179"/>
      <c r="JRK3788" s="179"/>
      <c r="JRL3788" s="179"/>
      <c r="JRM3788" s="179"/>
      <c r="JRN3788" s="179"/>
      <c r="JRO3788" s="179"/>
      <c r="JRP3788" s="179"/>
      <c r="JRQ3788" s="179"/>
      <c r="JRR3788" s="179"/>
      <c r="JRS3788" s="179"/>
      <c r="JRT3788" s="179"/>
      <c r="JRU3788" s="179"/>
      <c r="JRV3788" s="179"/>
      <c r="JRW3788" s="179"/>
      <c r="JRX3788" s="179"/>
      <c r="JRY3788" s="179"/>
      <c r="JRZ3788" s="179"/>
      <c r="JSA3788" s="179"/>
      <c r="JSB3788" s="179"/>
      <c r="JSC3788" s="179"/>
      <c r="JSD3788" s="179"/>
      <c r="JSE3788" s="179"/>
      <c r="JSF3788" s="179"/>
      <c r="JSG3788" s="179"/>
      <c r="JSH3788" s="179"/>
      <c r="JSI3788" s="179"/>
      <c r="JSJ3788" s="179"/>
      <c r="JSK3788" s="179"/>
      <c r="JSL3788" s="179"/>
      <c r="JSM3788" s="179"/>
      <c r="JSN3788" s="179"/>
      <c r="JSO3788" s="179"/>
      <c r="JSP3788" s="179"/>
      <c r="JSQ3788" s="179"/>
      <c r="JSR3788" s="179"/>
      <c r="JSS3788" s="179"/>
      <c r="JST3788" s="179"/>
      <c r="JSU3788" s="179"/>
      <c r="JSV3788" s="179"/>
      <c r="JSW3788" s="179"/>
      <c r="JSX3788" s="179"/>
      <c r="JSY3788" s="179"/>
      <c r="JSZ3788" s="179"/>
      <c r="JTA3788" s="179"/>
      <c r="JTB3788" s="179"/>
      <c r="JTC3788" s="179"/>
      <c r="JTD3788" s="179"/>
      <c r="JTE3788" s="179"/>
      <c r="JTF3788" s="179"/>
      <c r="JTG3788" s="179"/>
      <c r="JTH3788" s="179"/>
      <c r="JTI3788" s="179"/>
      <c r="JTJ3788" s="179"/>
      <c r="JTK3788" s="179"/>
      <c r="JTL3788" s="179"/>
      <c r="JTM3788" s="179"/>
      <c r="JTN3788" s="179"/>
      <c r="JTO3788" s="179"/>
      <c r="JTP3788" s="179"/>
      <c r="JTQ3788" s="179"/>
      <c r="JTR3788" s="179"/>
      <c r="JTS3788" s="179"/>
      <c r="JTT3788" s="179"/>
      <c r="JTU3788" s="179"/>
      <c r="JTV3788" s="179"/>
      <c r="JTW3788" s="179"/>
      <c r="JTX3788" s="179"/>
      <c r="JTY3788" s="179"/>
      <c r="JTZ3788" s="179"/>
      <c r="JUA3788" s="179"/>
      <c r="JUB3788" s="179"/>
      <c r="JUC3788" s="179"/>
      <c r="JUD3788" s="179"/>
      <c r="JUE3788" s="179"/>
      <c r="JUF3788" s="179"/>
      <c r="JUG3788" s="179"/>
      <c r="JUH3788" s="179"/>
      <c r="JUI3788" s="179"/>
      <c r="JUJ3788" s="179"/>
      <c r="JUK3788" s="179"/>
      <c r="JUL3788" s="179"/>
      <c r="JUM3788" s="179"/>
      <c r="JUN3788" s="179"/>
      <c r="JUO3788" s="179"/>
      <c r="JUP3788" s="179"/>
      <c r="JUQ3788" s="179"/>
      <c r="JUR3788" s="179"/>
      <c r="JUS3788" s="179"/>
      <c r="JUT3788" s="179"/>
      <c r="JUU3788" s="179"/>
      <c r="JUV3788" s="179"/>
      <c r="JUW3788" s="179"/>
      <c r="JUX3788" s="179"/>
      <c r="JUY3788" s="179"/>
      <c r="JUZ3788" s="179"/>
      <c r="JVA3788" s="179"/>
      <c r="JVB3788" s="179"/>
      <c r="JVC3788" s="179"/>
      <c r="JVD3788" s="179"/>
      <c r="JVE3788" s="179"/>
      <c r="JVF3788" s="179"/>
      <c r="JVG3788" s="179"/>
      <c r="JVH3788" s="179"/>
      <c r="JVI3788" s="179"/>
      <c r="JVJ3788" s="179"/>
      <c r="JVK3788" s="179"/>
      <c r="JVL3788" s="179"/>
      <c r="JVM3788" s="179"/>
      <c r="JVN3788" s="179"/>
      <c r="JVO3788" s="179"/>
      <c r="JVP3788" s="179"/>
      <c r="JVQ3788" s="179"/>
      <c r="JVR3788" s="179"/>
      <c r="JVS3788" s="179"/>
      <c r="JVT3788" s="179"/>
      <c r="JVU3788" s="179"/>
      <c r="JVV3788" s="179"/>
      <c r="JVW3788" s="179"/>
      <c r="JVX3788" s="179"/>
      <c r="JVY3788" s="179"/>
      <c r="JVZ3788" s="179"/>
      <c r="JWA3788" s="179"/>
      <c r="JWB3788" s="179"/>
      <c r="JWC3788" s="179"/>
      <c r="JWD3788" s="179"/>
      <c r="JWE3788" s="179"/>
      <c r="JWF3788" s="179"/>
      <c r="JWG3788" s="179"/>
      <c r="JWH3788" s="179"/>
      <c r="JWI3788" s="179"/>
      <c r="JWJ3788" s="179"/>
      <c r="JWK3788" s="179"/>
      <c r="JWL3788" s="179"/>
      <c r="JWM3788" s="179"/>
      <c r="JWN3788" s="179"/>
      <c r="JWO3788" s="179"/>
      <c r="JWP3788" s="179"/>
      <c r="JWQ3788" s="179"/>
      <c r="JWR3788" s="179"/>
      <c r="JWS3788" s="179"/>
      <c r="JWT3788" s="179"/>
      <c r="JWU3788" s="179"/>
      <c r="JWV3788" s="179"/>
      <c r="JWW3788" s="179"/>
      <c r="JWX3788" s="179"/>
      <c r="JWY3788" s="179"/>
      <c r="JWZ3788" s="179"/>
      <c r="JXA3788" s="179"/>
      <c r="JXB3788" s="179"/>
      <c r="JXC3788" s="179"/>
      <c r="JXD3788" s="179"/>
      <c r="JXE3788" s="179"/>
      <c r="JXF3788" s="179"/>
      <c r="JXG3788" s="179"/>
      <c r="JXH3788" s="179"/>
      <c r="JXI3788" s="179"/>
      <c r="JXJ3788" s="179"/>
      <c r="JXK3788" s="179"/>
      <c r="JXL3788" s="179"/>
      <c r="JXM3788" s="179"/>
      <c r="JXN3788" s="179"/>
      <c r="JXO3788" s="179"/>
      <c r="JXP3788" s="179"/>
      <c r="JXQ3788" s="179"/>
      <c r="JXR3788" s="179"/>
      <c r="JXS3788" s="179"/>
      <c r="JXT3788" s="179"/>
      <c r="JXU3788" s="179"/>
      <c r="JXV3788" s="179"/>
      <c r="JXW3788" s="179"/>
      <c r="JXX3788" s="179"/>
      <c r="JXY3788" s="179"/>
      <c r="JXZ3788" s="179"/>
      <c r="JYA3788" s="179"/>
      <c r="JYB3788" s="179"/>
      <c r="JYC3788" s="179"/>
      <c r="JYD3788" s="179"/>
      <c r="JYE3788" s="179"/>
      <c r="JYF3788" s="179"/>
      <c r="JYG3788" s="179"/>
      <c r="JYH3788" s="179"/>
      <c r="JYI3788" s="179"/>
      <c r="JYJ3788" s="179"/>
      <c r="JYK3788" s="179"/>
      <c r="JYL3788" s="179"/>
      <c r="JYM3788" s="179"/>
      <c r="JYN3788" s="179"/>
      <c r="JYO3788" s="179"/>
      <c r="JYP3788" s="179"/>
      <c r="JYQ3788" s="179"/>
      <c r="JYR3788" s="179"/>
      <c r="JYS3788" s="179"/>
      <c r="JYT3788" s="179"/>
      <c r="JYU3788" s="179"/>
      <c r="JYV3788" s="179"/>
      <c r="JYW3788" s="179"/>
      <c r="JYX3788" s="179"/>
      <c r="JYY3788" s="179"/>
      <c r="JYZ3788" s="179"/>
      <c r="JZA3788" s="179"/>
      <c r="JZB3788" s="179"/>
      <c r="JZC3788" s="179"/>
      <c r="JZD3788" s="179"/>
      <c r="JZE3788" s="179"/>
      <c r="JZF3788" s="179"/>
      <c r="JZG3788" s="179"/>
      <c r="JZH3788" s="179"/>
      <c r="JZI3788" s="179"/>
      <c r="JZJ3788" s="179"/>
      <c r="JZK3788" s="179"/>
      <c r="JZL3788" s="179"/>
      <c r="JZM3788" s="179"/>
      <c r="JZN3788" s="179"/>
      <c r="JZO3788" s="179"/>
      <c r="JZP3788" s="179"/>
      <c r="JZQ3788" s="179"/>
      <c r="JZR3788" s="179"/>
      <c r="JZS3788" s="179"/>
      <c r="JZT3788" s="179"/>
      <c r="JZU3788" s="179"/>
      <c r="JZV3788" s="179"/>
      <c r="JZW3788" s="179"/>
      <c r="JZX3788" s="179"/>
      <c r="JZY3788" s="179"/>
      <c r="JZZ3788" s="179"/>
      <c r="KAA3788" s="179"/>
      <c r="KAB3788" s="179"/>
      <c r="KAC3788" s="179"/>
      <c r="KAD3788" s="179"/>
      <c r="KAE3788" s="179"/>
      <c r="KAF3788" s="179"/>
      <c r="KAG3788" s="179"/>
      <c r="KAH3788" s="179"/>
      <c r="KAI3788" s="179"/>
      <c r="KAJ3788" s="179"/>
      <c r="KAK3788" s="179"/>
      <c r="KAL3788" s="179"/>
      <c r="KAM3788" s="179"/>
      <c r="KAN3788" s="179"/>
      <c r="KAO3788" s="179"/>
      <c r="KAP3788" s="179"/>
      <c r="KAQ3788" s="179"/>
      <c r="KAR3788" s="179"/>
      <c r="KAS3788" s="179"/>
      <c r="KAT3788" s="179"/>
      <c r="KAU3788" s="179"/>
      <c r="KAV3788" s="179"/>
      <c r="KAW3788" s="179"/>
      <c r="KAX3788" s="179"/>
      <c r="KAY3788" s="179"/>
      <c r="KAZ3788" s="179"/>
      <c r="KBA3788" s="179"/>
      <c r="KBB3788" s="179"/>
      <c r="KBC3788" s="179"/>
      <c r="KBD3788" s="179"/>
      <c r="KBE3788" s="179"/>
      <c r="KBF3788" s="179"/>
      <c r="KBG3788" s="179"/>
      <c r="KBH3788" s="179"/>
      <c r="KBI3788" s="179"/>
      <c r="KBJ3788" s="179"/>
      <c r="KBK3788" s="179"/>
      <c r="KBL3788" s="179"/>
      <c r="KBM3788" s="179"/>
      <c r="KBN3788" s="179"/>
      <c r="KBO3788" s="179"/>
      <c r="KBP3788" s="179"/>
      <c r="KBQ3788" s="179"/>
      <c r="KBR3788" s="179"/>
      <c r="KBS3788" s="179"/>
      <c r="KBT3788" s="179"/>
      <c r="KBU3788" s="179"/>
      <c r="KBV3788" s="179"/>
      <c r="KBW3788" s="179"/>
      <c r="KBX3788" s="179"/>
      <c r="KBY3788" s="179"/>
      <c r="KBZ3788" s="179"/>
      <c r="KCA3788" s="179"/>
      <c r="KCB3788" s="179"/>
      <c r="KCC3788" s="179"/>
      <c r="KCD3788" s="179"/>
      <c r="KCE3788" s="179"/>
      <c r="KCF3788" s="179"/>
      <c r="KCG3788" s="179"/>
      <c r="KCH3788" s="179"/>
      <c r="KCI3788" s="179"/>
      <c r="KCJ3788" s="179"/>
      <c r="KCK3788" s="179"/>
      <c r="KCL3788" s="179"/>
      <c r="KCM3788" s="179"/>
      <c r="KCN3788" s="179"/>
      <c r="KCO3788" s="179"/>
      <c r="KCP3788" s="179"/>
      <c r="KCQ3788" s="179"/>
      <c r="KCR3788" s="179"/>
      <c r="KCS3788" s="179"/>
      <c r="KCT3788" s="179"/>
      <c r="KCU3788" s="179"/>
      <c r="KCV3788" s="179"/>
      <c r="KCW3788" s="179"/>
      <c r="KCX3788" s="179"/>
      <c r="KCY3788" s="179"/>
      <c r="KCZ3788" s="179"/>
      <c r="KDA3788" s="179"/>
      <c r="KDB3788" s="179"/>
      <c r="KDC3788" s="179"/>
      <c r="KDD3788" s="179"/>
      <c r="KDE3788" s="179"/>
      <c r="KDF3788" s="179"/>
      <c r="KDG3788" s="179"/>
      <c r="KDH3788" s="179"/>
      <c r="KDI3788" s="179"/>
      <c r="KDJ3788" s="179"/>
      <c r="KDK3788" s="179"/>
      <c r="KDL3788" s="179"/>
      <c r="KDM3788" s="179"/>
      <c r="KDN3788" s="179"/>
      <c r="KDO3788" s="179"/>
      <c r="KDP3788" s="179"/>
      <c r="KDQ3788" s="179"/>
      <c r="KDR3788" s="179"/>
      <c r="KDS3788" s="179"/>
      <c r="KDT3788" s="179"/>
      <c r="KDU3788" s="179"/>
      <c r="KDV3788" s="179"/>
      <c r="KDW3788" s="179"/>
      <c r="KDX3788" s="179"/>
      <c r="KDY3788" s="179"/>
      <c r="KDZ3788" s="179"/>
      <c r="KEA3788" s="179"/>
      <c r="KEB3788" s="179"/>
      <c r="KEC3788" s="179"/>
      <c r="KED3788" s="179"/>
      <c r="KEE3788" s="179"/>
      <c r="KEF3788" s="179"/>
      <c r="KEG3788" s="179"/>
      <c r="KEH3788" s="179"/>
      <c r="KEI3788" s="179"/>
      <c r="KEJ3788" s="179"/>
      <c r="KEK3788" s="179"/>
      <c r="KEL3788" s="179"/>
      <c r="KEM3788" s="179"/>
      <c r="KEN3788" s="179"/>
      <c r="KEO3788" s="179"/>
      <c r="KEP3788" s="179"/>
      <c r="KEQ3788" s="179"/>
      <c r="KER3788" s="179"/>
      <c r="KES3788" s="179"/>
      <c r="KET3788" s="179"/>
      <c r="KEU3788" s="179"/>
      <c r="KEV3788" s="179"/>
      <c r="KEW3788" s="179"/>
      <c r="KEX3788" s="179"/>
      <c r="KEY3788" s="179"/>
      <c r="KEZ3788" s="179"/>
      <c r="KFA3788" s="179"/>
      <c r="KFB3788" s="179"/>
      <c r="KFC3788" s="179"/>
      <c r="KFD3788" s="179"/>
      <c r="KFE3788" s="179"/>
      <c r="KFF3788" s="179"/>
      <c r="KFG3788" s="179"/>
      <c r="KFH3788" s="179"/>
      <c r="KFI3788" s="179"/>
      <c r="KFJ3788" s="179"/>
      <c r="KFK3788" s="179"/>
      <c r="KFL3788" s="179"/>
      <c r="KFM3788" s="179"/>
      <c r="KFN3788" s="179"/>
      <c r="KFO3788" s="179"/>
      <c r="KFP3788" s="179"/>
      <c r="KFQ3788" s="179"/>
      <c r="KFR3788" s="179"/>
      <c r="KFS3788" s="179"/>
      <c r="KFT3788" s="179"/>
      <c r="KFU3788" s="179"/>
      <c r="KFV3788" s="179"/>
      <c r="KFW3788" s="179"/>
      <c r="KFX3788" s="179"/>
      <c r="KFY3788" s="179"/>
      <c r="KFZ3788" s="179"/>
      <c r="KGA3788" s="179"/>
      <c r="KGB3788" s="179"/>
      <c r="KGC3788" s="179"/>
      <c r="KGD3788" s="179"/>
      <c r="KGE3788" s="179"/>
      <c r="KGF3788" s="179"/>
      <c r="KGG3788" s="179"/>
      <c r="KGH3788" s="179"/>
      <c r="KGI3788" s="179"/>
      <c r="KGJ3788" s="179"/>
      <c r="KGK3788" s="179"/>
      <c r="KGL3788" s="179"/>
      <c r="KGM3788" s="179"/>
      <c r="KGN3788" s="179"/>
      <c r="KGO3788" s="179"/>
      <c r="KGP3788" s="179"/>
      <c r="KGQ3788" s="179"/>
      <c r="KGR3788" s="179"/>
      <c r="KGS3788" s="179"/>
      <c r="KGT3788" s="179"/>
      <c r="KGU3788" s="179"/>
      <c r="KGV3788" s="179"/>
      <c r="KGW3788" s="179"/>
      <c r="KGX3788" s="179"/>
      <c r="KGY3788" s="179"/>
      <c r="KGZ3788" s="179"/>
      <c r="KHA3788" s="179"/>
      <c r="KHB3788" s="179"/>
      <c r="KHC3788" s="179"/>
      <c r="KHD3788" s="179"/>
      <c r="KHE3788" s="179"/>
      <c r="KHF3788" s="179"/>
      <c r="KHG3788" s="179"/>
      <c r="KHH3788" s="179"/>
      <c r="KHI3788" s="179"/>
      <c r="KHJ3788" s="179"/>
      <c r="KHK3788" s="179"/>
      <c r="KHL3788" s="179"/>
      <c r="KHM3788" s="179"/>
      <c r="KHN3788" s="179"/>
      <c r="KHO3788" s="179"/>
      <c r="KHP3788" s="179"/>
      <c r="KHQ3788" s="179"/>
      <c r="KHR3788" s="179"/>
      <c r="KHS3788" s="179"/>
      <c r="KHT3788" s="179"/>
      <c r="KHU3788" s="179"/>
      <c r="KHV3788" s="179"/>
      <c r="KHW3788" s="179"/>
      <c r="KHX3788" s="179"/>
      <c r="KHY3788" s="179"/>
      <c r="KHZ3788" s="179"/>
      <c r="KIA3788" s="179"/>
      <c r="KIB3788" s="179"/>
      <c r="KIC3788" s="179"/>
      <c r="KID3788" s="179"/>
      <c r="KIE3788" s="179"/>
      <c r="KIF3788" s="179"/>
      <c r="KIG3788" s="179"/>
      <c r="KIH3788" s="179"/>
      <c r="KII3788" s="179"/>
      <c r="KIJ3788" s="179"/>
      <c r="KIK3788" s="179"/>
      <c r="KIL3788" s="179"/>
      <c r="KIM3788" s="179"/>
      <c r="KIN3788" s="179"/>
      <c r="KIO3788" s="179"/>
      <c r="KIP3788" s="179"/>
      <c r="KIQ3788" s="179"/>
      <c r="KIR3788" s="179"/>
      <c r="KIS3788" s="179"/>
      <c r="KIT3788" s="179"/>
      <c r="KIU3788" s="179"/>
      <c r="KIV3788" s="179"/>
      <c r="KIW3788" s="179"/>
      <c r="KIX3788" s="179"/>
      <c r="KIY3788" s="179"/>
      <c r="KIZ3788" s="179"/>
      <c r="KJA3788" s="179"/>
      <c r="KJB3788" s="179"/>
      <c r="KJC3788" s="179"/>
      <c r="KJD3788" s="179"/>
      <c r="KJE3788" s="179"/>
      <c r="KJF3788" s="179"/>
      <c r="KJG3788" s="179"/>
      <c r="KJH3788" s="179"/>
      <c r="KJI3788" s="179"/>
      <c r="KJJ3788" s="179"/>
      <c r="KJK3788" s="179"/>
      <c r="KJL3788" s="179"/>
      <c r="KJM3788" s="179"/>
      <c r="KJN3788" s="179"/>
      <c r="KJO3788" s="179"/>
      <c r="KJP3788" s="179"/>
      <c r="KJQ3788" s="179"/>
      <c r="KJR3788" s="179"/>
      <c r="KJS3788" s="179"/>
      <c r="KJT3788" s="179"/>
      <c r="KJU3788" s="179"/>
      <c r="KJV3788" s="179"/>
      <c r="KJW3788" s="179"/>
      <c r="KJX3788" s="179"/>
      <c r="KJY3788" s="179"/>
      <c r="KJZ3788" s="179"/>
      <c r="KKA3788" s="179"/>
      <c r="KKB3788" s="179"/>
      <c r="KKC3788" s="179"/>
      <c r="KKD3788" s="179"/>
      <c r="KKE3788" s="179"/>
      <c r="KKF3788" s="179"/>
      <c r="KKG3788" s="179"/>
      <c r="KKH3788" s="179"/>
      <c r="KKI3788" s="179"/>
      <c r="KKJ3788" s="179"/>
      <c r="KKK3788" s="179"/>
      <c r="KKL3788" s="179"/>
      <c r="KKM3788" s="179"/>
      <c r="KKN3788" s="179"/>
      <c r="KKO3788" s="179"/>
      <c r="KKP3788" s="179"/>
      <c r="KKQ3788" s="179"/>
      <c r="KKR3788" s="179"/>
      <c r="KKS3788" s="179"/>
      <c r="KKT3788" s="179"/>
      <c r="KKU3788" s="179"/>
      <c r="KKV3788" s="179"/>
      <c r="KKW3788" s="179"/>
      <c r="KKX3788" s="179"/>
      <c r="KKY3788" s="179"/>
      <c r="KKZ3788" s="179"/>
      <c r="KLA3788" s="179"/>
      <c r="KLB3788" s="179"/>
      <c r="KLC3788" s="179"/>
      <c r="KLD3788" s="179"/>
      <c r="KLE3788" s="179"/>
      <c r="KLF3788" s="179"/>
      <c r="KLG3788" s="179"/>
      <c r="KLH3788" s="179"/>
      <c r="KLI3788" s="179"/>
      <c r="KLJ3788" s="179"/>
      <c r="KLK3788" s="179"/>
      <c r="KLL3788" s="179"/>
      <c r="KLM3788" s="179"/>
      <c r="KLN3788" s="179"/>
      <c r="KLO3788" s="179"/>
      <c r="KLP3788" s="179"/>
      <c r="KLQ3788" s="179"/>
      <c r="KLR3788" s="179"/>
      <c r="KLS3788" s="179"/>
      <c r="KLT3788" s="179"/>
      <c r="KLU3788" s="179"/>
      <c r="KLV3788" s="179"/>
      <c r="KLW3788" s="179"/>
      <c r="KLX3788" s="179"/>
      <c r="KLY3788" s="179"/>
      <c r="KLZ3788" s="179"/>
      <c r="KMA3788" s="179"/>
      <c r="KMB3788" s="179"/>
      <c r="KMC3788" s="179"/>
      <c r="KMD3788" s="179"/>
      <c r="KME3788" s="179"/>
      <c r="KMF3788" s="179"/>
      <c r="KMG3788" s="179"/>
      <c r="KMH3788" s="179"/>
      <c r="KMI3788" s="179"/>
      <c r="KMJ3788" s="179"/>
      <c r="KMK3788" s="179"/>
      <c r="KML3788" s="179"/>
      <c r="KMM3788" s="179"/>
      <c r="KMN3788" s="179"/>
      <c r="KMO3788" s="179"/>
      <c r="KMP3788" s="179"/>
      <c r="KMQ3788" s="179"/>
      <c r="KMR3788" s="179"/>
      <c r="KMS3788" s="179"/>
      <c r="KMT3788" s="179"/>
      <c r="KMU3788" s="179"/>
      <c r="KMV3788" s="179"/>
      <c r="KMW3788" s="179"/>
      <c r="KMX3788" s="179"/>
      <c r="KMY3788" s="179"/>
      <c r="KMZ3788" s="179"/>
      <c r="KNA3788" s="179"/>
      <c r="KNB3788" s="179"/>
      <c r="KNC3788" s="179"/>
      <c r="KND3788" s="179"/>
      <c r="KNE3788" s="179"/>
      <c r="KNF3788" s="179"/>
      <c r="KNG3788" s="179"/>
      <c r="KNH3788" s="179"/>
      <c r="KNI3788" s="179"/>
      <c r="KNJ3788" s="179"/>
      <c r="KNK3788" s="179"/>
      <c r="KNL3788" s="179"/>
      <c r="KNM3788" s="179"/>
      <c r="KNN3788" s="179"/>
      <c r="KNO3788" s="179"/>
      <c r="KNP3788" s="179"/>
      <c r="KNQ3788" s="179"/>
      <c r="KNR3788" s="179"/>
      <c r="KNS3788" s="179"/>
      <c r="KNT3788" s="179"/>
      <c r="KNU3788" s="179"/>
      <c r="KNV3788" s="179"/>
      <c r="KNW3788" s="179"/>
      <c r="KNX3788" s="179"/>
      <c r="KNY3788" s="179"/>
      <c r="KNZ3788" s="179"/>
      <c r="KOA3788" s="179"/>
      <c r="KOB3788" s="179"/>
      <c r="KOC3788" s="179"/>
      <c r="KOD3788" s="179"/>
      <c r="KOE3788" s="179"/>
      <c r="KOF3788" s="179"/>
      <c r="KOG3788" s="179"/>
      <c r="KOH3788" s="179"/>
      <c r="KOI3788" s="179"/>
      <c r="KOJ3788" s="179"/>
      <c r="KOK3788" s="179"/>
      <c r="KOL3788" s="179"/>
      <c r="KOM3788" s="179"/>
      <c r="KON3788" s="179"/>
      <c r="KOO3788" s="179"/>
      <c r="KOP3788" s="179"/>
      <c r="KOQ3788" s="179"/>
      <c r="KOR3788" s="179"/>
      <c r="KOS3788" s="179"/>
      <c r="KOT3788" s="179"/>
      <c r="KOU3788" s="179"/>
      <c r="KOV3788" s="179"/>
      <c r="KOW3788" s="179"/>
      <c r="KOX3788" s="179"/>
      <c r="KOY3788" s="179"/>
      <c r="KOZ3788" s="179"/>
      <c r="KPA3788" s="179"/>
      <c r="KPB3788" s="179"/>
      <c r="KPC3788" s="179"/>
      <c r="KPD3788" s="179"/>
      <c r="KPE3788" s="179"/>
      <c r="KPF3788" s="179"/>
      <c r="KPG3788" s="179"/>
      <c r="KPH3788" s="179"/>
      <c r="KPI3788" s="179"/>
      <c r="KPJ3788" s="179"/>
      <c r="KPK3788" s="179"/>
      <c r="KPL3788" s="179"/>
      <c r="KPM3788" s="179"/>
      <c r="KPN3788" s="179"/>
      <c r="KPO3788" s="179"/>
      <c r="KPP3788" s="179"/>
      <c r="KPQ3788" s="179"/>
      <c r="KPR3788" s="179"/>
      <c r="KPS3788" s="179"/>
      <c r="KPT3788" s="179"/>
      <c r="KPU3788" s="179"/>
      <c r="KPV3788" s="179"/>
      <c r="KPW3788" s="179"/>
      <c r="KPX3788" s="179"/>
      <c r="KPY3788" s="179"/>
      <c r="KPZ3788" s="179"/>
      <c r="KQA3788" s="179"/>
      <c r="KQB3788" s="179"/>
      <c r="KQC3788" s="179"/>
      <c r="KQD3788" s="179"/>
      <c r="KQE3788" s="179"/>
      <c r="KQF3788" s="179"/>
      <c r="KQG3788" s="179"/>
      <c r="KQH3788" s="179"/>
      <c r="KQI3788" s="179"/>
      <c r="KQJ3788" s="179"/>
      <c r="KQK3788" s="179"/>
      <c r="KQL3788" s="179"/>
      <c r="KQM3788" s="179"/>
      <c r="KQN3788" s="179"/>
      <c r="KQO3788" s="179"/>
      <c r="KQP3788" s="179"/>
      <c r="KQQ3788" s="179"/>
      <c r="KQR3788" s="179"/>
      <c r="KQS3788" s="179"/>
      <c r="KQT3788" s="179"/>
      <c r="KQU3788" s="179"/>
      <c r="KQV3788" s="179"/>
      <c r="KQW3788" s="179"/>
      <c r="KQX3788" s="179"/>
      <c r="KQY3788" s="179"/>
      <c r="KQZ3788" s="179"/>
      <c r="KRA3788" s="179"/>
      <c r="KRB3788" s="179"/>
      <c r="KRC3788" s="179"/>
      <c r="KRD3788" s="179"/>
      <c r="KRE3788" s="179"/>
      <c r="KRF3788" s="179"/>
      <c r="KRG3788" s="179"/>
      <c r="KRH3788" s="179"/>
      <c r="KRI3788" s="179"/>
      <c r="KRJ3788" s="179"/>
      <c r="KRK3788" s="179"/>
      <c r="KRL3788" s="179"/>
      <c r="KRM3788" s="179"/>
      <c r="KRN3788" s="179"/>
      <c r="KRO3788" s="179"/>
      <c r="KRP3788" s="179"/>
      <c r="KRQ3788" s="179"/>
      <c r="KRR3788" s="179"/>
      <c r="KRS3788" s="179"/>
      <c r="KRT3788" s="179"/>
      <c r="KRU3788" s="179"/>
      <c r="KRV3788" s="179"/>
      <c r="KRW3788" s="179"/>
      <c r="KRX3788" s="179"/>
      <c r="KRY3788" s="179"/>
      <c r="KRZ3788" s="179"/>
      <c r="KSA3788" s="179"/>
      <c r="KSB3788" s="179"/>
      <c r="KSC3788" s="179"/>
      <c r="KSD3788" s="179"/>
      <c r="KSE3788" s="179"/>
      <c r="KSF3788" s="179"/>
      <c r="KSG3788" s="179"/>
      <c r="KSH3788" s="179"/>
      <c r="KSI3788" s="179"/>
      <c r="KSJ3788" s="179"/>
      <c r="KSK3788" s="179"/>
      <c r="KSL3788" s="179"/>
      <c r="KSM3788" s="179"/>
      <c r="KSN3788" s="179"/>
      <c r="KSO3788" s="179"/>
      <c r="KSP3788" s="179"/>
      <c r="KSQ3788" s="179"/>
      <c r="KSR3788" s="179"/>
      <c r="KSS3788" s="179"/>
      <c r="KST3788" s="179"/>
      <c r="KSU3788" s="179"/>
      <c r="KSV3788" s="179"/>
      <c r="KSW3788" s="179"/>
      <c r="KSX3788" s="179"/>
      <c r="KSY3788" s="179"/>
      <c r="KSZ3788" s="179"/>
      <c r="KTA3788" s="179"/>
      <c r="KTB3788" s="179"/>
      <c r="KTC3788" s="179"/>
      <c r="KTD3788" s="179"/>
      <c r="KTE3788" s="179"/>
      <c r="KTF3788" s="179"/>
      <c r="KTG3788" s="179"/>
      <c r="KTH3788" s="179"/>
      <c r="KTI3788" s="179"/>
      <c r="KTJ3788" s="179"/>
      <c r="KTK3788" s="179"/>
      <c r="KTL3788" s="179"/>
      <c r="KTM3788" s="179"/>
      <c r="KTN3788" s="179"/>
      <c r="KTO3788" s="179"/>
      <c r="KTP3788" s="179"/>
      <c r="KTQ3788" s="179"/>
      <c r="KTR3788" s="179"/>
      <c r="KTS3788" s="179"/>
      <c r="KTT3788" s="179"/>
      <c r="KTU3788" s="179"/>
      <c r="KTV3788" s="179"/>
      <c r="KTW3788" s="179"/>
      <c r="KTX3788" s="179"/>
      <c r="KTY3788" s="179"/>
      <c r="KTZ3788" s="179"/>
      <c r="KUA3788" s="179"/>
      <c r="KUB3788" s="179"/>
      <c r="KUC3788" s="179"/>
      <c r="KUD3788" s="179"/>
      <c r="KUE3788" s="179"/>
      <c r="KUF3788" s="179"/>
      <c r="KUG3788" s="179"/>
      <c r="KUH3788" s="179"/>
      <c r="KUI3788" s="179"/>
      <c r="KUJ3788" s="179"/>
      <c r="KUK3788" s="179"/>
      <c r="KUL3788" s="179"/>
      <c r="KUM3788" s="179"/>
      <c r="KUN3788" s="179"/>
      <c r="KUO3788" s="179"/>
      <c r="KUP3788" s="179"/>
      <c r="KUQ3788" s="179"/>
      <c r="KUR3788" s="179"/>
      <c r="KUS3788" s="179"/>
      <c r="KUT3788" s="179"/>
      <c r="KUU3788" s="179"/>
      <c r="KUV3788" s="179"/>
      <c r="KUW3788" s="179"/>
      <c r="KUX3788" s="179"/>
      <c r="KUY3788" s="179"/>
      <c r="KUZ3788" s="179"/>
      <c r="KVA3788" s="179"/>
      <c r="KVB3788" s="179"/>
      <c r="KVC3788" s="179"/>
      <c r="KVD3788" s="179"/>
      <c r="KVE3788" s="179"/>
      <c r="KVF3788" s="179"/>
      <c r="KVG3788" s="179"/>
      <c r="KVH3788" s="179"/>
      <c r="KVI3788" s="179"/>
      <c r="KVJ3788" s="179"/>
      <c r="KVK3788" s="179"/>
      <c r="KVL3788" s="179"/>
      <c r="KVM3788" s="179"/>
      <c r="KVN3788" s="179"/>
      <c r="KVO3788" s="179"/>
      <c r="KVP3788" s="179"/>
      <c r="KVQ3788" s="179"/>
      <c r="KVR3788" s="179"/>
      <c r="KVS3788" s="179"/>
      <c r="KVT3788" s="179"/>
      <c r="KVU3788" s="179"/>
      <c r="KVV3788" s="179"/>
      <c r="KVW3788" s="179"/>
      <c r="KVX3788" s="179"/>
      <c r="KVY3788" s="179"/>
      <c r="KVZ3788" s="179"/>
      <c r="KWA3788" s="179"/>
      <c r="KWB3788" s="179"/>
      <c r="KWC3788" s="179"/>
      <c r="KWD3788" s="179"/>
      <c r="KWE3788" s="179"/>
      <c r="KWF3788" s="179"/>
      <c r="KWG3788" s="179"/>
      <c r="KWH3788" s="179"/>
      <c r="KWI3788" s="179"/>
      <c r="KWJ3788" s="179"/>
      <c r="KWK3788" s="179"/>
      <c r="KWL3788" s="179"/>
      <c r="KWM3788" s="179"/>
      <c r="KWN3788" s="179"/>
      <c r="KWO3788" s="179"/>
      <c r="KWP3788" s="179"/>
      <c r="KWQ3788" s="179"/>
      <c r="KWR3788" s="179"/>
      <c r="KWS3788" s="179"/>
      <c r="KWT3788" s="179"/>
      <c r="KWU3788" s="179"/>
      <c r="KWV3788" s="179"/>
      <c r="KWW3788" s="179"/>
      <c r="KWX3788" s="179"/>
      <c r="KWY3788" s="179"/>
      <c r="KWZ3788" s="179"/>
      <c r="KXA3788" s="179"/>
      <c r="KXB3788" s="179"/>
      <c r="KXC3788" s="179"/>
      <c r="KXD3788" s="179"/>
      <c r="KXE3788" s="179"/>
      <c r="KXF3788" s="179"/>
      <c r="KXG3788" s="179"/>
      <c r="KXH3788" s="179"/>
      <c r="KXI3788" s="179"/>
      <c r="KXJ3788" s="179"/>
      <c r="KXK3788" s="179"/>
      <c r="KXL3788" s="179"/>
      <c r="KXM3788" s="179"/>
      <c r="KXN3788" s="179"/>
      <c r="KXO3788" s="179"/>
      <c r="KXP3788" s="179"/>
      <c r="KXQ3788" s="179"/>
      <c r="KXR3788" s="179"/>
      <c r="KXS3788" s="179"/>
      <c r="KXT3788" s="179"/>
      <c r="KXU3788" s="179"/>
      <c r="KXV3788" s="179"/>
      <c r="KXW3788" s="179"/>
      <c r="KXX3788" s="179"/>
      <c r="KXY3788" s="179"/>
      <c r="KXZ3788" s="179"/>
      <c r="KYA3788" s="179"/>
      <c r="KYB3788" s="179"/>
      <c r="KYC3788" s="179"/>
      <c r="KYD3788" s="179"/>
      <c r="KYE3788" s="179"/>
      <c r="KYF3788" s="179"/>
      <c r="KYG3788" s="179"/>
      <c r="KYH3788" s="179"/>
      <c r="KYI3788" s="179"/>
      <c r="KYJ3788" s="179"/>
      <c r="KYK3788" s="179"/>
      <c r="KYL3788" s="179"/>
      <c r="KYM3788" s="179"/>
      <c r="KYN3788" s="179"/>
      <c r="KYO3788" s="179"/>
      <c r="KYP3788" s="179"/>
      <c r="KYQ3788" s="179"/>
      <c r="KYR3788" s="179"/>
      <c r="KYS3788" s="179"/>
      <c r="KYT3788" s="179"/>
      <c r="KYU3788" s="179"/>
      <c r="KYV3788" s="179"/>
      <c r="KYW3788" s="179"/>
      <c r="KYX3788" s="179"/>
      <c r="KYY3788" s="179"/>
      <c r="KYZ3788" s="179"/>
      <c r="KZA3788" s="179"/>
      <c r="KZB3788" s="179"/>
      <c r="KZC3788" s="179"/>
      <c r="KZD3788" s="179"/>
      <c r="KZE3788" s="179"/>
      <c r="KZF3788" s="179"/>
      <c r="KZG3788" s="179"/>
      <c r="KZH3788" s="179"/>
      <c r="KZI3788" s="179"/>
      <c r="KZJ3788" s="179"/>
      <c r="KZK3788" s="179"/>
      <c r="KZL3788" s="179"/>
      <c r="KZM3788" s="179"/>
      <c r="KZN3788" s="179"/>
      <c r="KZO3788" s="179"/>
      <c r="KZP3788" s="179"/>
      <c r="KZQ3788" s="179"/>
      <c r="KZR3788" s="179"/>
      <c r="KZS3788" s="179"/>
      <c r="KZT3788" s="179"/>
      <c r="KZU3788" s="179"/>
      <c r="KZV3788" s="179"/>
      <c r="KZW3788" s="179"/>
      <c r="KZX3788" s="179"/>
      <c r="KZY3788" s="179"/>
      <c r="KZZ3788" s="179"/>
      <c r="LAA3788" s="179"/>
      <c r="LAB3788" s="179"/>
      <c r="LAC3788" s="179"/>
      <c r="LAD3788" s="179"/>
      <c r="LAE3788" s="179"/>
      <c r="LAF3788" s="179"/>
      <c r="LAG3788" s="179"/>
      <c r="LAH3788" s="179"/>
      <c r="LAI3788" s="179"/>
      <c r="LAJ3788" s="179"/>
      <c r="LAK3788" s="179"/>
      <c r="LAL3788" s="179"/>
      <c r="LAM3788" s="179"/>
      <c r="LAN3788" s="179"/>
      <c r="LAO3788" s="179"/>
      <c r="LAP3788" s="179"/>
      <c r="LAQ3788" s="179"/>
      <c r="LAR3788" s="179"/>
      <c r="LAS3788" s="179"/>
      <c r="LAT3788" s="179"/>
      <c r="LAU3788" s="179"/>
      <c r="LAV3788" s="179"/>
      <c r="LAW3788" s="179"/>
      <c r="LAX3788" s="179"/>
      <c r="LAY3788" s="179"/>
      <c r="LAZ3788" s="179"/>
      <c r="LBA3788" s="179"/>
      <c r="LBB3788" s="179"/>
      <c r="LBC3788" s="179"/>
      <c r="LBD3788" s="179"/>
      <c r="LBE3788" s="179"/>
      <c r="LBF3788" s="179"/>
      <c r="LBG3788" s="179"/>
      <c r="LBH3788" s="179"/>
      <c r="LBI3788" s="179"/>
      <c r="LBJ3788" s="179"/>
      <c r="LBK3788" s="179"/>
      <c r="LBL3788" s="179"/>
      <c r="LBM3788" s="179"/>
      <c r="LBN3788" s="179"/>
      <c r="LBO3788" s="179"/>
      <c r="LBP3788" s="179"/>
      <c r="LBQ3788" s="179"/>
      <c r="LBR3788" s="179"/>
      <c r="LBS3788" s="179"/>
      <c r="LBT3788" s="179"/>
      <c r="LBU3788" s="179"/>
      <c r="LBV3788" s="179"/>
      <c r="LBW3788" s="179"/>
      <c r="LBX3788" s="179"/>
      <c r="LBY3788" s="179"/>
      <c r="LBZ3788" s="179"/>
      <c r="LCA3788" s="179"/>
      <c r="LCB3788" s="179"/>
      <c r="LCC3788" s="179"/>
      <c r="LCD3788" s="179"/>
      <c r="LCE3788" s="179"/>
      <c r="LCF3788" s="179"/>
      <c r="LCG3788" s="179"/>
      <c r="LCH3788" s="179"/>
      <c r="LCI3788" s="179"/>
      <c r="LCJ3788" s="179"/>
      <c r="LCK3788" s="179"/>
      <c r="LCL3788" s="179"/>
      <c r="LCM3788" s="179"/>
      <c r="LCN3788" s="179"/>
      <c r="LCO3788" s="179"/>
      <c r="LCP3788" s="179"/>
      <c r="LCQ3788" s="179"/>
      <c r="LCR3788" s="179"/>
      <c r="LCS3788" s="179"/>
      <c r="LCT3788" s="179"/>
      <c r="LCU3788" s="179"/>
      <c r="LCV3788" s="179"/>
      <c r="LCW3788" s="179"/>
      <c r="LCX3788" s="179"/>
      <c r="LCY3788" s="179"/>
      <c r="LCZ3788" s="179"/>
      <c r="LDA3788" s="179"/>
      <c r="LDB3788" s="179"/>
      <c r="LDC3788" s="179"/>
      <c r="LDD3788" s="179"/>
      <c r="LDE3788" s="179"/>
      <c r="LDF3788" s="179"/>
      <c r="LDG3788" s="179"/>
      <c r="LDH3788" s="179"/>
      <c r="LDI3788" s="179"/>
      <c r="LDJ3788" s="179"/>
      <c r="LDK3788" s="179"/>
      <c r="LDL3788" s="179"/>
      <c r="LDM3788" s="179"/>
      <c r="LDN3788" s="179"/>
      <c r="LDO3788" s="179"/>
      <c r="LDP3788" s="179"/>
      <c r="LDQ3788" s="179"/>
      <c r="LDR3788" s="179"/>
      <c r="LDS3788" s="179"/>
      <c r="LDT3788" s="179"/>
      <c r="LDU3788" s="179"/>
      <c r="LDV3788" s="179"/>
      <c r="LDW3788" s="179"/>
      <c r="LDX3788" s="179"/>
      <c r="LDY3788" s="179"/>
      <c r="LDZ3788" s="179"/>
      <c r="LEA3788" s="179"/>
      <c r="LEB3788" s="179"/>
      <c r="LEC3788" s="179"/>
      <c r="LED3788" s="179"/>
      <c r="LEE3788" s="179"/>
      <c r="LEF3788" s="179"/>
      <c r="LEG3788" s="179"/>
      <c r="LEH3788" s="179"/>
      <c r="LEI3788" s="179"/>
      <c r="LEJ3788" s="179"/>
      <c r="LEK3788" s="179"/>
      <c r="LEL3788" s="179"/>
      <c r="LEM3788" s="179"/>
      <c r="LEN3788" s="179"/>
      <c r="LEO3788" s="179"/>
      <c r="LEP3788" s="179"/>
      <c r="LEQ3788" s="179"/>
      <c r="LER3788" s="179"/>
      <c r="LES3788" s="179"/>
      <c r="LET3788" s="179"/>
      <c r="LEU3788" s="179"/>
      <c r="LEV3788" s="179"/>
      <c r="LEW3788" s="179"/>
      <c r="LEX3788" s="179"/>
      <c r="LEY3788" s="179"/>
      <c r="LEZ3788" s="179"/>
      <c r="LFA3788" s="179"/>
      <c r="LFB3788" s="179"/>
      <c r="LFC3788" s="179"/>
      <c r="LFD3788" s="179"/>
      <c r="LFE3788" s="179"/>
      <c r="LFF3788" s="179"/>
      <c r="LFG3788" s="179"/>
      <c r="LFH3788" s="179"/>
      <c r="LFI3788" s="179"/>
      <c r="LFJ3788" s="179"/>
      <c r="LFK3788" s="179"/>
      <c r="LFL3788" s="179"/>
      <c r="LFM3788" s="179"/>
      <c r="LFN3788" s="179"/>
      <c r="LFO3788" s="179"/>
      <c r="LFP3788" s="179"/>
      <c r="LFQ3788" s="179"/>
      <c r="LFR3788" s="179"/>
      <c r="LFS3788" s="179"/>
      <c r="LFT3788" s="179"/>
      <c r="LFU3788" s="179"/>
      <c r="LFV3788" s="179"/>
      <c r="LFW3788" s="179"/>
      <c r="LFX3788" s="179"/>
      <c r="LFY3788" s="179"/>
      <c r="LFZ3788" s="179"/>
      <c r="LGA3788" s="179"/>
      <c r="LGB3788" s="179"/>
      <c r="LGC3788" s="179"/>
      <c r="LGD3788" s="179"/>
      <c r="LGE3788" s="179"/>
      <c r="LGF3788" s="179"/>
      <c r="LGG3788" s="179"/>
      <c r="LGH3788" s="179"/>
      <c r="LGI3788" s="179"/>
      <c r="LGJ3788" s="179"/>
      <c r="LGK3788" s="179"/>
      <c r="LGL3788" s="179"/>
      <c r="LGM3788" s="179"/>
      <c r="LGN3788" s="179"/>
      <c r="LGO3788" s="179"/>
      <c r="LGP3788" s="179"/>
      <c r="LGQ3788" s="179"/>
      <c r="LGR3788" s="179"/>
      <c r="LGS3788" s="179"/>
      <c r="LGT3788" s="179"/>
      <c r="LGU3788" s="179"/>
      <c r="LGV3788" s="179"/>
      <c r="LGW3788" s="179"/>
      <c r="LGX3788" s="179"/>
      <c r="LGY3788" s="179"/>
      <c r="LGZ3788" s="179"/>
      <c r="LHA3788" s="179"/>
      <c r="LHB3788" s="179"/>
      <c r="LHC3788" s="179"/>
      <c r="LHD3788" s="179"/>
      <c r="LHE3788" s="179"/>
      <c r="LHF3788" s="179"/>
      <c r="LHG3788" s="179"/>
      <c r="LHH3788" s="179"/>
      <c r="LHI3788" s="179"/>
      <c r="LHJ3788" s="179"/>
      <c r="LHK3788" s="179"/>
      <c r="LHL3788" s="179"/>
      <c r="LHM3788" s="179"/>
      <c r="LHN3788" s="179"/>
      <c r="LHO3788" s="179"/>
      <c r="LHP3788" s="179"/>
      <c r="LHQ3788" s="179"/>
      <c r="LHR3788" s="179"/>
      <c r="LHS3788" s="179"/>
      <c r="LHT3788" s="179"/>
      <c r="LHU3788" s="179"/>
      <c r="LHV3788" s="179"/>
      <c r="LHW3788" s="179"/>
      <c r="LHX3788" s="179"/>
      <c r="LHY3788" s="179"/>
      <c r="LHZ3788" s="179"/>
      <c r="LIA3788" s="179"/>
      <c r="LIB3788" s="179"/>
      <c r="LIC3788" s="179"/>
      <c r="LID3788" s="179"/>
      <c r="LIE3788" s="179"/>
      <c r="LIF3788" s="179"/>
      <c r="LIG3788" s="179"/>
      <c r="LIH3788" s="179"/>
      <c r="LII3788" s="179"/>
      <c r="LIJ3788" s="179"/>
      <c r="LIK3788" s="179"/>
      <c r="LIL3788" s="179"/>
      <c r="LIM3788" s="179"/>
      <c r="LIN3788" s="179"/>
      <c r="LIO3788" s="179"/>
      <c r="LIP3788" s="179"/>
      <c r="LIQ3788" s="179"/>
      <c r="LIR3788" s="179"/>
      <c r="LIS3788" s="179"/>
      <c r="LIT3788" s="179"/>
      <c r="LIU3788" s="179"/>
      <c r="LIV3788" s="179"/>
      <c r="LIW3788" s="179"/>
      <c r="LIX3788" s="179"/>
      <c r="LIY3788" s="179"/>
      <c r="LIZ3788" s="179"/>
      <c r="LJA3788" s="179"/>
      <c r="LJB3788" s="179"/>
      <c r="LJC3788" s="179"/>
      <c r="LJD3788" s="179"/>
      <c r="LJE3788" s="179"/>
      <c r="LJF3788" s="179"/>
      <c r="LJG3788" s="179"/>
      <c r="LJH3788" s="179"/>
      <c r="LJI3788" s="179"/>
      <c r="LJJ3788" s="179"/>
      <c r="LJK3788" s="179"/>
      <c r="LJL3788" s="179"/>
      <c r="LJM3788" s="179"/>
      <c r="LJN3788" s="179"/>
      <c r="LJO3788" s="179"/>
      <c r="LJP3788" s="179"/>
      <c r="LJQ3788" s="179"/>
      <c r="LJR3788" s="179"/>
      <c r="LJS3788" s="179"/>
      <c r="LJT3788" s="179"/>
      <c r="LJU3788" s="179"/>
      <c r="LJV3788" s="179"/>
      <c r="LJW3788" s="179"/>
      <c r="LJX3788" s="179"/>
      <c r="LJY3788" s="179"/>
      <c r="LJZ3788" s="179"/>
      <c r="LKA3788" s="179"/>
      <c r="LKB3788" s="179"/>
      <c r="LKC3788" s="179"/>
      <c r="LKD3788" s="179"/>
      <c r="LKE3788" s="179"/>
      <c r="LKF3788" s="179"/>
      <c r="LKG3788" s="179"/>
      <c r="LKH3788" s="179"/>
      <c r="LKI3788" s="179"/>
      <c r="LKJ3788" s="179"/>
      <c r="LKK3788" s="179"/>
      <c r="LKL3788" s="179"/>
      <c r="LKM3788" s="179"/>
      <c r="LKN3788" s="179"/>
      <c r="LKO3788" s="179"/>
      <c r="LKP3788" s="179"/>
      <c r="LKQ3788" s="179"/>
      <c r="LKR3788" s="179"/>
      <c r="LKS3788" s="179"/>
      <c r="LKT3788" s="179"/>
      <c r="LKU3788" s="179"/>
      <c r="LKV3788" s="179"/>
      <c r="LKW3788" s="179"/>
      <c r="LKX3788" s="179"/>
      <c r="LKY3788" s="179"/>
      <c r="LKZ3788" s="179"/>
      <c r="LLA3788" s="179"/>
      <c r="LLB3788" s="179"/>
      <c r="LLC3788" s="179"/>
      <c r="LLD3788" s="179"/>
      <c r="LLE3788" s="179"/>
      <c r="LLF3788" s="179"/>
      <c r="LLG3788" s="179"/>
      <c r="LLH3788" s="179"/>
      <c r="LLI3788" s="179"/>
      <c r="LLJ3788" s="179"/>
      <c r="LLK3788" s="179"/>
      <c r="LLL3788" s="179"/>
      <c r="LLM3788" s="179"/>
      <c r="LLN3788" s="179"/>
      <c r="LLO3788" s="179"/>
      <c r="LLP3788" s="179"/>
      <c r="LLQ3788" s="179"/>
      <c r="LLR3788" s="179"/>
      <c r="LLS3788" s="179"/>
      <c r="LLT3788" s="179"/>
      <c r="LLU3788" s="179"/>
      <c r="LLV3788" s="179"/>
      <c r="LLW3788" s="179"/>
      <c r="LLX3788" s="179"/>
      <c r="LLY3788" s="179"/>
      <c r="LLZ3788" s="179"/>
      <c r="LMA3788" s="179"/>
      <c r="LMB3788" s="179"/>
      <c r="LMC3788" s="179"/>
      <c r="LMD3788" s="179"/>
      <c r="LME3788" s="179"/>
      <c r="LMF3788" s="179"/>
      <c r="LMG3788" s="179"/>
      <c r="LMH3788" s="179"/>
      <c r="LMI3788" s="179"/>
      <c r="LMJ3788" s="179"/>
      <c r="LMK3788" s="179"/>
      <c r="LML3788" s="179"/>
      <c r="LMM3788" s="179"/>
      <c r="LMN3788" s="179"/>
      <c r="LMO3788" s="179"/>
      <c r="LMP3788" s="179"/>
      <c r="LMQ3788" s="179"/>
      <c r="LMR3788" s="179"/>
      <c r="LMS3788" s="179"/>
      <c r="LMT3788" s="179"/>
      <c r="LMU3788" s="179"/>
      <c r="LMV3788" s="179"/>
      <c r="LMW3788" s="179"/>
      <c r="LMX3788" s="179"/>
      <c r="LMY3788" s="179"/>
      <c r="LMZ3788" s="179"/>
      <c r="LNA3788" s="179"/>
      <c r="LNB3788" s="179"/>
      <c r="LNC3788" s="179"/>
      <c r="LND3788" s="179"/>
      <c r="LNE3788" s="179"/>
      <c r="LNF3788" s="179"/>
      <c r="LNG3788" s="179"/>
      <c r="LNH3788" s="179"/>
      <c r="LNI3788" s="179"/>
      <c r="LNJ3788" s="179"/>
      <c r="LNK3788" s="179"/>
      <c r="LNL3788" s="179"/>
      <c r="LNM3788" s="179"/>
      <c r="LNN3788" s="179"/>
      <c r="LNO3788" s="179"/>
      <c r="LNP3788" s="179"/>
      <c r="LNQ3788" s="179"/>
      <c r="LNR3788" s="179"/>
      <c r="LNS3788" s="179"/>
      <c r="LNT3788" s="179"/>
      <c r="LNU3788" s="179"/>
      <c r="LNV3788" s="179"/>
      <c r="LNW3788" s="179"/>
      <c r="LNX3788" s="179"/>
      <c r="LNY3788" s="179"/>
      <c r="LNZ3788" s="179"/>
      <c r="LOA3788" s="179"/>
      <c r="LOB3788" s="179"/>
      <c r="LOC3788" s="179"/>
      <c r="LOD3788" s="179"/>
      <c r="LOE3788" s="179"/>
      <c r="LOF3788" s="179"/>
      <c r="LOG3788" s="179"/>
      <c r="LOH3788" s="179"/>
      <c r="LOI3788" s="179"/>
      <c r="LOJ3788" s="179"/>
      <c r="LOK3788" s="179"/>
      <c r="LOL3788" s="179"/>
      <c r="LOM3788" s="179"/>
      <c r="LON3788" s="179"/>
      <c r="LOO3788" s="179"/>
      <c r="LOP3788" s="179"/>
      <c r="LOQ3788" s="179"/>
      <c r="LOR3788" s="179"/>
      <c r="LOS3788" s="179"/>
      <c r="LOT3788" s="179"/>
      <c r="LOU3788" s="179"/>
      <c r="LOV3788" s="179"/>
      <c r="LOW3788" s="179"/>
      <c r="LOX3788" s="179"/>
      <c r="LOY3788" s="179"/>
      <c r="LOZ3788" s="179"/>
      <c r="LPA3788" s="179"/>
      <c r="LPB3788" s="179"/>
      <c r="LPC3788" s="179"/>
      <c r="LPD3788" s="179"/>
      <c r="LPE3788" s="179"/>
      <c r="LPF3788" s="179"/>
      <c r="LPG3788" s="179"/>
      <c r="LPH3788" s="179"/>
      <c r="LPI3788" s="179"/>
      <c r="LPJ3788" s="179"/>
      <c r="LPK3788" s="179"/>
      <c r="LPL3788" s="179"/>
      <c r="LPM3788" s="179"/>
      <c r="LPN3788" s="179"/>
      <c r="LPO3788" s="179"/>
      <c r="LPP3788" s="179"/>
      <c r="LPQ3788" s="179"/>
      <c r="LPR3788" s="179"/>
      <c r="LPS3788" s="179"/>
      <c r="LPT3788" s="179"/>
      <c r="LPU3788" s="179"/>
      <c r="LPV3788" s="179"/>
      <c r="LPW3788" s="179"/>
      <c r="LPX3788" s="179"/>
      <c r="LPY3788" s="179"/>
      <c r="LPZ3788" s="179"/>
      <c r="LQA3788" s="179"/>
      <c r="LQB3788" s="179"/>
      <c r="LQC3788" s="179"/>
      <c r="LQD3788" s="179"/>
      <c r="LQE3788" s="179"/>
      <c r="LQF3788" s="179"/>
      <c r="LQG3788" s="179"/>
      <c r="LQH3788" s="179"/>
      <c r="LQI3788" s="179"/>
      <c r="LQJ3788" s="179"/>
      <c r="LQK3788" s="179"/>
      <c r="LQL3788" s="179"/>
      <c r="LQM3788" s="179"/>
      <c r="LQN3788" s="179"/>
      <c r="LQO3788" s="179"/>
      <c r="LQP3788" s="179"/>
      <c r="LQQ3788" s="179"/>
      <c r="LQR3788" s="179"/>
      <c r="LQS3788" s="179"/>
      <c r="LQT3788" s="179"/>
      <c r="LQU3788" s="179"/>
      <c r="LQV3788" s="179"/>
      <c r="LQW3788" s="179"/>
      <c r="LQX3788" s="179"/>
      <c r="LQY3788" s="179"/>
      <c r="LQZ3788" s="179"/>
      <c r="LRA3788" s="179"/>
      <c r="LRB3788" s="179"/>
      <c r="LRC3788" s="179"/>
      <c r="LRD3788" s="179"/>
      <c r="LRE3788" s="179"/>
      <c r="LRF3788" s="179"/>
      <c r="LRG3788" s="179"/>
      <c r="LRH3788" s="179"/>
      <c r="LRI3788" s="179"/>
      <c r="LRJ3788" s="179"/>
      <c r="LRK3788" s="179"/>
      <c r="LRL3788" s="179"/>
      <c r="LRM3788" s="179"/>
      <c r="LRN3788" s="179"/>
      <c r="LRO3788" s="179"/>
      <c r="LRP3788" s="179"/>
      <c r="LRQ3788" s="179"/>
      <c r="LRR3788" s="179"/>
      <c r="LRS3788" s="179"/>
      <c r="LRT3788" s="179"/>
      <c r="LRU3788" s="179"/>
      <c r="LRV3788" s="179"/>
      <c r="LRW3788" s="179"/>
      <c r="LRX3788" s="179"/>
      <c r="LRY3788" s="179"/>
      <c r="LRZ3788" s="179"/>
      <c r="LSA3788" s="179"/>
      <c r="LSB3788" s="179"/>
      <c r="LSC3788" s="179"/>
      <c r="LSD3788" s="179"/>
      <c r="LSE3788" s="179"/>
      <c r="LSF3788" s="179"/>
      <c r="LSG3788" s="179"/>
      <c r="LSH3788" s="179"/>
      <c r="LSI3788" s="179"/>
      <c r="LSJ3788" s="179"/>
      <c r="LSK3788" s="179"/>
      <c r="LSL3788" s="179"/>
      <c r="LSM3788" s="179"/>
      <c r="LSN3788" s="179"/>
      <c r="LSO3788" s="179"/>
      <c r="LSP3788" s="179"/>
      <c r="LSQ3788" s="179"/>
      <c r="LSR3788" s="179"/>
      <c r="LSS3788" s="179"/>
      <c r="LST3788" s="179"/>
      <c r="LSU3788" s="179"/>
      <c r="LSV3788" s="179"/>
      <c r="LSW3788" s="179"/>
      <c r="LSX3788" s="179"/>
      <c r="LSY3788" s="179"/>
      <c r="LSZ3788" s="179"/>
      <c r="LTA3788" s="179"/>
      <c r="LTB3788" s="179"/>
      <c r="LTC3788" s="179"/>
      <c r="LTD3788" s="179"/>
      <c r="LTE3788" s="179"/>
      <c r="LTF3788" s="179"/>
      <c r="LTG3788" s="179"/>
      <c r="LTH3788" s="179"/>
      <c r="LTI3788" s="179"/>
      <c r="LTJ3788" s="179"/>
      <c r="LTK3788" s="179"/>
      <c r="LTL3788" s="179"/>
      <c r="LTM3788" s="179"/>
      <c r="LTN3788" s="179"/>
      <c r="LTO3788" s="179"/>
      <c r="LTP3788" s="179"/>
      <c r="LTQ3788" s="179"/>
      <c r="LTR3788" s="179"/>
      <c r="LTS3788" s="179"/>
      <c r="LTT3788" s="179"/>
      <c r="LTU3788" s="179"/>
      <c r="LTV3788" s="179"/>
      <c r="LTW3788" s="179"/>
      <c r="LTX3788" s="179"/>
      <c r="LTY3788" s="179"/>
      <c r="LTZ3788" s="179"/>
      <c r="LUA3788" s="179"/>
      <c r="LUB3788" s="179"/>
      <c r="LUC3788" s="179"/>
      <c r="LUD3788" s="179"/>
      <c r="LUE3788" s="179"/>
      <c r="LUF3788" s="179"/>
      <c r="LUG3788" s="179"/>
      <c r="LUH3788" s="179"/>
      <c r="LUI3788" s="179"/>
      <c r="LUJ3788" s="179"/>
      <c r="LUK3788" s="179"/>
      <c r="LUL3788" s="179"/>
      <c r="LUM3788" s="179"/>
      <c r="LUN3788" s="179"/>
      <c r="LUO3788" s="179"/>
      <c r="LUP3788" s="179"/>
      <c r="LUQ3788" s="179"/>
      <c r="LUR3788" s="179"/>
      <c r="LUS3788" s="179"/>
      <c r="LUT3788" s="179"/>
      <c r="LUU3788" s="179"/>
      <c r="LUV3788" s="179"/>
      <c r="LUW3788" s="179"/>
      <c r="LUX3788" s="179"/>
      <c r="LUY3788" s="179"/>
      <c r="LUZ3788" s="179"/>
      <c r="LVA3788" s="179"/>
      <c r="LVB3788" s="179"/>
      <c r="LVC3788" s="179"/>
      <c r="LVD3788" s="179"/>
      <c r="LVE3788" s="179"/>
      <c r="LVF3788" s="179"/>
      <c r="LVG3788" s="179"/>
      <c r="LVH3788" s="179"/>
      <c r="LVI3788" s="179"/>
      <c r="LVJ3788" s="179"/>
      <c r="LVK3788" s="179"/>
      <c r="LVL3788" s="179"/>
      <c r="LVM3788" s="179"/>
      <c r="LVN3788" s="179"/>
      <c r="LVO3788" s="179"/>
      <c r="LVP3788" s="179"/>
      <c r="LVQ3788" s="179"/>
      <c r="LVR3788" s="179"/>
      <c r="LVS3788" s="179"/>
      <c r="LVT3788" s="179"/>
      <c r="LVU3788" s="179"/>
      <c r="LVV3788" s="179"/>
      <c r="LVW3788" s="179"/>
      <c r="LVX3788" s="179"/>
      <c r="LVY3788" s="179"/>
      <c r="LVZ3788" s="179"/>
      <c r="LWA3788" s="179"/>
      <c r="LWB3788" s="179"/>
      <c r="LWC3788" s="179"/>
      <c r="LWD3788" s="179"/>
      <c r="LWE3788" s="179"/>
      <c r="LWF3788" s="179"/>
      <c r="LWG3788" s="179"/>
      <c r="LWH3788" s="179"/>
      <c r="LWI3788" s="179"/>
      <c r="LWJ3788" s="179"/>
      <c r="LWK3788" s="179"/>
      <c r="LWL3788" s="179"/>
      <c r="LWM3788" s="179"/>
      <c r="LWN3788" s="179"/>
      <c r="LWO3788" s="179"/>
      <c r="LWP3788" s="179"/>
      <c r="LWQ3788" s="179"/>
      <c r="LWR3788" s="179"/>
      <c r="LWS3788" s="179"/>
      <c r="LWT3788" s="179"/>
      <c r="LWU3788" s="179"/>
      <c r="LWV3788" s="179"/>
      <c r="LWW3788" s="179"/>
      <c r="LWX3788" s="179"/>
      <c r="LWY3788" s="179"/>
      <c r="LWZ3788" s="179"/>
      <c r="LXA3788" s="179"/>
      <c r="LXB3788" s="179"/>
      <c r="LXC3788" s="179"/>
      <c r="LXD3788" s="179"/>
      <c r="LXE3788" s="179"/>
      <c r="LXF3788" s="179"/>
      <c r="LXG3788" s="179"/>
      <c r="LXH3788" s="179"/>
      <c r="LXI3788" s="179"/>
      <c r="LXJ3788" s="179"/>
      <c r="LXK3788" s="179"/>
      <c r="LXL3788" s="179"/>
      <c r="LXM3788" s="179"/>
      <c r="LXN3788" s="179"/>
      <c r="LXO3788" s="179"/>
      <c r="LXP3788" s="179"/>
      <c r="LXQ3788" s="179"/>
      <c r="LXR3788" s="179"/>
      <c r="LXS3788" s="179"/>
      <c r="LXT3788" s="179"/>
      <c r="LXU3788" s="179"/>
      <c r="LXV3788" s="179"/>
      <c r="LXW3788" s="179"/>
      <c r="LXX3788" s="179"/>
      <c r="LXY3788" s="179"/>
      <c r="LXZ3788" s="179"/>
      <c r="LYA3788" s="179"/>
      <c r="LYB3788" s="179"/>
      <c r="LYC3788" s="179"/>
      <c r="LYD3788" s="179"/>
      <c r="LYE3788" s="179"/>
      <c r="LYF3788" s="179"/>
      <c r="LYG3788" s="179"/>
      <c r="LYH3788" s="179"/>
      <c r="LYI3788" s="179"/>
      <c r="LYJ3788" s="179"/>
      <c r="LYK3788" s="179"/>
      <c r="LYL3788" s="179"/>
      <c r="LYM3788" s="179"/>
      <c r="LYN3788" s="179"/>
      <c r="LYO3788" s="179"/>
      <c r="LYP3788" s="179"/>
      <c r="LYQ3788" s="179"/>
      <c r="LYR3788" s="179"/>
      <c r="LYS3788" s="179"/>
      <c r="LYT3788" s="179"/>
      <c r="LYU3788" s="179"/>
      <c r="LYV3788" s="179"/>
      <c r="LYW3788" s="179"/>
      <c r="LYX3788" s="179"/>
      <c r="LYY3788" s="179"/>
      <c r="LYZ3788" s="179"/>
      <c r="LZA3788" s="179"/>
      <c r="LZB3788" s="179"/>
      <c r="LZC3788" s="179"/>
      <c r="LZD3788" s="179"/>
      <c r="LZE3788" s="179"/>
      <c r="LZF3788" s="179"/>
      <c r="LZG3788" s="179"/>
      <c r="LZH3788" s="179"/>
      <c r="LZI3788" s="179"/>
      <c r="LZJ3788" s="179"/>
      <c r="LZK3788" s="179"/>
      <c r="LZL3788" s="179"/>
      <c r="LZM3788" s="179"/>
      <c r="LZN3788" s="179"/>
      <c r="LZO3788" s="179"/>
      <c r="LZP3788" s="179"/>
      <c r="LZQ3788" s="179"/>
      <c r="LZR3788" s="179"/>
      <c r="LZS3788" s="179"/>
      <c r="LZT3788" s="179"/>
      <c r="LZU3788" s="179"/>
      <c r="LZV3788" s="179"/>
      <c r="LZW3788" s="179"/>
      <c r="LZX3788" s="179"/>
      <c r="LZY3788" s="179"/>
      <c r="LZZ3788" s="179"/>
      <c r="MAA3788" s="179"/>
      <c r="MAB3788" s="179"/>
      <c r="MAC3788" s="179"/>
      <c r="MAD3788" s="179"/>
      <c r="MAE3788" s="179"/>
      <c r="MAF3788" s="179"/>
      <c r="MAG3788" s="179"/>
      <c r="MAH3788" s="179"/>
      <c r="MAI3788" s="179"/>
      <c r="MAJ3788" s="179"/>
      <c r="MAK3788" s="179"/>
      <c r="MAL3788" s="179"/>
      <c r="MAM3788" s="179"/>
      <c r="MAN3788" s="179"/>
      <c r="MAO3788" s="179"/>
      <c r="MAP3788" s="179"/>
      <c r="MAQ3788" s="179"/>
      <c r="MAR3788" s="179"/>
      <c r="MAS3788" s="179"/>
      <c r="MAT3788" s="179"/>
      <c r="MAU3788" s="179"/>
      <c r="MAV3788" s="179"/>
      <c r="MAW3788" s="179"/>
      <c r="MAX3788" s="179"/>
      <c r="MAY3788" s="179"/>
      <c r="MAZ3788" s="179"/>
      <c r="MBA3788" s="179"/>
      <c r="MBB3788" s="179"/>
      <c r="MBC3788" s="179"/>
      <c r="MBD3788" s="179"/>
      <c r="MBE3788" s="179"/>
      <c r="MBF3788" s="179"/>
      <c r="MBG3788" s="179"/>
      <c r="MBH3788" s="179"/>
      <c r="MBI3788" s="179"/>
      <c r="MBJ3788" s="179"/>
      <c r="MBK3788" s="179"/>
      <c r="MBL3788" s="179"/>
      <c r="MBM3788" s="179"/>
      <c r="MBN3788" s="179"/>
      <c r="MBO3788" s="179"/>
      <c r="MBP3788" s="179"/>
      <c r="MBQ3788" s="179"/>
      <c r="MBR3788" s="179"/>
      <c r="MBS3788" s="179"/>
      <c r="MBT3788" s="179"/>
      <c r="MBU3788" s="179"/>
      <c r="MBV3788" s="179"/>
      <c r="MBW3788" s="179"/>
      <c r="MBX3788" s="179"/>
      <c r="MBY3788" s="179"/>
      <c r="MBZ3788" s="179"/>
      <c r="MCA3788" s="179"/>
      <c r="MCB3788" s="179"/>
      <c r="MCC3788" s="179"/>
      <c r="MCD3788" s="179"/>
      <c r="MCE3788" s="179"/>
      <c r="MCF3788" s="179"/>
      <c r="MCG3788" s="179"/>
      <c r="MCH3788" s="179"/>
      <c r="MCI3788" s="179"/>
      <c r="MCJ3788" s="179"/>
      <c r="MCK3788" s="179"/>
      <c r="MCL3788" s="179"/>
      <c r="MCM3788" s="179"/>
      <c r="MCN3788" s="179"/>
      <c r="MCO3788" s="179"/>
      <c r="MCP3788" s="179"/>
      <c r="MCQ3788" s="179"/>
      <c r="MCR3788" s="179"/>
      <c r="MCS3788" s="179"/>
      <c r="MCT3788" s="179"/>
      <c r="MCU3788" s="179"/>
      <c r="MCV3788" s="179"/>
      <c r="MCW3788" s="179"/>
      <c r="MCX3788" s="179"/>
      <c r="MCY3788" s="179"/>
      <c r="MCZ3788" s="179"/>
      <c r="MDA3788" s="179"/>
      <c r="MDB3788" s="179"/>
      <c r="MDC3788" s="179"/>
      <c r="MDD3788" s="179"/>
      <c r="MDE3788" s="179"/>
      <c r="MDF3788" s="179"/>
      <c r="MDG3788" s="179"/>
      <c r="MDH3788" s="179"/>
      <c r="MDI3788" s="179"/>
      <c r="MDJ3788" s="179"/>
      <c r="MDK3788" s="179"/>
      <c r="MDL3788" s="179"/>
      <c r="MDM3788" s="179"/>
      <c r="MDN3788" s="179"/>
      <c r="MDO3788" s="179"/>
      <c r="MDP3788" s="179"/>
      <c r="MDQ3788" s="179"/>
      <c r="MDR3788" s="179"/>
      <c r="MDS3788" s="179"/>
      <c r="MDT3788" s="179"/>
      <c r="MDU3788" s="179"/>
      <c r="MDV3788" s="179"/>
      <c r="MDW3788" s="179"/>
      <c r="MDX3788" s="179"/>
      <c r="MDY3788" s="179"/>
      <c r="MDZ3788" s="179"/>
      <c r="MEA3788" s="179"/>
      <c r="MEB3788" s="179"/>
      <c r="MEC3788" s="179"/>
      <c r="MED3788" s="179"/>
      <c r="MEE3788" s="179"/>
      <c r="MEF3788" s="179"/>
      <c r="MEG3788" s="179"/>
      <c r="MEH3788" s="179"/>
      <c r="MEI3788" s="179"/>
      <c r="MEJ3788" s="179"/>
      <c r="MEK3788" s="179"/>
      <c r="MEL3788" s="179"/>
      <c r="MEM3788" s="179"/>
      <c r="MEN3788" s="179"/>
      <c r="MEO3788" s="179"/>
      <c r="MEP3788" s="179"/>
      <c r="MEQ3788" s="179"/>
      <c r="MER3788" s="179"/>
      <c r="MES3788" s="179"/>
      <c r="MET3788" s="179"/>
      <c r="MEU3788" s="179"/>
      <c r="MEV3788" s="179"/>
      <c r="MEW3788" s="179"/>
      <c r="MEX3788" s="179"/>
      <c r="MEY3788" s="179"/>
      <c r="MEZ3788" s="179"/>
      <c r="MFA3788" s="179"/>
      <c r="MFB3788" s="179"/>
      <c r="MFC3788" s="179"/>
      <c r="MFD3788" s="179"/>
      <c r="MFE3788" s="179"/>
      <c r="MFF3788" s="179"/>
      <c r="MFG3788" s="179"/>
      <c r="MFH3788" s="179"/>
      <c r="MFI3788" s="179"/>
      <c r="MFJ3788" s="179"/>
      <c r="MFK3788" s="179"/>
      <c r="MFL3788" s="179"/>
      <c r="MFM3788" s="179"/>
      <c r="MFN3788" s="179"/>
      <c r="MFO3788" s="179"/>
      <c r="MFP3788" s="179"/>
      <c r="MFQ3788" s="179"/>
      <c r="MFR3788" s="179"/>
      <c r="MFS3788" s="179"/>
      <c r="MFT3788" s="179"/>
      <c r="MFU3788" s="179"/>
      <c r="MFV3788" s="179"/>
      <c r="MFW3788" s="179"/>
      <c r="MFX3788" s="179"/>
      <c r="MFY3788" s="179"/>
      <c r="MFZ3788" s="179"/>
      <c r="MGA3788" s="179"/>
      <c r="MGB3788" s="179"/>
      <c r="MGC3788" s="179"/>
      <c r="MGD3788" s="179"/>
      <c r="MGE3788" s="179"/>
      <c r="MGF3788" s="179"/>
      <c r="MGG3788" s="179"/>
      <c r="MGH3788" s="179"/>
      <c r="MGI3788" s="179"/>
      <c r="MGJ3788" s="179"/>
      <c r="MGK3788" s="179"/>
      <c r="MGL3788" s="179"/>
      <c r="MGM3788" s="179"/>
      <c r="MGN3788" s="179"/>
      <c r="MGO3788" s="179"/>
      <c r="MGP3788" s="179"/>
      <c r="MGQ3788" s="179"/>
      <c r="MGR3788" s="179"/>
      <c r="MGS3788" s="179"/>
      <c r="MGT3788" s="179"/>
      <c r="MGU3788" s="179"/>
      <c r="MGV3788" s="179"/>
      <c r="MGW3788" s="179"/>
      <c r="MGX3788" s="179"/>
      <c r="MGY3788" s="179"/>
      <c r="MGZ3788" s="179"/>
      <c r="MHA3788" s="179"/>
      <c r="MHB3788" s="179"/>
      <c r="MHC3788" s="179"/>
      <c r="MHD3788" s="179"/>
      <c r="MHE3788" s="179"/>
      <c r="MHF3788" s="179"/>
      <c r="MHG3788" s="179"/>
      <c r="MHH3788" s="179"/>
      <c r="MHI3788" s="179"/>
      <c r="MHJ3788" s="179"/>
      <c r="MHK3788" s="179"/>
      <c r="MHL3788" s="179"/>
      <c r="MHM3788" s="179"/>
      <c r="MHN3788" s="179"/>
      <c r="MHO3788" s="179"/>
      <c r="MHP3788" s="179"/>
      <c r="MHQ3788" s="179"/>
      <c r="MHR3788" s="179"/>
      <c r="MHS3788" s="179"/>
      <c r="MHT3788" s="179"/>
      <c r="MHU3788" s="179"/>
      <c r="MHV3788" s="179"/>
      <c r="MHW3788" s="179"/>
      <c r="MHX3788" s="179"/>
      <c r="MHY3788" s="179"/>
      <c r="MHZ3788" s="179"/>
      <c r="MIA3788" s="179"/>
      <c r="MIB3788" s="179"/>
      <c r="MIC3788" s="179"/>
      <c r="MID3788" s="179"/>
      <c r="MIE3788" s="179"/>
      <c r="MIF3788" s="179"/>
      <c r="MIG3788" s="179"/>
      <c r="MIH3788" s="179"/>
      <c r="MII3788" s="179"/>
      <c r="MIJ3788" s="179"/>
      <c r="MIK3788" s="179"/>
      <c r="MIL3788" s="179"/>
      <c r="MIM3788" s="179"/>
      <c r="MIN3788" s="179"/>
      <c r="MIO3788" s="179"/>
      <c r="MIP3788" s="179"/>
      <c r="MIQ3788" s="179"/>
      <c r="MIR3788" s="179"/>
      <c r="MIS3788" s="179"/>
      <c r="MIT3788" s="179"/>
      <c r="MIU3788" s="179"/>
      <c r="MIV3788" s="179"/>
      <c r="MIW3788" s="179"/>
      <c r="MIX3788" s="179"/>
      <c r="MIY3788" s="179"/>
      <c r="MIZ3788" s="179"/>
      <c r="MJA3788" s="179"/>
      <c r="MJB3788" s="179"/>
      <c r="MJC3788" s="179"/>
      <c r="MJD3788" s="179"/>
      <c r="MJE3788" s="179"/>
      <c r="MJF3788" s="179"/>
      <c r="MJG3788" s="179"/>
      <c r="MJH3788" s="179"/>
      <c r="MJI3788" s="179"/>
      <c r="MJJ3788" s="179"/>
      <c r="MJK3788" s="179"/>
      <c r="MJL3788" s="179"/>
      <c r="MJM3788" s="179"/>
      <c r="MJN3788" s="179"/>
      <c r="MJO3788" s="179"/>
      <c r="MJP3788" s="179"/>
      <c r="MJQ3788" s="179"/>
      <c r="MJR3788" s="179"/>
      <c r="MJS3788" s="179"/>
      <c r="MJT3788" s="179"/>
      <c r="MJU3788" s="179"/>
      <c r="MJV3788" s="179"/>
      <c r="MJW3788" s="179"/>
      <c r="MJX3788" s="179"/>
      <c r="MJY3788" s="179"/>
      <c r="MJZ3788" s="179"/>
      <c r="MKA3788" s="179"/>
      <c r="MKB3788" s="179"/>
      <c r="MKC3788" s="179"/>
      <c r="MKD3788" s="179"/>
      <c r="MKE3788" s="179"/>
      <c r="MKF3788" s="179"/>
      <c r="MKG3788" s="179"/>
      <c r="MKH3788" s="179"/>
      <c r="MKI3788" s="179"/>
      <c r="MKJ3788" s="179"/>
      <c r="MKK3788" s="179"/>
      <c r="MKL3788" s="179"/>
      <c r="MKM3788" s="179"/>
      <c r="MKN3788" s="179"/>
      <c r="MKO3788" s="179"/>
      <c r="MKP3788" s="179"/>
      <c r="MKQ3788" s="179"/>
      <c r="MKR3788" s="179"/>
      <c r="MKS3788" s="179"/>
      <c r="MKT3788" s="179"/>
      <c r="MKU3788" s="179"/>
      <c r="MKV3788" s="179"/>
      <c r="MKW3788" s="179"/>
      <c r="MKX3788" s="179"/>
      <c r="MKY3788" s="179"/>
      <c r="MKZ3788" s="179"/>
      <c r="MLA3788" s="179"/>
      <c r="MLB3788" s="179"/>
      <c r="MLC3788" s="179"/>
      <c r="MLD3788" s="179"/>
      <c r="MLE3788" s="179"/>
      <c r="MLF3788" s="179"/>
      <c r="MLG3788" s="179"/>
      <c r="MLH3788" s="179"/>
      <c r="MLI3788" s="179"/>
      <c r="MLJ3788" s="179"/>
      <c r="MLK3788" s="179"/>
      <c r="MLL3788" s="179"/>
      <c r="MLM3788" s="179"/>
      <c r="MLN3788" s="179"/>
      <c r="MLO3788" s="179"/>
      <c r="MLP3788" s="179"/>
      <c r="MLQ3788" s="179"/>
      <c r="MLR3788" s="179"/>
      <c r="MLS3788" s="179"/>
      <c r="MLT3788" s="179"/>
      <c r="MLU3788" s="179"/>
      <c r="MLV3788" s="179"/>
      <c r="MLW3788" s="179"/>
      <c r="MLX3788" s="179"/>
      <c r="MLY3788" s="179"/>
      <c r="MLZ3788" s="179"/>
      <c r="MMA3788" s="179"/>
      <c r="MMB3788" s="179"/>
      <c r="MMC3788" s="179"/>
      <c r="MMD3788" s="179"/>
      <c r="MME3788" s="179"/>
      <c r="MMF3788" s="179"/>
      <c r="MMG3788" s="179"/>
      <c r="MMH3788" s="179"/>
      <c r="MMI3788" s="179"/>
      <c r="MMJ3788" s="179"/>
      <c r="MMK3788" s="179"/>
      <c r="MML3788" s="179"/>
      <c r="MMM3788" s="179"/>
      <c r="MMN3788" s="179"/>
      <c r="MMO3788" s="179"/>
      <c r="MMP3788" s="179"/>
      <c r="MMQ3788" s="179"/>
      <c r="MMR3788" s="179"/>
      <c r="MMS3788" s="179"/>
      <c r="MMT3788" s="179"/>
      <c r="MMU3788" s="179"/>
      <c r="MMV3788" s="179"/>
      <c r="MMW3788" s="179"/>
      <c r="MMX3788" s="179"/>
      <c r="MMY3788" s="179"/>
      <c r="MMZ3788" s="179"/>
      <c r="MNA3788" s="179"/>
      <c r="MNB3788" s="179"/>
      <c r="MNC3788" s="179"/>
      <c r="MND3788" s="179"/>
      <c r="MNE3788" s="179"/>
      <c r="MNF3788" s="179"/>
      <c r="MNG3788" s="179"/>
      <c r="MNH3788" s="179"/>
      <c r="MNI3788" s="179"/>
      <c r="MNJ3788" s="179"/>
      <c r="MNK3788" s="179"/>
      <c r="MNL3788" s="179"/>
      <c r="MNM3788" s="179"/>
      <c r="MNN3788" s="179"/>
      <c r="MNO3788" s="179"/>
      <c r="MNP3788" s="179"/>
      <c r="MNQ3788" s="179"/>
      <c r="MNR3788" s="179"/>
      <c r="MNS3788" s="179"/>
      <c r="MNT3788" s="179"/>
      <c r="MNU3788" s="179"/>
      <c r="MNV3788" s="179"/>
      <c r="MNW3788" s="179"/>
      <c r="MNX3788" s="179"/>
      <c r="MNY3788" s="179"/>
      <c r="MNZ3788" s="179"/>
      <c r="MOA3788" s="179"/>
      <c r="MOB3788" s="179"/>
      <c r="MOC3788" s="179"/>
      <c r="MOD3788" s="179"/>
      <c r="MOE3788" s="179"/>
      <c r="MOF3788" s="179"/>
      <c r="MOG3788" s="179"/>
      <c r="MOH3788" s="179"/>
      <c r="MOI3788" s="179"/>
      <c r="MOJ3788" s="179"/>
      <c r="MOK3788" s="179"/>
      <c r="MOL3788" s="179"/>
      <c r="MOM3788" s="179"/>
      <c r="MON3788" s="179"/>
      <c r="MOO3788" s="179"/>
      <c r="MOP3788" s="179"/>
      <c r="MOQ3788" s="179"/>
      <c r="MOR3788" s="179"/>
      <c r="MOS3788" s="179"/>
      <c r="MOT3788" s="179"/>
      <c r="MOU3788" s="179"/>
      <c r="MOV3788" s="179"/>
      <c r="MOW3788" s="179"/>
      <c r="MOX3788" s="179"/>
      <c r="MOY3788" s="179"/>
      <c r="MOZ3788" s="179"/>
      <c r="MPA3788" s="179"/>
      <c r="MPB3788" s="179"/>
      <c r="MPC3788" s="179"/>
      <c r="MPD3788" s="179"/>
      <c r="MPE3788" s="179"/>
      <c r="MPF3788" s="179"/>
      <c r="MPG3788" s="179"/>
      <c r="MPH3788" s="179"/>
      <c r="MPI3788" s="179"/>
      <c r="MPJ3788" s="179"/>
      <c r="MPK3788" s="179"/>
      <c r="MPL3788" s="179"/>
      <c r="MPM3788" s="179"/>
      <c r="MPN3788" s="179"/>
      <c r="MPO3788" s="179"/>
      <c r="MPP3788" s="179"/>
      <c r="MPQ3788" s="179"/>
      <c r="MPR3788" s="179"/>
      <c r="MPS3788" s="179"/>
      <c r="MPT3788" s="179"/>
      <c r="MPU3788" s="179"/>
      <c r="MPV3788" s="179"/>
      <c r="MPW3788" s="179"/>
      <c r="MPX3788" s="179"/>
      <c r="MPY3788" s="179"/>
      <c r="MPZ3788" s="179"/>
      <c r="MQA3788" s="179"/>
      <c r="MQB3788" s="179"/>
      <c r="MQC3788" s="179"/>
      <c r="MQD3788" s="179"/>
      <c r="MQE3788" s="179"/>
      <c r="MQF3788" s="179"/>
      <c r="MQG3788" s="179"/>
      <c r="MQH3788" s="179"/>
      <c r="MQI3788" s="179"/>
      <c r="MQJ3788" s="179"/>
      <c r="MQK3788" s="179"/>
      <c r="MQL3788" s="179"/>
      <c r="MQM3788" s="179"/>
      <c r="MQN3788" s="179"/>
      <c r="MQO3788" s="179"/>
      <c r="MQP3788" s="179"/>
      <c r="MQQ3788" s="179"/>
      <c r="MQR3788" s="179"/>
      <c r="MQS3788" s="179"/>
      <c r="MQT3788" s="179"/>
      <c r="MQU3788" s="179"/>
      <c r="MQV3788" s="179"/>
      <c r="MQW3788" s="179"/>
      <c r="MQX3788" s="179"/>
      <c r="MQY3788" s="179"/>
      <c r="MQZ3788" s="179"/>
      <c r="MRA3788" s="179"/>
      <c r="MRB3788" s="179"/>
      <c r="MRC3788" s="179"/>
      <c r="MRD3788" s="179"/>
      <c r="MRE3788" s="179"/>
      <c r="MRF3788" s="179"/>
      <c r="MRG3788" s="179"/>
      <c r="MRH3788" s="179"/>
      <c r="MRI3788" s="179"/>
      <c r="MRJ3788" s="179"/>
      <c r="MRK3788" s="179"/>
      <c r="MRL3788" s="179"/>
      <c r="MRM3788" s="179"/>
      <c r="MRN3788" s="179"/>
      <c r="MRO3788" s="179"/>
      <c r="MRP3788" s="179"/>
      <c r="MRQ3788" s="179"/>
      <c r="MRR3788" s="179"/>
      <c r="MRS3788" s="179"/>
      <c r="MRT3788" s="179"/>
      <c r="MRU3788" s="179"/>
      <c r="MRV3788" s="179"/>
      <c r="MRW3788" s="179"/>
      <c r="MRX3788" s="179"/>
      <c r="MRY3788" s="179"/>
      <c r="MRZ3788" s="179"/>
      <c r="MSA3788" s="179"/>
      <c r="MSB3788" s="179"/>
      <c r="MSC3788" s="179"/>
      <c r="MSD3788" s="179"/>
      <c r="MSE3788" s="179"/>
      <c r="MSF3788" s="179"/>
      <c r="MSG3788" s="179"/>
      <c r="MSH3788" s="179"/>
      <c r="MSI3788" s="179"/>
      <c r="MSJ3788" s="179"/>
      <c r="MSK3788" s="179"/>
      <c r="MSL3788" s="179"/>
      <c r="MSM3788" s="179"/>
      <c r="MSN3788" s="179"/>
      <c r="MSO3788" s="179"/>
      <c r="MSP3788" s="179"/>
      <c r="MSQ3788" s="179"/>
      <c r="MSR3788" s="179"/>
      <c r="MSS3788" s="179"/>
      <c r="MST3788" s="179"/>
      <c r="MSU3788" s="179"/>
      <c r="MSV3788" s="179"/>
      <c r="MSW3788" s="179"/>
      <c r="MSX3788" s="179"/>
      <c r="MSY3788" s="179"/>
      <c r="MSZ3788" s="179"/>
      <c r="MTA3788" s="179"/>
      <c r="MTB3788" s="179"/>
      <c r="MTC3788" s="179"/>
      <c r="MTD3788" s="179"/>
      <c r="MTE3788" s="179"/>
      <c r="MTF3788" s="179"/>
      <c r="MTG3788" s="179"/>
      <c r="MTH3788" s="179"/>
      <c r="MTI3788" s="179"/>
      <c r="MTJ3788" s="179"/>
      <c r="MTK3788" s="179"/>
      <c r="MTL3788" s="179"/>
      <c r="MTM3788" s="179"/>
      <c r="MTN3788" s="179"/>
      <c r="MTO3788" s="179"/>
      <c r="MTP3788" s="179"/>
      <c r="MTQ3788" s="179"/>
      <c r="MTR3788" s="179"/>
      <c r="MTS3788" s="179"/>
      <c r="MTT3788" s="179"/>
      <c r="MTU3788" s="179"/>
      <c r="MTV3788" s="179"/>
      <c r="MTW3788" s="179"/>
      <c r="MTX3788" s="179"/>
      <c r="MTY3788" s="179"/>
      <c r="MTZ3788" s="179"/>
      <c r="MUA3788" s="179"/>
      <c r="MUB3788" s="179"/>
      <c r="MUC3788" s="179"/>
      <c r="MUD3788" s="179"/>
      <c r="MUE3788" s="179"/>
      <c r="MUF3788" s="179"/>
      <c r="MUG3788" s="179"/>
      <c r="MUH3788" s="179"/>
      <c r="MUI3788" s="179"/>
      <c r="MUJ3788" s="179"/>
      <c r="MUK3788" s="179"/>
      <c r="MUL3788" s="179"/>
      <c r="MUM3788" s="179"/>
      <c r="MUN3788" s="179"/>
      <c r="MUO3788" s="179"/>
      <c r="MUP3788" s="179"/>
      <c r="MUQ3788" s="179"/>
      <c r="MUR3788" s="179"/>
      <c r="MUS3788" s="179"/>
      <c r="MUT3788" s="179"/>
      <c r="MUU3788" s="179"/>
      <c r="MUV3788" s="179"/>
      <c r="MUW3788" s="179"/>
      <c r="MUX3788" s="179"/>
      <c r="MUY3788" s="179"/>
      <c r="MUZ3788" s="179"/>
      <c r="MVA3788" s="179"/>
      <c r="MVB3788" s="179"/>
      <c r="MVC3788" s="179"/>
      <c r="MVD3788" s="179"/>
      <c r="MVE3788" s="179"/>
      <c r="MVF3788" s="179"/>
      <c r="MVG3788" s="179"/>
      <c r="MVH3788" s="179"/>
      <c r="MVI3788" s="179"/>
      <c r="MVJ3788" s="179"/>
      <c r="MVK3788" s="179"/>
      <c r="MVL3788" s="179"/>
      <c r="MVM3788" s="179"/>
      <c r="MVN3788" s="179"/>
      <c r="MVO3788" s="179"/>
      <c r="MVP3788" s="179"/>
      <c r="MVQ3788" s="179"/>
      <c r="MVR3788" s="179"/>
      <c r="MVS3788" s="179"/>
      <c r="MVT3788" s="179"/>
      <c r="MVU3788" s="179"/>
      <c r="MVV3788" s="179"/>
      <c r="MVW3788" s="179"/>
      <c r="MVX3788" s="179"/>
      <c r="MVY3788" s="179"/>
      <c r="MVZ3788" s="179"/>
      <c r="MWA3788" s="179"/>
      <c r="MWB3788" s="179"/>
      <c r="MWC3788" s="179"/>
      <c r="MWD3788" s="179"/>
      <c r="MWE3788" s="179"/>
      <c r="MWF3788" s="179"/>
      <c r="MWG3788" s="179"/>
      <c r="MWH3788" s="179"/>
      <c r="MWI3788" s="179"/>
      <c r="MWJ3788" s="179"/>
      <c r="MWK3788" s="179"/>
      <c r="MWL3788" s="179"/>
      <c r="MWM3788" s="179"/>
      <c r="MWN3788" s="179"/>
      <c r="MWO3788" s="179"/>
      <c r="MWP3788" s="179"/>
      <c r="MWQ3788" s="179"/>
      <c r="MWR3788" s="179"/>
      <c r="MWS3788" s="179"/>
      <c r="MWT3788" s="179"/>
      <c r="MWU3788" s="179"/>
      <c r="MWV3788" s="179"/>
      <c r="MWW3788" s="179"/>
      <c r="MWX3788" s="179"/>
      <c r="MWY3788" s="179"/>
      <c r="MWZ3788" s="179"/>
      <c r="MXA3788" s="179"/>
      <c r="MXB3788" s="179"/>
      <c r="MXC3788" s="179"/>
      <c r="MXD3788" s="179"/>
      <c r="MXE3788" s="179"/>
      <c r="MXF3788" s="179"/>
      <c r="MXG3788" s="179"/>
      <c r="MXH3788" s="179"/>
      <c r="MXI3788" s="179"/>
      <c r="MXJ3788" s="179"/>
      <c r="MXK3788" s="179"/>
      <c r="MXL3788" s="179"/>
      <c r="MXM3788" s="179"/>
      <c r="MXN3788" s="179"/>
      <c r="MXO3788" s="179"/>
      <c r="MXP3788" s="179"/>
      <c r="MXQ3788" s="179"/>
      <c r="MXR3788" s="179"/>
      <c r="MXS3788" s="179"/>
      <c r="MXT3788" s="179"/>
      <c r="MXU3788" s="179"/>
      <c r="MXV3788" s="179"/>
      <c r="MXW3788" s="179"/>
      <c r="MXX3788" s="179"/>
      <c r="MXY3788" s="179"/>
      <c r="MXZ3788" s="179"/>
      <c r="MYA3788" s="179"/>
      <c r="MYB3788" s="179"/>
      <c r="MYC3788" s="179"/>
      <c r="MYD3788" s="179"/>
      <c r="MYE3788" s="179"/>
      <c r="MYF3788" s="179"/>
      <c r="MYG3788" s="179"/>
      <c r="MYH3788" s="179"/>
      <c r="MYI3788" s="179"/>
      <c r="MYJ3788" s="179"/>
      <c r="MYK3788" s="179"/>
      <c r="MYL3788" s="179"/>
      <c r="MYM3788" s="179"/>
      <c r="MYN3788" s="179"/>
      <c r="MYO3788" s="179"/>
      <c r="MYP3788" s="179"/>
      <c r="MYQ3788" s="179"/>
      <c r="MYR3788" s="179"/>
      <c r="MYS3788" s="179"/>
      <c r="MYT3788" s="179"/>
      <c r="MYU3788" s="179"/>
      <c r="MYV3788" s="179"/>
      <c r="MYW3788" s="179"/>
      <c r="MYX3788" s="179"/>
      <c r="MYY3788" s="179"/>
      <c r="MYZ3788" s="179"/>
      <c r="MZA3788" s="179"/>
      <c r="MZB3788" s="179"/>
      <c r="MZC3788" s="179"/>
      <c r="MZD3788" s="179"/>
      <c r="MZE3788" s="179"/>
      <c r="MZF3788" s="179"/>
      <c r="MZG3788" s="179"/>
      <c r="MZH3788" s="179"/>
      <c r="MZI3788" s="179"/>
      <c r="MZJ3788" s="179"/>
      <c r="MZK3788" s="179"/>
      <c r="MZL3788" s="179"/>
      <c r="MZM3788" s="179"/>
      <c r="MZN3788" s="179"/>
      <c r="MZO3788" s="179"/>
      <c r="MZP3788" s="179"/>
      <c r="MZQ3788" s="179"/>
      <c r="MZR3788" s="179"/>
      <c r="MZS3788" s="179"/>
      <c r="MZT3788" s="179"/>
      <c r="MZU3788" s="179"/>
      <c r="MZV3788" s="179"/>
      <c r="MZW3788" s="179"/>
      <c r="MZX3788" s="179"/>
      <c r="MZY3788" s="179"/>
      <c r="MZZ3788" s="179"/>
      <c r="NAA3788" s="179"/>
      <c r="NAB3788" s="179"/>
      <c r="NAC3788" s="179"/>
      <c r="NAD3788" s="179"/>
      <c r="NAE3788" s="179"/>
      <c r="NAF3788" s="179"/>
      <c r="NAG3788" s="179"/>
      <c r="NAH3788" s="179"/>
      <c r="NAI3788" s="179"/>
      <c r="NAJ3788" s="179"/>
      <c r="NAK3788" s="179"/>
      <c r="NAL3788" s="179"/>
      <c r="NAM3788" s="179"/>
      <c r="NAN3788" s="179"/>
      <c r="NAO3788" s="179"/>
      <c r="NAP3788" s="179"/>
      <c r="NAQ3788" s="179"/>
      <c r="NAR3788" s="179"/>
      <c r="NAS3788" s="179"/>
      <c r="NAT3788" s="179"/>
      <c r="NAU3788" s="179"/>
      <c r="NAV3788" s="179"/>
      <c r="NAW3788" s="179"/>
      <c r="NAX3788" s="179"/>
      <c r="NAY3788" s="179"/>
      <c r="NAZ3788" s="179"/>
      <c r="NBA3788" s="179"/>
      <c r="NBB3788" s="179"/>
      <c r="NBC3788" s="179"/>
      <c r="NBD3788" s="179"/>
      <c r="NBE3788" s="179"/>
      <c r="NBF3788" s="179"/>
      <c r="NBG3788" s="179"/>
      <c r="NBH3788" s="179"/>
      <c r="NBI3788" s="179"/>
      <c r="NBJ3788" s="179"/>
      <c r="NBK3788" s="179"/>
      <c r="NBL3788" s="179"/>
      <c r="NBM3788" s="179"/>
      <c r="NBN3788" s="179"/>
      <c r="NBO3788" s="179"/>
      <c r="NBP3788" s="179"/>
      <c r="NBQ3788" s="179"/>
      <c r="NBR3788" s="179"/>
      <c r="NBS3788" s="179"/>
      <c r="NBT3788" s="179"/>
      <c r="NBU3788" s="179"/>
      <c r="NBV3788" s="179"/>
      <c r="NBW3788" s="179"/>
      <c r="NBX3788" s="179"/>
      <c r="NBY3788" s="179"/>
      <c r="NBZ3788" s="179"/>
      <c r="NCA3788" s="179"/>
      <c r="NCB3788" s="179"/>
      <c r="NCC3788" s="179"/>
      <c r="NCD3788" s="179"/>
      <c r="NCE3788" s="179"/>
      <c r="NCF3788" s="179"/>
      <c r="NCG3788" s="179"/>
      <c r="NCH3788" s="179"/>
      <c r="NCI3788" s="179"/>
      <c r="NCJ3788" s="179"/>
      <c r="NCK3788" s="179"/>
      <c r="NCL3788" s="179"/>
      <c r="NCM3788" s="179"/>
      <c r="NCN3788" s="179"/>
      <c r="NCO3788" s="179"/>
      <c r="NCP3788" s="179"/>
      <c r="NCQ3788" s="179"/>
      <c r="NCR3788" s="179"/>
      <c r="NCS3788" s="179"/>
      <c r="NCT3788" s="179"/>
      <c r="NCU3788" s="179"/>
      <c r="NCV3788" s="179"/>
      <c r="NCW3788" s="179"/>
      <c r="NCX3788" s="179"/>
      <c r="NCY3788" s="179"/>
      <c r="NCZ3788" s="179"/>
      <c r="NDA3788" s="179"/>
      <c r="NDB3788" s="179"/>
      <c r="NDC3788" s="179"/>
      <c r="NDD3788" s="179"/>
      <c r="NDE3788" s="179"/>
      <c r="NDF3788" s="179"/>
      <c r="NDG3788" s="179"/>
      <c r="NDH3788" s="179"/>
      <c r="NDI3788" s="179"/>
      <c r="NDJ3788" s="179"/>
      <c r="NDK3788" s="179"/>
      <c r="NDL3788" s="179"/>
      <c r="NDM3788" s="179"/>
      <c r="NDN3788" s="179"/>
      <c r="NDO3788" s="179"/>
      <c r="NDP3788" s="179"/>
      <c r="NDQ3788" s="179"/>
      <c r="NDR3788" s="179"/>
      <c r="NDS3788" s="179"/>
      <c r="NDT3788" s="179"/>
      <c r="NDU3788" s="179"/>
      <c r="NDV3788" s="179"/>
      <c r="NDW3788" s="179"/>
      <c r="NDX3788" s="179"/>
      <c r="NDY3788" s="179"/>
      <c r="NDZ3788" s="179"/>
      <c r="NEA3788" s="179"/>
      <c r="NEB3788" s="179"/>
      <c r="NEC3788" s="179"/>
      <c r="NED3788" s="179"/>
      <c r="NEE3788" s="179"/>
      <c r="NEF3788" s="179"/>
      <c r="NEG3788" s="179"/>
      <c r="NEH3788" s="179"/>
      <c r="NEI3788" s="179"/>
      <c r="NEJ3788" s="179"/>
      <c r="NEK3788" s="179"/>
      <c r="NEL3788" s="179"/>
      <c r="NEM3788" s="179"/>
      <c r="NEN3788" s="179"/>
      <c r="NEO3788" s="179"/>
      <c r="NEP3788" s="179"/>
      <c r="NEQ3788" s="179"/>
      <c r="NER3788" s="179"/>
      <c r="NES3788" s="179"/>
      <c r="NET3788" s="179"/>
      <c r="NEU3788" s="179"/>
      <c r="NEV3788" s="179"/>
      <c r="NEW3788" s="179"/>
      <c r="NEX3788" s="179"/>
      <c r="NEY3788" s="179"/>
      <c r="NEZ3788" s="179"/>
      <c r="NFA3788" s="179"/>
      <c r="NFB3788" s="179"/>
      <c r="NFC3788" s="179"/>
      <c r="NFD3788" s="179"/>
      <c r="NFE3788" s="179"/>
      <c r="NFF3788" s="179"/>
      <c r="NFG3788" s="179"/>
      <c r="NFH3788" s="179"/>
      <c r="NFI3788" s="179"/>
      <c r="NFJ3788" s="179"/>
      <c r="NFK3788" s="179"/>
      <c r="NFL3788" s="179"/>
      <c r="NFM3788" s="179"/>
      <c r="NFN3788" s="179"/>
      <c r="NFO3788" s="179"/>
      <c r="NFP3788" s="179"/>
      <c r="NFQ3788" s="179"/>
      <c r="NFR3788" s="179"/>
      <c r="NFS3788" s="179"/>
      <c r="NFT3788" s="179"/>
      <c r="NFU3788" s="179"/>
      <c r="NFV3788" s="179"/>
      <c r="NFW3788" s="179"/>
      <c r="NFX3788" s="179"/>
      <c r="NFY3788" s="179"/>
      <c r="NFZ3788" s="179"/>
      <c r="NGA3788" s="179"/>
      <c r="NGB3788" s="179"/>
      <c r="NGC3788" s="179"/>
      <c r="NGD3788" s="179"/>
      <c r="NGE3788" s="179"/>
      <c r="NGF3788" s="179"/>
      <c r="NGG3788" s="179"/>
      <c r="NGH3788" s="179"/>
      <c r="NGI3788" s="179"/>
      <c r="NGJ3788" s="179"/>
      <c r="NGK3788" s="179"/>
      <c r="NGL3788" s="179"/>
      <c r="NGM3788" s="179"/>
      <c r="NGN3788" s="179"/>
      <c r="NGO3788" s="179"/>
      <c r="NGP3788" s="179"/>
      <c r="NGQ3788" s="179"/>
      <c r="NGR3788" s="179"/>
      <c r="NGS3788" s="179"/>
      <c r="NGT3788" s="179"/>
      <c r="NGU3788" s="179"/>
      <c r="NGV3788" s="179"/>
      <c r="NGW3788" s="179"/>
      <c r="NGX3788" s="179"/>
      <c r="NGY3788" s="179"/>
      <c r="NGZ3788" s="179"/>
      <c r="NHA3788" s="179"/>
      <c r="NHB3788" s="179"/>
      <c r="NHC3788" s="179"/>
      <c r="NHD3788" s="179"/>
      <c r="NHE3788" s="179"/>
      <c r="NHF3788" s="179"/>
      <c r="NHG3788" s="179"/>
      <c r="NHH3788" s="179"/>
      <c r="NHI3788" s="179"/>
      <c r="NHJ3788" s="179"/>
      <c r="NHK3788" s="179"/>
      <c r="NHL3788" s="179"/>
      <c r="NHM3788" s="179"/>
      <c r="NHN3788" s="179"/>
      <c r="NHO3788" s="179"/>
      <c r="NHP3788" s="179"/>
      <c r="NHQ3788" s="179"/>
      <c r="NHR3788" s="179"/>
      <c r="NHS3788" s="179"/>
      <c r="NHT3788" s="179"/>
      <c r="NHU3788" s="179"/>
      <c r="NHV3788" s="179"/>
      <c r="NHW3788" s="179"/>
      <c r="NHX3788" s="179"/>
      <c r="NHY3788" s="179"/>
      <c r="NHZ3788" s="179"/>
      <c r="NIA3788" s="179"/>
      <c r="NIB3788" s="179"/>
      <c r="NIC3788" s="179"/>
      <c r="NID3788" s="179"/>
      <c r="NIE3788" s="179"/>
      <c r="NIF3788" s="179"/>
      <c r="NIG3788" s="179"/>
      <c r="NIH3788" s="179"/>
      <c r="NII3788" s="179"/>
      <c r="NIJ3788" s="179"/>
      <c r="NIK3788" s="179"/>
      <c r="NIL3788" s="179"/>
      <c r="NIM3788" s="179"/>
      <c r="NIN3788" s="179"/>
      <c r="NIO3788" s="179"/>
      <c r="NIP3788" s="179"/>
      <c r="NIQ3788" s="179"/>
      <c r="NIR3788" s="179"/>
      <c r="NIS3788" s="179"/>
      <c r="NIT3788" s="179"/>
      <c r="NIU3788" s="179"/>
      <c r="NIV3788" s="179"/>
      <c r="NIW3788" s="179"/>
      <c r="NIX3788" s="179"/>
      <c r="NIY3788" s="179"/>
      <c r="NIZ3788" s="179"/>
      <c r="NJA3788" s="179"/>
      <c r="NJB3788" s="179"/>
      <c r="NJC3788" s="179"/>
      <c r="NJD3788" s="179"/>
      <c r="NJE3788" s="179"/>
      <c r="NJF3788" s="179"/>
      <c r="NJG3788" s="179"/>
      <c r="NJH3788" s="179"/>
      <c r="NJI3788" s="179"/>
      <c r="NJJ3788" s="179"/>
      <c r="NJK3788" s="179"/>
      <c r="NJL3788" s="179"/>
      <c r="NJM3788" s="179"/>
      <c r="NJN3788" s="179"/>
      <c r="NJO3788" s="179"/>
      <c r="NJP3788" s="179"/>
      <c r="NJQ3788" s="179"/>
      <c r="NJR3788" s="179"/>
      <c r="NJS3788" s="179"/>
      <c r="NJT3788" s="179"/>
      <c r="NJU3788" s="179"/>
      <c r="NJV3788" s="179"/>
      <c r="NJW3788" s="179"/>
      <c r="NJX3788" s="179"/>
      <c r="NJY3788" s="179"/>
      <c r="NJZ3788" s="179"/>
      <c r="NKA3788" s="179"/>
      <c r="NKB3788" s="179"/>
      <c r="NKC3788" s="179"/>
      <c r="NKD3788" s="179"/>
      <c r="NKE3788" s="179"/>
      <c r="NKF3788" s="179"/>
      <c r="NKG3788" s="179"/>
      <c r="NKH3788" s="179"/>
      <c r="NKI3788" s="179"/>
      <c r="NKJ3788" s="179"/>
      <c r="NKK3788" s="179"/>
      <c r="NKL3788" s="179"/>
      <c r="NKM3788" s="179"/>
      <c r="NKN3788" s="179"/>
      <c r="NKO3788" s="179"/>
      <c r="NKP3788" s="179"/>
      <c r="NKQ3788" s="179"/>
      <c r="NKR3788" s="179"/>
      <c r="NKS3788" s="179"/>
      <c r="NKT3788" s="179"/>
      <c r="NKU3788" s="179"/>
      <c r="NKV3788" s="179"/>
      <c r="NKW3788" s="179"/>
      <c r="NKX3788" s="179"/>
      <c r="NKY3788" s="179"/>
      <c r="NKZ3788" s="179"/>
      <c r="NLA3788" s="179"/>
      <c r="NLB3788" s="179"/>
      <c r="NLC3788" s="179"/>
      <c r="NLD3788" s="179"/>
      <c r="NLE3788" s="179"/>
      <c r="NLF3788" s="179"/>
      <c r="NLG3788" s="179"/>
      <c r="NLH3788" s="179"/>
      <c r="NLI3788" s="179"/>
      <c r="NLJ3788" s="179"/>
      <c r="NLK3788" s="179"/>
      <c r="NLL3788" s="179"/>
      <c r="NLM3788" s="179"/>
      <c r="NLN3788" s="179"/>
      <c r="NLO3788" s="179"/>
      <c r="NLP3788" s="179"/>
      <c r="NLQ3788" s="179"/>
      <c r="NLR3788" s="179"/>
      <c r="NLS3788" s="179"/>
      <c r="NLT3788" s="179"/>
      <c r="NLU3788" s="179"/>
      <c r="NLV3788" s="179"/>
      <c r="NLW3788" s="179"/>
      <c r="NLX3788" s="179"/>
      <c r="NLY3788" s="179"/>
      <c r="NLZ3788" s="179"/>
      <c r="NMA3788" s="179"/>
      <c r="NMB3788" s="179"/>
      <c r="NMC3788" s="179"/>
      <c r="NMD3788" s="179"/>
      <c r="NME3788" s="179"/>
      <c r="NMF3788" s="179"/>
      <c r="NMG3788" s="179"/>
      <c r="NMH3788" s="179"/>
      <c r="NMI3788" s="179"/>
      <c r="NMJ3788" s="179"/>
      <c r="NMK3788" s="179"/>
      <c r="NML3788" s="179"/>
      <c r="NMM3788" s="179"/>
      <c r="NMN3788" s="179"/>
      <c r="NMO3788" s="179"/>
      <c r="NMP3788" s="179"/>
      <c r="NMQ3788" s="179"/>
      <c r="NMR3788" s="179"/>
      <c r="NMS3788" s="179"/>
      <c r="NMT3788" s="179"/>
      <c r="NMU3788" s="179"/>
      <c r="NMV3788" s="179"/>
      <c r="NMW3788" s="179"/>
      <c r="NMX3788" s="179"/>
      <c r="NMY3788" s="179"/>
      <c r="NMZ3788" s="179"/>
      <c r="NNA3788" s="179"/>
      <c r="NNB3788" s="179"/>
      <c r="NNC3788" s="179"/>
      <c r="NND3788" s="179"/>
      <c r="NNE3788" s="179"/>
      <c r="NNF3788" s="179"/>
      <c r="NNG3788" s="179"/>
      <c r="NNH3788" s="179"/>
      <c r="NNI3788" s="179"/>
      <c r="NNJ3788" s="179"/>
      <c r="NNK3788" s="179"/>
      <c r="NNL3788" s="179"/>
      <c r="NNM3788" s="179"/>
      <c r="NNN3788" s="179"/>
      <c r="NNO3788" s="179"/>
      <c r="NNP3788" s="179"/>
      <c r="NNQ3788" s="179"/>
      <c r="NNR3788" s="179"/>
      <c r="NNS3788" s="179"/>
      <c r="NNT3788" s="179"/>
      <c r="NNU3788" s="179"/>
      <c r="NNV3788" s="179"/>
      <c r="NNW3788" s="179"/>
      <c r="NNX3788" s="179"/>
      <c r="NNY3788" s="179"/>
      <c r="NNZ3788" s="179"/>
      <c r="NOA3788" s="179"/>
      <c r="NOB3788" s="179"/>
      <c r="NOC3788" s="179"/>
      <c r="NOD3788" s="179"/>
      <c r="NOE3788" s="179"/>
      <c r="NOF3788" s="179"/>
      <c r="NOG3788" s="179"/>
      <c r="NOH3788" s="179"/>
      <c r="NOI3788" s="179"/>
      <c r="NOJ3788" s="179"/>
      <c r="NOK3788" s="179"/>
      <c r="NOL3788" s="179"/>
      <c r="NOM3788" s="179"/>
      <c r="NON3788" s="179"/>
      <c r="NOO3788" s="179"/>
      <c r="NOP3788" s="179"/>
      <c r="NOQ3788" s="179"/>
      <c r="NOR3788" s="179"/>
      <c r="NOS3788" s="179"/>
      <c r="NOT3788" s="179"/>
      <c r="NOU3788" s="179"/>
      <c r="NOV3788" s="179"/>
      <c r="NOW3788" s="179"/>
      <c r="NOX3788" s="179"/>
      <c r="NOY3788" s="179"/>
      <c r="NOZ3788" s="179"/>
      <c r="NPA3788" s="179"/>
      <c r="NPB3788" s="179"/>
      <c r="NPC3788" s="179"/>
      <c r="NPD3788" s="179"/>
      <c r="NPE3788" s="179"/>
      <c r="NPF3788" s="179"/>
      <c r="NPG3788" s="179"/>
      <c r="NPH3788" s="179"/>
      <c r="NPI3788" s="179"/>
      <c r="NPJ3788" s="179"/>
      <c r="NPK3788" s="179"/>
      <c r="NPL3788" s="179"/>
      <c r="NPM3788" s="179"/>
      <c r="NPN3788" s="179"/>
      <c r="NPO3788" s="179"/>
      <c r="NPP3788" s="179"/>
      <c r="NPQ3788" s="179"/>
      <c r="NPR3788" s="179"/>
      <c r="NPS3788" s="179"/>
      <c r="NPT3788" s="179"/>
      <c r="NPU3788" s="179"/>
      <c r="NPV3788" s="179"/>
      <c r="NPW3788" s="179"/>
      <c r="NPX3788" s="179"/>
      <c r="NPY3788" s="179"/>
      <c r="NPZ3788" s="179"/>
      <c r="NQA3788" s="179"/>
      <c r="NQB3788" s="179"/>
      <c r="NQC3788" s="179"/>
      <c r="NQD3788" s="179"/>
      <c r="NQE3788" s="179"/>
      <c r="NQF3788" s="179"/>
      <c r="NQG3788" s="179"/>
      <c r="NQH3788" s="179"/>
      <c r="NQI3788" s="179"/>
      <c r="NQJ3788" s="179"/>
      <c r="NQK3788" s="179"/>
      <c r="NQL3788" s="179"/>
      <c r="NQM3788" s="179"/>
      <c r="NQN3788" s="179"/>
      <c r="NQO3788" s="179"/>
      <c r="NQP3788" s="179"/>
      <c r="NQQ3788" s="179"/>
      <c r="NQR3788" s="179"/>
      <c r="NQS3788" s="179"/>
      <c r="NQT3788" s="179"/>
      <c r="NQU3788" s="179"/>
      <c r="NQV3788" s="179"/>
      <c r="NQW3788" s="179"/>
      <c r="NQX3788" s="179"/>
      <c r="NQY3788" s="179"/>
      <c r="NQZ3788" s="179"/>
      <c r="NRA3788" s="179"/>
      <c r="NRB3788" s="179"/>
      <c r="NRC3788" s="179"/>
      <c r="NRD3788" s="179"/>
      <c r="NRE3788" s="179"/>
      <c r="NRF3788" s="179"/>
      <c r="NRG3788" s="179"/>
      <c r="NRH3788" s="179"/>
      <c r="NRI3788" s="179"/>
      <c r="NRJ3788" s="179"/>
      <c r="NRK3788" s="179"/>
      <c r="NRL3788" s="179"/>
      <c r="NRM3788" s="179"/>
      <c r="NRN3788" s="179"/>
      <c r="NRO3788" s="179"/>
      <c r="NRP3788" s="179"/>
      <c r="NRQ3788" s="179"/>
      <c r="NRR3788" s="179"/>
      <c r="NRS3788" s="179"/>
      <c r="NRT3788" s="179"/>
      <c r="NRU3788" s="179"/>
      <c r="NRV3788" s="179"/>
      <c r="NRW3788" s="179"/>
      <c r="NRX3788" s="179"/>
      <c r="NRY3788" s="179"/>
      <c r="NRZ3788" s="179"/>
      <c r="NSA3788" s="179"/>
      <c r="NSB3788" s="179"/>
      <c r="NSC3788" s="179"/>
      <c r="NSD3788" s="179"/>
      <c r="NSE3788" s="179"/>
      <c r="NSF3788" s="179"/>
      <c r="NSG3788" s="179"/>
      <c r="NSH3788" s="179"/>
      <c r="NSI3788" s="179"/>
      <c r="NSJ3788" s="179"/>
      <c r="NSK3788" s="179"/>
      <c r="NSL3788" s="179"/>
      <c r="NSM3788" s="179"/>
      <c r="NSN3788" s="179"/>
      <c r="NSO3788" s="179"/>
      <c r="NSP3788" s="179"/>
      <c r="NSQ3788" s="179"/>
      <c r="NSR3788" s="179"/>
      <c r="NSS3788" s="179"/>
      <c r="NST3788" s="179"/>
      <c r="NSU3788" s="179"/>
      <c r="NSV3788" s="179"/>
      <c r="NSW3788" s="179"/>
      <c r="NSX3788" s="179"/>
      <c r="NSY3788" s="179"/>
      <c r="NSZ3788" s="179"/>
      <c r="NTA3788" s="179"/>
      <c r="NTB3788" s="179"/>
      <c r="NTC3788" s="179"/>
      <c r="NTD3788" s="179"/>
      <c r="NTE3788" s="179"/>
      <c r="NTF3788" s="179"/>
      <c r="NTG3788" s="179"/>
      <c r="NTH3788" s="179"/>
      <c r="NTI3788" s="179"/>
      <c r="NTJ3788" s="179"/>
      <c r="NTK3788" s="179"/>
      <c r="NTL3788" s="179"/>
      <c r="NTM3788" s="179"/>
      <c r="NTN3788" s="179"/>
      <c r="NTO3788" s="179"/>
      <c r="NTP3788" s="179"/>
      <c r="NTQ3788" s="179"/>
      <c r="NTR3788" s="179"/>
      <c r="NTS3788" s="179"/>
      <c r="NTT3788" s="179"/>
      <c r="NTU3788" s="179"/>
      <c r="NTV3788" s="179"/>
      <c r="NTW3788" s="179"/>
      <c r="NTX3788" s="179"/>
      <c r="NTY3788" s="179"/>
      <c r="NTZ3788" s="179"/>
      <c r="NUA3788" s="179"/>
      <c r="NUB3788" s="179"/>
      <c r="NUC3788" s="179"/>
      <c r="NUD3788" s="179"/>
      <c r="NUE3788" s="179"/>
      <c r="NUF3788" s="179"/>
      <c r="NUG3788" s="179"/>
      <c r="NUH3788" s="179"/>
      <c r="NUI3788" s="179"/>
      <c r="NUJ3788" s="179"/>
      <c r="NUK3788" s="179"/>
      <c r="NUL3788" s="179"/>
      <c r="NUM3788" s="179"/>
      <c r="NUN3788" s="179"/>
      <c r="NUO3788" s="179"/>
      <c r="NUP3788" s="179"/>
      <c r="NUQ3788" s="179"/>
      <c r="NUR3788" s="179"/>
      <c r="NUS3788" s="179"/>
      <c r="NUT3788" s="179"/>
      <c r="NUU3788" s="179"/>
      <c r="NUV3788" s="179"/>
      <c r="NUW3788" s="179"/>
      <c r="NUX3788" s="179"/>
      <c r="NUY3788" s="179"/>
      <c r="NUZ3788" s="179"/>
      <c r="NVA3788" s="179"/>
      <c r="NVB3788" s="179"/>
      <c r="NVC3788" s="179"/>
      <c r="NVD3788" s="179"/>
      <c r="NVE3788" s="179"/>
      <c r="NVF3788" s="179"/>
      <c r="NVG3788" s="179"/>
      <c r="NVH3788" s="179"/>
      <c r="NVI3788" s="179"/>
      <c r="NVJ3788" s="179"/>
      <c r="NVK3788" s="179"/>
      <c r="NVL3788" s="179"/>
      <c r="NVM3788" s="179"/>
      <c r="NVN3788" s="179"/>
      <c r="NVO3788" s="179"/>
      <c r="NVP3788" s="179"/>
      <c r="NVQ3788" s="179"/>
      <c r="NVR3788" s="179"/>
      <c r="NVS3788" s="179"/>
      <c r="NVT3788" s="179"/>
      <c r="NVU3788" s="179"/>
      <c r="NVV3788" s="179"/>
      <c r="NVW3788" s="179"/>
      <c r="NVX3788" s="179"/>
      <c r="NVY3788" s="179"/>
      <c r="NVZ3788" s="179"/>
      <c r="NWA3788" s="179"/>
      <c r="NWB3788" s="179"/>
      <c r="NWC3788" s="179"/>
      <c r="NWD3788" s="179"/>
      <c r="NWE3788" s="179"/>
      <c r="NWF3788" s="179"/>
      <c r="NWG3788" s="179"/>
      <c r="NWH3788" s="179"/>
      <c r="NWI3788" s="179"/>
      <c r="NWJ3788" s="179"/>
      <c r="NWK3788" s="179"/>
      <c r="NWL3788" s="179"/>
      <c r="NWM3788" s="179"/>
      <c r="NWN3788" s="179"/>
      <c r="NWO3788" s="179"/>
      <c r="NWP3788" s="179"/>
      <c r="NWQ3788" s="179"/>
      <c r="NWR3788" s="179"/>
      <c r="NWS3788" s="179"/>
      <c r="NWT3788" s="179"/>
      <c r="NWU3788" s="179"/>
      <c r="NWV3788" s="179"/>
      <c r="NWW3788" s="179"/>
      <c r="NWX3788" s="179"/>
      <c r="NWY3788" s="179"/>
      <c r="NWZ3788" s="179"/>
      <c r="NXA3788" s="179"/>
      <c r="NXB3788" s="179"/>
      <c r="NXC3788" s="179"/>
      <c r="NXD3788" s="179"/>
      <c r="NXE3788" s="179"/>
      <c r="NXF3788" s="179"/>
      <c r="NXG3788" s="179"/>
      <c r="NXH3788" s="179"/>
      <c r="NXI3788" s="179"/>
      <c r="NXJ3788" s="179"/>
      <c r="NXK3788" s="179"/>
      <c r="NXL3788" s="179"/>
      <c r="NXM3788" s="179"/>
      <c r="NXN3788" s="179"/>
      <c r="NXO3788" s="179"/>
      <c r="NXP3788" s="179"/>
      <c r="NXQ3788" s="179"/>
      <c r="NXR3788" s="179"/>
      <c r="NXS3788" s="179"/>
      <c r="NXT3788" s="179"/>
      <c r="NXU3788" s="179"/>
      <c r="NXV3788" s="179"/>
      <c r="NXW3788" s="179"/>
      <c r="NXX3788" s="179"/>
      <c r="NXY3788" s="179"/>
      <c r="NXZ3788" s="179"/>
      <c r="NYA3788" s="179"/>
      <c r="NYB3788" s="179"/>
      <c r="NYC3788" s="179"/>
      <c r="NYD3788" s="179"/>
      <c r="NYE3788" s="179"/>
      <c r="NYF3788" s="179"/>
      <c r="NYG3788" s="179"/>
      <c r="NYH3788" s="179"/>
      <c r="NYI3788" s="179"/>
      <c r="NYJ3788" s="179"/>
      <c r="NYK3788" s="179"/>
      <c r="NYL3788" s="179"/>
      <c r="NYM3788" s="179"/>
      <c r="NYN3788" s="179"/>
      <c r="NYO3788" s="179"/>
      <c r="NYP3788" s="179"/>
      <c r="NYQ3788" s="179"/>
      <c r="NYR3788" s="179"/>
      <c r="NYS3788" s="179"/>
      <c r="NYT3788" s="179"/>
      <c r="NYU3788" s="179"/>
      <c r="NYV3788" s="179"/>
      <c r="NYW3788" s="179"/>
      <c r="NYX3788" s="179"/>
      <c r="NYY3788" s="179"/>
      <c r="NYZ3788" s="179"/>
      <c r="NZA3788" s="179"/>
      <c r="NZB3788" s="179"/>
      <c r="NZC3788" s="179"/>
      <c r="NZD3788" s="179"/>
      <c r="NZE3788" s="179"/>
      <c r="NZF3788" s="179"/>
      <c r="NZG3788" s="179"/>
      <c r="NZH3788" s="179"/>
      <c r="NZI3788" s="179"/>
      <c r="NZJ3788" s="179"/>
      <c r="NZK3788" s="179"/>
      <c r="NZL3788" s="179"/>
      <c r="NZM3788" s="179"/>
      <c r="NZN3788" s="179"/>
      <c r="NZO3788" s="179"/>
      <c r="NZP3788" s="179"/>
      <c r="NZQ3788" s="179"/>
      <c r="NZR3788" s="179"/>
      <c r="NZS3788" s="179"/>
      <c r="NZT3788" s="179"/>
      <c r="NZU3788" s="179"/>
      <c r="NZV3788" s="179"/>
      <c r="NZW3788" s="179"/>
      <c r="NZX3788" s="179"/>
      <c r="NZY3788" s="179"/>
      <c r="NZZ3788" s="179"/>
      <c r="OAA3788" s="179"/>
      <c r="OAB3788" s="179"/>
      <c r="OAC3788" s="179"/>
      <c r="OAD3788" s="179"/>
      <c r="OAE3788" s="179"/>
      <c r="OAF3788" s="179"/>
      <c r="OAG3788" s="179"/>
      <c r="OAH3788" s="179"/>
      <c r="OAI3788" s="179"/>
      <c r="OAJ3788" s="179"/>
      <c r="OAK3788" s="179"/>
      <c r="OAL3788" s="179"/>
      <c r="OAM3788" s="179"/>
      <c r="OAN3788" s="179"/>
      <c r="OAO3788" s="179"/>
      <c r="OAP3788" s="179"/>
      <c r="OAQ3788" s="179"/>
      <c r="OAR3788" s="179"/>
      <c r="OAS3788" s="179"/>
      <c r="OAT3788" s="179"/>
      <c r="OAU3788" s="179"/>
      <c r="OAV3788" s="179"/>
      <c r="OAW3788" s="179"/>
      <c r="OAX3788" s="179"/>
      <c r="OAY3788" s="179"/>
      <c r="OAZ3788" s="179"/>
      <c r="OBA3788" s="179"/>
      <c r="OBB3788" s="179"/>
      <c r="OBC3788" s="179"/>
      <c r="OBD3788" s="179"/>
      <c r="OBE3788" s="179"/>
      <c r="OBF3788" s="179"/>
      <c r="OBG3788" s="179"/>
      <c r="OBH3788" s="179"/>
      <c r="OBI3788" s="179"/>
      <c r="OBJ3788" s="179"/>
      <c r="OBK3788" s="179"/>
      <c r="OBL3788" s="179"/>
      <c r="OBM3788" s="179"/>
      <c r="OBN3788" s="179"/>
      <c r="OBO3788" s="179"/>
      <c r="OBP3788" s="179"/>
      <c r="OBQ3788" s="179"/>
      <c r="OBR3788" s="179"/>
      <c r="OBS3788" s="179"/>
      <c r="OBT3788" s="179"/>
      <c r="OBU3788" s="179"/>
      <c r="OBV3788" s="179"/>
      <c r="OBW3788" s="179"/>
      <c r="OBX3788" s="179"/>
      <c r="OBY3788" s="179"/>
      <c r="OBZ3788" s="179"/>
      <c r="OCA3788" s="179"/>
      <c r="OCB3788" s="179"/>
      <c r="OCC3788" s="179"/>
      <c r="OCD3788" s="179"/>
      <c r="OCE3788" s="179"/>
      <c r="OCF3788" s="179"/>
      <c r="OCG3788" s="179"/>
      <c r="OCH3788" s="179"/>
      <c r="OCI3788" s="179"/>
      <c r="OCJ3788" s="179"/>
      <c r="OCK3788" s="179"/>
      <c r="OCL3788" s="179"/>
      <c r="OCM3788" s="179"/>
      <c r="OCN3788" s="179"/>
      <c r="OCO3788" s="179"/>
      <c r="OCP3788" s="179"/>
      <c r="OCQ3788" s="179"/>
      <c r="OCR3788" s="179"/>
      <c r="OCS3788" s="179"/>
      <c r="OCT3788" s="179"/>
      <c r="OCU3788" s="179"/>
      <c r="OCV3788" s="179"/>
      <c r="OCW3788" s="179"/>
      <c r="OCX3788" s="179"/>
      <c r="OCY3788" s="179"/>
      <c r="OCZ3788" s="179"/>
      <c r="ODA3788" s="179"/>
      <c r="ODB3788" s="179"/>
      <c r="ODC3788" s="179"/>
      <c r="ODD3788" s="179"/>
      <c r="ODE3788" s="179"/>
      <c r="ODF3788" s="179"/>
      <c r="ODG3788" s="179"/>
      <c r="ODH3788" s="179"/>
      <c r="ODI3788" s="179"/>
      <c r="ODJ3788" s="179"/>
      <c r="ODK3788" s="179"/>
      <c r="ODL3788" s="179"/>
      <c r="ODM3788" s="179"/>
      <c r="ODN3788" s="179"/>
      <c r="ODO3788" s="179"/>
      <c r="ODP3788" s="179"/>
      <c r="ODQ3788" s="179"/>
      <c r="ODR3788" s="179"/>
      <c r="ODS3788" s="179"/>
      <c r="ODT3788" s="179"/>
      <c r="ODU3788" s="179"/>
      <c r="ODV3788" s="179"/>
      <c r="ODW3788" s="179"/>
      <c r="ODX3788" s="179"/>
      <c r="ODY3788" s="179"/>
      <c r="ODZ3788" s="179"/>
      <c r="OEA3788" s="179"/>
      <c r="OEB3788" s="179"/>
      <c r="OEC3788" s="179"/>
      <c r="OED3788" s="179"/>
      <c r="OEE3788" s="179"/>
      <c r="OEF3788" s="179"/>
      <c r="OEG3788" s="179"/>
      <c r="OEH3788" s="179"/>
      <c r="OEI3788" s="179"/>
      <c r="OEJ3788" s="179"/>
      <c r="OEK3788" s="179"/>
      <c r="OEL3788" s="179"/>
      <c r="OEM3788" s="179"/>
      <c r="OEN3788" s="179"/>
      <c r="OEO3788" s="179"/>
      <c r="OEP3788" s="179"/>
      <c r="OEQ3788" s="179"/>
      <c r="OER3788" s="179"/>
      <c r="OES3788" s="179"/>
      <c r="OET3788" s="179"/>
      <c r="OEU3788" s="179"/>
      <c r="OEV3788" s="179"/>
      <c r="OEW3788" s="179"/>
      <c r="OEX3788" s="179"/>
      <c r="OEY3788" s="179"/>
      <c r="OEZ3788" s="179"/>
      <c r="OFA3788" s="179"/>
      <c r="OFB3788" s="179"/>
      <c r="OFC3788" s="179"/>
      <c r="OFD3788" s="179"/>
      <c r="OFE3788" s="179"/>
      <c r="OFF3788" s="179"/>
      <c r="OFG3788" s="179"/>
      <c r="OFH3788" s="179"/>
      <c r="OFI3788" s="179"/>
      <c r="OFJ3788" s="179"/>
      <c r="OFK3788" s="179"/>
      <c r="OFL3788" s="179"/>
      <c r="OFM3788" s="179"/>
      <c r="OFN3788" s="179"/>
      <c r="OFO3788" s="179"/>
      <c r="OFP3788" s="179"/>
      <c r="OFQ3788" s="179"/>
      <c r="OFR3788" s="179"/>
      <c r="OFS3788" s="179"/>
      <c r="OFT3788" s="179"/>
      <c r="OFU3788" s="179"/>
      <c r="OFV3788" s="179"/>
      <c r="OFW3788" s="179"/>
      <c r="OFX3788" s="179"/>
      <c r="OFY3788" s="179"/>
      <c r="OFZ3788" s="179"/>
      <c r="OGA3788" s="179"/>
      <c r="OGB3788" s="179"/>
      <c r="OGC3788" s="179"/>
      <c r="OGD3788" s="179"/>
      <c r="OGE3788" s="179"/>
      <c r="OGF3788" s="179"/>
      <c r="OGG3788" s="179"/>
      <c r="OGH3788" s="179"/>
      <c r="OGI3788" s="179"/>
      <c r="OGJ3788" s="179"/>
      <c r="OGK3788" s="179"/>
      <c r="OGL3788" s="179"/>
      <c r="OGM3788" s="179"/>
      <c r="OGN3788" s="179"/>
      <c r="OGO3788" s="179"/>
      <c r="OGP3788" s="179"/>
      <c r="OGQ3788" s="179"/>
      <c r="OGR3788" s="179"/>
      <c r="OGS3788" s="179"/>
      <c r="OGT3788" s="179"/>
      <c r="OGU3788" s="179"/>
      <c r="OGV3788" s="179"/>
      <c r="OGW3788" s="179"/>
      <c r="OGX3788" s="179"/>
      <c r="OGY3788" s="179"/>
      <c r="OGZ3788" s="179"/>
      <c r="OHA3788" s="179"/>
      <c r="OHB3788" s="179"/>
      <c r="OHC3788" s="179"/>
      <c r="OHD3788" s="179"/>
      <c r="OHE3788" s="179"/>
      <c r="OHF3788" s="179"/>
      <c r="OHG3788" s="179"/>
      <c r="OHH3788" s="179"/>
      <c r="OHI3788" s="179"/>
      <c r="OHJ3788" s="179"/>
      <c r="OHK3788" s="179"/>
      <c r="OHL3788" s="179"/>
      <c r="OHM3788" s="179"/>
      <c r="OHN3788" s="179"/>
      <c r="OHO3788" s="179"/>
      <c r="OHP3788" s="179"/>
      <c r="OHQ3788" s="179"/>
      <c r="OHR3788" s="179"/>
      <c r="OHS3788" s="179"/>
      <c r="OHT3788" s="179"/>
      <c r="OHU3788" s="179"/>
      <c r="OHV3788" s="179"/>
      <c r="OHW3788" s="179"/>
      <c r="OHX3788" s="179"/>
      <c r="OHY3788" s="179"/>
      <c r="OHZ3788" s="179"/>
      <c r="OIA3788" s="179"/>
      <c r="OIB3788" s="179"/>
      <c r="OIC3788" s="179"/>
      <c r="OID3788" s="179"/>
      <c r="OIE3788" s="179"/>
      <c r="OIF3788" s="179"/>
      <c r="OIG3788" s="179"/>
      <c r="OIH3788" s="179"/>
      <c r="OII3788" s="179"/>
      <c r="OIJ3788" s="179"/>
      <c r="OIK3788" s="179"/>
      <c r="OIL3788" s="179"/>
      <c r="OIM3788" s="179"/>
      <c r="OIN3788" s="179"/>
      <c r="OIO3788" s="179"/>
      <c r="OIP3788" s="179"/>
      <c r="OIQ3788" s="179"/>
      <c r="OIR3788" s="179"/>
      <c r="OIS3788" s="179"/>
      <c r="OIT3788" s="179"/>
      <c r="OIU3788" s="179"/>
      <c r="OIV3788" s="179"/>
      <c r="OIW3788" s="179"/>
      <c r="OIX3788" s="179"/>
      <c r="OIY3788" s="179"/>
      <c r="OIZ3788" s="179"/>
      <c r="OJA3788" s="179"/>
      <c r="OJB3788" s="179"/>
      <c r="OJC3788" s="179"/>
      <c r="OJD3788" s="179"/>
      <c r="OJE3788" s="179"/>
      <c r="OJF3788" s="179"/>
      <c r="OJG3788" s="179"/>
      <c r="OJH3788" s="179"/>
      <c r="OJI3788" s="179"/>
      <c r="OJJ3788" s="179"/>
      <c r="OJK3788" s="179"/>
      <c r="OJL3788" s="179"/>
      <c r="OJM3788" s="179"/>
      <c r="OJN3788" s="179"/>
      <c r="OJO3788" s="179"/>
      <c r="OJP3788" s="179"/>
      <c r="OJQ3788" s="179"/>
      <c r="OJR3788" s="179"/>
      <c r="OJS3788" s="179"/>
      <c r="OJT3788" s="179"/>
      <c r="OJU3788" s="179"/>
      <c r="OJV3788" s="179"/>
      <c r="OJW3788" s="179"/>
      <c r="OJX3788" s="179"/>
      <c r="OJY3788" s="179"/>
      <c r="OJZ3788" s="179"/>
      <c r="OKA3788" s="179"/>
      <c r="OKB3788" s="179"/>
      <c r="OKC3788" s="179"/>
      <c r="OKD3788" s="179"/>
      <c r="OKE3788" s="179"/>
      <c r="OKF3788" s="179"/>
      <c r="OKG3788" s="179"/>
      <c r="OKH3788" s="179"/>
      <c r="OKI3788" s="179"/>
      <c r="OKJ3788" s="179"/>
      <c r="OKK3788" s="179"/>
      <c r="OKL3788" s="179"/>
      <c r="OKM3788" s="179"/>
      <c r="OKN3788" s="179"/>
      <c r="OKO3788" s="179"/>
      <c r="OKP3788" s="179"/>
      <c r="OKQ3788" s="179"/>
      <c r="OKR3788" s="179"/>
      <c r="OKS3788" s="179"/>
      <c r="OKT3788" s="179"/>
      <c r="OKU3788" s="179"/>
      <c r="OKV3788" s="179"/>
      <c r="OKW3788" s="179"/>
      <c r="OKX3788" s="179"/>
      <c r="OKY3788" s="179"/>
      <c r="OKZ3788" s="179"/>
      <c r="OLA3788" s="179"/>
      <c r="OLB3788" s="179"/>
      <c r="OLC3788" s="179"/>
      <c r="OLD3788" s="179"/>
      <c r="OLE3788" s="179"/>
      <c r="OLF3788" s="179"/>
      <c r="OLG3788" s="179"/>
      <c r="OLH3788" s="179"/>
      <c r="OLI3788" s="179"/>
      <c r="OLJ3788" s="179"/>
      <c r="OLK3788" s="179"/>
      <c r="OLL3788" s="179"/>
      <c r="OLM3788" s="179"/>
      <c r="OLN3788" s="179"/>
      <c r="OLO3788" s="179"/>
      <c r="OLP3788" s="179"/>
      <c r="OLQ3788" s="179"/>
      <c r="OLR3788" s="179"/>
      <c r="OLS3788" s="179"/>
      <c r="OLT3788" s="179"/>
      <c r="OLU3788" s="179"/>
      <c r="OLV3788" s="179"/>
      <c r="OLW3788" s="179"/>
      <c r="OLX3788" s="179"/>
      <c r="OLY3788" s="179"/>
      <c r="OLZ3788" s="179"/>
      <c r="OMA3788" s="179"/>
      <c r="OMB3788" s="179"/>
      <c r="OMC3788" s="179"/>
      <c r="OMD3788" s="179"/>
      <c r="OME3788" s="179"/>
      <c r="OMF3788" s="179"/>
      <c r="OMG3788" s="179"/>
      <c r="OMH3788" s="179"/>
      <c r="OMI3788" s="179"/>
      <c r="OMJ3788" s="179"/>
      <c r="OMK3788" s="179"/>
      <c r="OML3788" s="179"/>
      <c r="OMM3788" s="179"/>
      <c r="OMN3788" s="179"/>
      <c r="OMO3788" s="179"/>
      <c r="OMP3788" s="179"/>
      <c r="OMQ3788" s="179"/>
      <c r="OMR3788" s="179"/>
      <c r="OMS3788" s="179"/>
      <c r="OMT3788" s="179"/>
      <c r="OMU3788" s="179"/>
      <c r="OMV3788" s="179"/>
      <c r="OMW3788" s="179"/>
      <c r="OMX3788" s="179"/>
      <c r="OMY3788" s="179"/>
      <c r="OMZ3788" s="179"/>
      <c r="ONA3788" s="179"/>
      <c r="ONB3788" s="179"/>
      <c r="ONC3788" s="179"/>
      <c r="OND3788" s="179"/>
      <c r="ONE3788" s="179"/>
      <c r="ONF3788" s="179"/>
      <c r="ONG3788" s="179"/>
      <c r="ONH3788" s="179"/>
      <c r="ONI3788" s="179"/>
      <c r="ONJ3788" s="179"/>
      <c r="ONK3788" s="179"/>
      <c r="ONL3788" s="179"/>
      <c r="ONM3788" s="179"/>
      <c r="ONN3788" s="179"/>
      <c r="ONO3788" s="179"/>
      <c r="ONP3788" s="179"/>
      <c r="ONQ3788" s="179"/>
      <c r="ONR3788" s="179"/>
      <c r="ONS3788" s="179"/>
      <c r="ONT3788" s="179"/>
      <c r="ONU3788" s="179"/>
      <c r="ONV3788" s="179"/>
      <c r="ONW3788" s="179"/>
      <c r="ONX3788" s="179"/>
      <c r="ONY3788" s="179"/>
      <c r="ONZ3788" s="179"/>
      <c r="OOA3788" s="179"/>
      <c r="OOB3788" s="179"/>
      <c r="OOC3788" s="179"/>
      <c r="OOD3788" s="179"/>
      <c r="OOE3788" s="179"/>
      <c r="OOF3788" s="179"/>
      <c r="OOG3788" s="179"/>
      <c r="OOH3788" s="179"/>
      <c r="OOI3788" s="179"/>
      <c r="OOJ3788" s="179"/>
      <c r="OOK3788" s="179"/>
      <c r="OOL3788" s="179"/>
      <c r="OOM3788" s="179"/>
      <c r="OON3788" s="179"/>
      <c r="OOO3788" s="179"/>
      <c r="OOP3788" s="179"/>
      <c r="OOQ3788" s="179"/>
      <c r="OOR3788" s="179"/>
      <c r="OOS3788" s="179"/>
      <c r="OOT3788" s="179"/>
      <c r="OOU3788" s="179"/>
      <c r="OOV3788" s="179"/>
      <c r="OOW3788" s="179"/>
      <c r="OOX3788" s="179"/>
      <c r="OOY3788" s="179"/>
      <c r="OOZ3788" s="179"/>
      <c r="OPA3788" s="179"/>
      <c r="OPB3788" s="179"/>
      <c r="OPC3788" s="179"/>
      <c r="OPD3788" s="179"/>
      <c r="OPE3788" s="179"/>
      <c r="OPF3788" s="179"/>
      <c r="OPG3788" s="179"/>
      <c r="OPH3788" s="179"/>
      <c r="OPI3788" s="179"/>
      <c r="OPJ3788" s="179"/>
      <c r="OPK3788" s="179"/>
      <c r="OPL3788" s="179"/>
      <c r="OPM3788" s="179"/>
      <c r="OPN3788" s="179"/>
      <c r="OPO3788" s="179"/>
      <c r="OPP3788" s="179"/>
      <c r="OPQ3788" s="179"/>
      <c r="OPR3788" s="179"/>
      <c r="OPS3788" s="179"/>
      <c r="OPT3788" s="179"/>
      <c r="OPU3788" s="179"/>
      <c r="OPV3788" s="179"/>
      <c r="OPW3788" s="179"/>
      <c r="OPX3788" s="179"/>
      <c r="OPY3788" s="179"/>
      <c r="OPZ3788" s="179"/>
      <c r="OQA3788" s="179"/>
      <c r="OQB3788" s="179"/>
      <c r="OQC3788" s="179"/>
      <c r="OQD3788" s="179"/>
      <c r="OQE3788" s="179"/>
      <c r="OQF3788" s="179"/>
      <c r="OQG3788" s="179"/>
      <c r="OQH3788" s="179"/>
      <c r="OQI3788" s="179"/>
      <c r="OQJ3788" s="179"/>
      <c r="OQK3788" s="179"/>
      <c r="OQL3788" s="179"/>
      <c r="OQM3788" s="179"/>
      <c r="OQN3788" s="179"/>
      <c r="OQO3788" s="179"/>
      <c r="OQP3788" s="179"/>
      <c r="OQQ3788" s="179"/>
      <c r="OQR3788" s="179"/>
      <c r="OQS3788" s="179"/>
      <c r="OQT3788" s="179"/>
      <c r="OQU3788" s="179"/>
      <c r="OQV3788" s="179"/>
      <c r="OQW3788" s="179"/>
      <c r="OQX3788" s="179"/>
      <c r="OQY3788" s="179"/>
      <c r="OQZ3788" s="179"/>
      <c r="ORA3788" s="179"/>
      <c r="ORB3788" s="179"/>
      <c r="ORC3788" s="179"/>
      <c r="ORD3788" s="179"/>
      <c r="ORE3788" s="179"/>
      <c r="ORF3788" s="179"/>
      <c r="ORG3788" s="179"/>
      <c r="ORH3788" s="179"/>
      <c r="ORI3788" s="179"/>
      <c r="ORJ3788" s="179"/>
      <c r="ORK3788" s="179"/>
      <c r="ORL3788" s="179"/>
      <c r="ORM3788" s="179"/>
      <c r="ORN3788" s="179"/>
      <c r="ORO3788" s="179"/>
      <c r="ORP3788" s="179"/>
      <c r="ORQ3788" s="179"/>
      <c r="ORR3788" s="179"/>
      <c r="ORS3788" s="179"/>
      <c r="ORT3788" s="179"/>
      <c r="ORU3788" s="179"/>
      <c r="ORV3788" s="179"/>
      <c r="ORW3788" s="179"/>
      <c r="ORX3788" s="179"/>
      <c r="ORY3788" s="179"/>
      <c r="ORZ3788" s="179"/>
      <c r="OSA3788" s="179"/>
      <c r="OSB3788" s="179"/>
      <c r="OSC3788" s="179"/>
      <c r="OSD3788" s="179"/>
      <c r="OSE3788" s="179"/>
      <c r="OSF3788" s="179"/>
      <c r="OSG3788" s="179"/>
      <c r="OSH3788" s="179"/>
      <c r="OSI3788" s="179"/>
      <c r="OSJ3788" s="179"/>
      <c r="OSK3788" s="179"/>
      <c r="OSL3788" s="179"/>
      <c r="OSM3788" s="179"/>
      <c r="OSN3788" s="179"/>
      <c r="OSO3788" s="179"/>
      <c r="OSP3788" s="179"/>
      <c r="OSQ3788" s="179"/>
      <c r="OSR3788" s="179"/>
      <c r="OSS3788" s="179"/>
      <c r="OST3788" s="179"/>
      <c r="OSU3788" s="179"/>
      <c r="OSV3788" s="179"/>
      <c r="OSW3788" s="179"/>
      <c r="OSX3788" s="179"/>
      <c r="OSY3788" s="179"/>
      <c r="OSZ3788" s="179"/>
      <c r="OTA3788" s="179"/>
      <c r="OTB3788" s="179"/>
      <c r="OTC3788" s="179"/>
      <c r="OTD3788" s="179"/>
      <c r="OTE3788" s="179"/>
      <c r="OTF3788" s="179"/>
      <c r="OTG3788" s="179"/>
      <c r="OTH3788" s="179"/>
      <c r="OTI3788" s="179"/>
      <c r="OTJ3788" s="179"/>
      <c r="OTK3788" s="179"/>
      <c r="OTL3788" s="179"/>
      <c r="OTM3788" s="179"/>
      <c r="OTN3788" s="179"/>
      <c r="OTO3788" s="179"/>
      <c r="OTP3788" s="179"/>
      <c r="OTQ3788" s="179"/>
      <c r="OTR3788" s="179"/>
      <c r="OTS3788" s="179"/>
      <c r="OTT3788" s="179"/>
      <c r="OTU3788" s="179"/>
      <c r="OTV3788" s="179"/>
      <c r="OTW3788" s="179"/>
      <c r="OTX3788" s="179"/>
      <c r="OTY3788" s="179"/>
      <c r="OTZ3788" s="179"/>
      <c r="OUA3788" s="179"/>
      <c r="OUB3788" s="179"/>
      <c r="OUC3788" s="179"/>
      <c r="OUD3788" s="179"/>
      <c r="OUE3788" s="179"/>
      <c r="OUF3788" s="179"/>
      <c r="OUG3788" s="179"/>
      <c r="OUH3788" s="179"/>
      <c r="OUI3788" s="179"/>
      <c r="OUJ3788" s="179"/>
      <c r="OUK3788" s="179"/>
      <c r="OUL3788" s="179"/>
      <c r="OUM3788" s="179"/>
      <c r="OUN3788" s="179"/>
      <c r="OUO3788" s="179"/>
      <c r="OUP3788" s="179"/>
      <c r="OUQ3788" s="179"/>
      <c r="OUR3788" s="179"/>
      <c r="OUS3788" s="179"/>
      <c r="OUT3788" s="179"/>
      <c r="OUU3788" s="179"/>
      <c r="OUV3788" s="179"/>
      <c r="OUW3788" s="179"/>
      <c r="OUX3788" s="179"/>
      <c r="OUY3788" s="179"/>
      <c r="OUZ3788" s="179"/>
      <c r="OVA3788" s="179"/>
      <c r="OVB3788" s="179"/>
      <c r="OVC3788" s="179"/>
      <c r="OVD3788" s="179"/>
      <c r="OVE3788" s="179"/>
      <c r="OVF3788" s="179"/>
      <c r="OVG3788" s="179"/>
      <c r="OVH3788" s="179"/>
      <c r="OVI3788" s="179"/>
      <c r="OVJ3788" s="179"/>
      <c r="OVK3788" s="179"/>
      <c r="OVL3788" s="179"/>
      <c r="OVM3788" s="179"/>
      <c r="OVN3788" s="179"/>
      <c r="OVO3788" s="179"/>
      <c r="OVP3788" s="179"/>
      <c r="OVQ3788" s="179"/>
      <c r="OVR3788" s="179"/>
      <c r="OVS3788" s="179"/>
      <c r="OVT3788" s="179"/>
      <c r="OVU3788" s="179"/>
      <c r="OVV3788" s="179"/>
      <c r="OVW3788" s="179"/>
      <c r="OVX3788" s="179"/>
      <c r="OVY3788" s="179"/>
      <c r="OVZ3788" s="179"/>
      <c r="OWA3788" s="179"/>
      <c r="OWB3788" s="179"/>
      <c r="OWC3788" s="179"/>
      <c r="OWD3788" s="179"/>
      <c r="OWE3788" s="179"/>
      <c r="OWF3788" s="179"/>
      <c r="OWG3788" s="179"/>
      <c r="OWH3788" s="179"/>
      <c r="OWI3788" s="179"/>
      <c r="OWJ3788" s="179"/>
      <c r="OWK3788" s="179"/>
      <c r="OWL3788" s="179"/>
      <c r="OWM3788" s="179"/>
      <c r="OWN3788" s="179"/>
      <c r="OWO3788" s="179"/>
      <c r="OWP3788" s="179"/>
      <c r="OWQ3788" s="179"/>
      <c r="OWR3788" s="179"/>
      <c r="OWS3788" s="179"/>
      <c r="OWT3788" s="179"/>
      <c r="OWU3788" s="179"/>
      <c r="OWV3788" s="179"/>
      <c r="OWW3788" s="179"/>
      <c r="OWX3788" s="179"/>
      <c r="OWY3788" s="179"/>
      <c r="OWZ3788" s="179"/>
      <c r="OXA3788" s="179"/>
      <c r="OXB3788" s="179"/>
      <c r="OXC3788" s="179"/>
      <c r="OXD3788" s="179"/>
      <c r="OXE3788" s="179"/>
      <c r="OXF3788" s="179"/>
      <c r="OXG3788" s="179"/>
      <c r="OXH3788" s="179"/>
      <c r="OXI3788" s="179"/>
      <c r="OXJ3788" s="179"/>
      <c r="OXK3788" s="179"/>
      <c r="OXL3788" s="179"/>
      <c r="OXM3788" s="179"/>
      <c r="OXN3788" s="179"/>
      <c r="OXO3788" s="179"/>
      <c r="OXP3788" s="179"/>
      <c r="OXQ3788" s="179"/>
      <c r="OXR3788" s="179"/>
      <c r="OXS3788" s="179"/>
      <c r="OXT3788" s="179"/>
      <c r="OXU3788" s="179"/>
      <c r="OXV3788" s="179"/>
      <c r="OXW3788" s="179"/>
      <c r="OXX3788" s="179"/>
      <c r="OXY3788" s="179"/>
      <c r="OXZ3788" s="179"/>
      <c r="OYA3788" s="179"/>
      <c r="OYB3788" s="179"/>
      <c r="OYC3788" s="179"/>
      <c r="OYD3788" s="179"/>
      <c r="OYE3788" s="179"/>
      <c r="OYF3788" s="179"/>
      <c r="OYG3788" s="179"/>
      <c r="OYH3788" s="179"/>
      <c r="OYI3788" s="179"/>
      <c r="OYJ3788" s="179"/>
      <c r="OYK3788" s="179"/>
      <c r="OYL3788" s="179"/>
      <c r="OYM3788" s="179"/>
      <c r="OYN3788" s="179"/>
      <c r="OYO3788" s="179"/>
      <c r="OYP3788" s="179"/>
      <c r="OYQ3788" s="179"/>
      <c r="OYR3788" s="179"/>
      <c r="OYS3788" s="179"/>
      <c r="OYT3788" s="179"/>
      <c r="OYU3788" s="179"/>
      <c r="OYV3788" s="179"/>
      <c r="OYW3788" s="179"/>
      <c r="OYX3788" s="179"/>
      <c r="OYY3788" s="179"/>
      <c r="OYZ3788" s="179"/>
      <c r="OZA3788" s="179"/>
      <c r="OZB3788" s="179"/>
      <c r="OZC3788" s="179"/>
      <c r="OZD3788" s="179"/>
      <c r="OZE3788" s="179"/>
      <c r="OZF3788" s="179"/>
      <c r="OZG3788" s="179"/>
      <c r="OZH3788" s="179"/>
      <c r="OZI3788" s="179"/>
      <c r="OZJ3788" s="179"/>
      <c r="OZK3788" s="179"/>
      <c r="OZL3788" s="179"/>
      <c r="OZM3788" s="179"/>
      <c r="OZN3788" s="179"/>
      <c r="OZO3788" s="179"/>
      <c r="OZP3788" s="179"/>
      <c r="OZQ3788" s="179"/>
      <c r="OZR3788" s="179"/>
      <c r="OZS3788" s="179"/>
      <c r="OZT3788" s="179"/>
      <c r="OZU3788" s="179"/>
      <c r="OZV3788" s="179"/>
      <c r="OZW3788" s="179"/>
      <c r="OZX3788" s="179"/>
      <c r="OZY3788" s="179"/>
      <c r="OZZ3788" s="179"/>
      <c r="PAA3788" s="179"/>
      <c r="PAB3788" s="179"/>
      <c r="PAC3788" s="179"/>
      <c r="PAD3788" s="179"/>
      <c r="PAE3788" s="179"/>
      <c r="PAF3788" s="179"/>
      <c r="PAG3788" s="179"/>
      <c r="PAH3788" s="179"/>
      <c r="PAI3788" s="179"/>
      <c r="PAJ3788" s="179"/>
      <c r="PAK3788" s="179"/>
      <c r="PAL3788" s="179"/>
      <c r="PAM3788" s="179"/>
      <c r="PAN3788" s="179"/>
      <c r="PAO3788" s="179"/>
      <c r="PAP3788" s="179"/>
      <c r="PAQ3788" s="179"/>
      <c r="PAR3788" s="179"/>
      <c r="PAS3788" s="179"/>
      <c r="PAT3788" s="179"/>
      <c r="PAU3788" s="179"/>
      <c r="PAV3788" s="179"/>
      <c r="PAW3788" s="179"/>
      <c r="PAX3788" s="179"/>
      <c r="PAY3788" s="179"/>
      <c r="PAZ3788" s="179"/>
      <c r="PBA3788" s="179"/>
      <c r="PBB3788" s="179"/>
      <c r="PBC3788" s="179"/>
      <c r="PBD3788" s="179"/>
      <c r="PBE3788" s="179"/>
      <c r="PBF3788" s="179"/>
      <c r="PBG3788" s="179"/>
      <c r="PBH3788" s="179"/>
      <c r="PBI3788" s="179"/>
      <c r="PBJ3788" s="179"/>
      <c r="PBK3788" s="179"/>
      <c r="PBL3788" s="179"/>
      <c r="PBM3788" s="179"/>
      <c r="PBN3788" s="179"/>
      <c r="PBO3788" s="179"/>
      <c r="PBP3788" s="179"/>
      <c r="PBQ3788" s="179"/>
      <c r="PBR3788" s="179"/>
      <c r="PBS3788" s="179"/>
      <c r="PBT3788" s="179"/>
      <c r="PBU3788" s="179"/>
      <c r="PBV3788" s="179"/>
      <c r="PBW3788" s="179"/>
      <c r="PBX3788" s="179"/>
      <c r="PBY3788" s="179"/>
      <c r="PBZ3788" s="179"/>
      <c r="PCA3788" s="179"/>
      <c r="PCB3788" s="179"/>
      <c r="PCC3788" s="179"/>
      <c r="PCD3788" s="179"/>
      <c r="PCE3788" s="179"/>
      <c r="PCF3788" s="179"/>
      <c r="PCG3788" s="179"/>
      <c r="PCH3788" s="179"/>
      <c r="PCI3788" s="179"/>
      <c r="PCJ3788" s="179"/>
      <c r="PCK3788" s="179"/>
      <c r="PCL3788" s="179"/>
      <c r="PCM3788" s="179"/>
      <c r="PCN3788" s="179"/>
      <c r="PCO3788" s="179"/>
      <c r="PCP3788" s="179"/>
      <c r="PCQ3788" s="179"/>
      <c r="PCR3788" s="179"/>
      <c r="PCS3788" s="179"/>
      <c r="PCT3788" s="179"/>
      <c r="PCU3788" s="179"/>
      <c r="PCV3788" s="179"/>
      <c r="PCW3788" s="179"/>
      <c r="PCX3788" s="179"/>
      <c r="PCY3788" s="179"/>
      <c r="PCZ3788" s="179"/>
      <c r="PDA3788" s="179"/>
      <c r="PDB3788" s="179"/>
      <c r="PDC3788" s="179"/>
      <c r="PDD3788" s="179"/>
      <c r="PDE3788" s="179"/>
      <c r="PDF3788" s="179"/>
      <c r="PDG3788" s="179"/>
      <c r="PDH3788" s="179"/>
      <c r="PDI3788" s="179"/>
      <c r="PDJ3788" s="179"/>
      <c r="PDK3788" s="179"/>
      <c r="PDL3788" s="179"/>
      <c r="PDM3788" s="179"/>
      <c r="PDN3788" s="179"/>
      <c r="PDO3788" s="179"/>
      <c r="PDP3788" s="179"/>
      <c r="PDQ3788" s="179"/>
      <c r="PDR3788" s="179"/>
      <c r="PDS3788" s="179"/>
      <c r="PDT3788" s="179"/>
      <c r="PDU3788" s="179"/>
      <c r="PDV3788" s="179"/>
      <c r="PDW3788" s="179"/>
      <c r="PDX3788" s="179"/>
      <c r="PDY3788" s="179"/>
      <c r="PDZ3788" s="179"/>
      <c r="PEA3788" s="179"/>
      <c r="PEB3788" s="179"/>
      <c r="PEC3788" s="179"/>
      <c r="PED3788" s="179"/>
      <c r="PEE3788" s="179"/>
      <c r="PEF3788" s="179"/>
      <c r="PEG3788" s="179"/>
      <c r="PEH3788" s="179"/>
      <c r="PEI3788" s="179"/>
      <c r="PEJ3788" s="179"/>
      <c r="PEK3788" s="179"/>
      <c r="PEL3788" s="179"/>
      <c r="PEM3788" s="179"/>
      <c r="PEN3788" s="179"/>
      <c r="PEO3788" s="179"/>
      <c r="PEP3788" s="179"/>
      <c r="PEQ3788" s="179"/>
      <c r="PER3788" s="179"/>
      <c r="PES3788" s="179"/>
      <c r="PET3788" s="179"/>
      <c r="PEU3788" s="179"/>
      <c r="PEV3788" s="179"/>
      <c r="PEW3788" s="179"/>
      <c r="PEX3788" s="179"/>
      <c r="PEY3788" s="179"/>
      <c r="PEZ3788" s="179"/>
      <c r="PFA3788" s="179"/>
      <c r="PFB3788" s="179"/>
      <c r="PFC3788" s="179"/>
      <c r="PFD3788" s="179"/>
      <c r="PFE3788" s="179"/>
      <c r="PFF3788" s="179"/>
      <c r="PFG3788" s="179"/>
      <c r="PFH3788" s="179"/>
      <c r="PFI3788" s="179"/>
      <c r="PFJ3788" s="179"/>
      <c r="PFK3788" s="179"/>
      <c r="PFL3788" s="179"/>
      <c r="PFM3788" s="179"/>
      <c r="PFN3788" s="179"/>
      <c r="PFO3788" s="179"/>
      <c r="PFP3788" s="179"/>
      <c r="PFQ3788" s="179"/>
      <c r="PFR3788" s="179"/>
      <c r="PFS3788" s="179"/>
      <c r="PFT3788" s="179"/>
      <c r="PFU3788" s="179"/>
      <c r="PFV3788" s="179"/>
      <c r="PFW3788" s="179"/>
      <c r="PFX3788" s="179"/>
      <c r="PFY3788" s="179"/>
      <c r="PFZ3788" s="179"/>
      <c r="PGA3788" s="179"/>
      <c r="PGB3788" s="179"/>
      <c r="PGC3788" s="179"/>
      <c r="PGD3788" s="179"/>
      <c r="PGE3788" s="179"/>
      <c r="PGF3788" s="179"/>
      <c r="PGG3788" s="179"/>
      <c r="PGH3788" s="179"/>
      <c r="PGI3788" s="179"/>
      <c r="PGJ3788" s="179"/>
      <c r="PGK3788" s="179"/>
      <c r="PGL3788" s="179"/>
      <c r="PGM3788" s="179"/>
      <c r="PGN3788" s="179"/>
      <c r="PGO3788" s="179"/>
      <c r="PGP3788" s="179"/>
      <c r="PGQ3788" s="179"/>
      <c r="PGR3788" s="179"/>
      <c r="PGS3788" s="179"/>
      <c r="PGT3788" s="179"/>
      <c r="PGU3788" s="179"/>
      <c r="PGV3788" s="179"/>
      <c r="PGW3788" s="179"/>
      <c r="PGX3788" s="179"/>
      <c r="PGY3788" s="179"/>
      <c r="PGZ3788" s="179"/>
      <c r="PHA3788" s="179"/>
      <c r="PHB3788" s="179"/>
      <c r="PHC3788" s="179"/>
      <c r="PHD3788" s="179"/>
      <c r="PHE3788" s="179"/>
      <c r="PHF3788" s="179"/>
      <c r="PHG3788" s="179"/>
      <c r="PHH3788" s="179"/>
      <c r="PHI3788" s="179"/>
      <c r="PHJ3788" s="179"/>
      <c r="PHK3788" s="179"/>
      <c r="PHL3788" s="179"/>
      <c r="PHM3788" s="179"/>
      <c r="PHN3788" s="179"/>
      <c r="PHO3788" s="179"/>
      <c r="PHP3788" s="179"/>
      <c r="PHQ3788" s="179"/>
      <c r="PHR3788" s="179"/>
      <c r="PHS3788" s="179"/>
      <c r="PHT3788" s="179"/>
      <c r="PHU3788" s="179"/>
      <c r="PHV3788" s="179"/>
      <c r="PHW3788" s="179"/>
      <c r="PHX3788" s="179"/>
      <c r="PHY3788" s="179"/>
      <c r="PHZ3788" s="179"/>
      <c r="PIA3788" s="179"/>
      <c r="PIB3788" s="179"/>
      <c r="PIC3788" s="179"/>
      <c r="PID3788" s="179"/>
      <c r="PIE3788" s="179"/>
      <c r="PIF3788" s="179"/>
      <c r="PIG3788" s="179"/>
      <c r="PIH3788" s="179"/>
      <c r="PII3788" s="179"/>
      <c r="PIJ3788" s="179"/>
      <c r="PIK3788" s="179"/>
      <c r="PIL3788" s="179"/>
      <c r="PIM3788" s="179"/>
      <c r="PIN3788" s="179"/>
      <c r="PIO3788" s="179"/>
      <c r="PIP3788" s="179"/>
      <c r="PIQ3788" s="179"/>
      <c r="PIR3788" s="179"/>
      <c r="PIS3788" s="179"/>
      <c r="PIT3788" s="179"/>
      <c r="PIU3788" s="179"/>
      <c r="PIV3788" s="179"/>
      <c r="PIW3788" s="179"/>
      <c r="PIX3788" s="179"/>
      <c r="PIY3788" s="179"/>
      <c r="PIZ3788" s="179"/>
      <c r="PJA3788" s="179"/>
      <c r="PJB3788" s="179"/>
      <c r="PJC3788" s="179"/>
      <c r="PJD3788" s="179"/>
      <c r="PJE3788" s="179"/>
      <c r="PJF3788" s="179"/>
      <c r="PJG3788" s="179"/>
      <c r="PJH3788" s="179"/>
      <c r="PJI3788" s="179"/>
      <c r="PJJ3788" s="179"/>
      <c r="PJK3788" s="179"/>
      <c r="PJL3788" s="179"/>
      <c r="PJM3788" s="179"/>
      <c r="PJN3788" s="179"/>
      <c r="PJO3788" s="179"/>
      <c r="PJP3788" s="179"/>
      <c r="PJQ3788" s="179"/>
      <c r="PJR3788" s="179"/>
      <c r="PJS3788" s="179"/>
      <c r="PJT3788" s="179"/>
      <c r="PJU3788" s="179"/>
      <c r="PJV3788" s="179"/>
      <c r="PJW3788" s="179"/>
      <c r="PJX3788" s="179"/>
      <c r="PJY3788" s="179"/>
      <c r="PJZ3788" s="179"/>
      <c r="PKA3788" s="179"/>
      <c r="PKB3788" s="179"/>
      <c r="PKC3788" s="179"/>
      <c r="PKD3788" s="179"/>
      <c r="PKE3788" s="179"/>
      <c r="PKF3788" s="179"/>
      <c r="PKG3788" s="179"/>
      <c r="PKH3788" s="179"/>
      <c r="PKI3788" s="179"/>
      <c r="PKJ3788" s="179"/>
      <c r="PKK3788" s="179"/>
      <c r="PKL3788" s="179"/>
      <c r="PKM3788" s="179"/>
      <c r="PKN3788" s="179"/>
      <c r="PKO3788" s="179"/>
      <c r="PKP3788" s="179"/>
      <c r="PKQ3788" s="179"/>
      <c r="PKR3788" s="179"/>
      <c r="PKS3788" s="179"/>
      <c r="PKT3788" s="179"/>
      <c r="PKU3788" s="179"/>
      <c r="PKV3788" s="179"/>
      <c r="PKW3788" s="179"/>
      <c r="PKX3788" s="179"/>
      <c r="PKY3788" s="179"/>
      <c r="PKZ3788" s="179"/>
      <c r="PLA3788" s="179"/>
      <c r="PLB3788" s="179"/>
      <c r="PLC3788" s="179"/>
      <c r="PLD3788" s="179"/>
      <c r="PLE3788" s="179"/>
      <c r="PLF3788" s="179"/>
      <c r="PLG3788" s="179"/>
      <c r="PLH3788" s="179"/>
      <c r="PLI3788" s="179"/>
      <c r="PLJ3788" s="179"/>
      <c r="PLK3788" s="179"/>
      <c r="PLL3788" s="179"/>
      <c r="PLM3788" s="179"/>
      <c r="PLN3788" s="179"/>
      <c r="PLO3788" s="179"/>
      <c r="PLP3788" s="179"/>
      <c r="PLQ3788" s="179"/>
      <c r="PLR3788" s="179"/>
      <c r="PLS3788" s="179"/>
      <c r="PLT3788" s="179"/>
      <c r="PLU3788" s="179"/>
      <c r="PLV3788" s="179"/>
      <c r="PLW3788" s="179"/>
      <c r="PLX3788" s="179"/>
      <c r="PLY3788" s="179"/>
      <c r="PLZ3788" s="179"/>
      <c r="PMA3788" s="179"/>
      <c r="PMB3788" s="179"/>
      <c r="PMC3788" s="179"/>
      <c r="PMD3788" s="179"/>
      <c r="PME3788" s="179"/>
      <c r="PMF3788" s="179"/>
      <c r="PMG3788" s="179"/>
      <c r="PMH3788" s="179"/>
      <c r="PMI3788" s="179"/>
      <c r="PMJ3788" s="179"/>
      <c r="PMK3788" s="179"/>
      <c r="PML3788" s="179"/>
      <c r="PMM3788" s="179"/>
      <c r="PMN3788" s="179"/>
      <c r="PMO3788" s="179"/>
      <c r="PMP3788" s="179"/>
      <c r="PMQ3788" s="179"/>
      <c r="PMR3788" s="179"/>
      <c r="PMS3788" s="179"/>
      <c r="PMT3788" s="179"/>
      <c r="PMU3788" s="179"/>
      <c r="PMV3788" s="179"/>
      <c r="PMW3788" s="179"/>
      <c r="PMX3788" s="179"/>
      <c r="PMY3788" s="179"/>
      <c r="PMZ3788" s="179"/>
      <c r="PNA3788" s="179"/>
      <c r="PNB3788" s="179"/>
      <c r="PNC3788" s="179"/>
      <c r="PND3788" s="179"/>
      <c r="PNE3788" s="179"/>
      <c r="PNF3788" s="179"/>
      <c r="PNG3788" s="179"/>
      <c r="PNH3788" s="179"/>
      <c r="PNI3788" s="179"/>
      <c r="PNJ3788" s="179"/>
      <c r="PNK3788" s="179"/>
      <c r="PNL3788" s="179"/>
      <c r="PNM3788" s="179"/>
      <c r="PNN3788" s="179"/>
      <c r="PNO3788" s="179"/>
      <c r="PNP3788" s="179"/>
      <c r="PNQ3788" s="179"/>
      <c r="PNR3788" s="179"/>
      <c r="PNS3788" s="179"/>
      <c r="PNT3788" s="179"/>
      <c r="PNU3788" s="179"/>
      <c r="PNV3788" s="179"/>
      <c r="PNW3788" s="179"/>
      <c r="PNX3788" s="179"/>
      <c r="PNY3788" s="179"/>
      <c r="PNZ3788" s="179"/>
      <c r="POA3788" s="179"/>
      <c r="POB3788" s="179"/>
      <c r="POC3788" s="179"/>
      <c r="POD3788" s="179"/>
      <c r="POE3788" s="179"/>
      <c r="POF3788" s="179"/>
      <c r="POG3788" s="179"/>
      <c r="POH3788" s="179"/>
      <c r="POI3788" s="179"/>
      <c r="POJ3788" s="179"/>
      <c r="POK3788" s="179"/>
      <c r="POL3788" s="179"/>
      <c r="POM3788" s="179"/>
      <c r="PON3788" s="179"/>
      <c r="POO3788" s="179"/>
      <c r="POP3788" s="179"/>
      <c r="POQ3788" s="179"/>
      <c r="POR3788" s="179"/>
      <c r="POS3788" s="179"/>
      <c r="POT3788" s="179"/>
      <c r="POU3788" s="179"/>
      <c r="POV3788" s="179"/>
      <c r="POW3788" s="179"/>
      <c r="POX3788" s="179"/>
      <c r="POY3788" s="179"/>
      <c r="POZ3788" s="179"/>
      <c r="PPA3788" s="179"/>
      <c r="PPB3788" s="179"/>
      <c r="PPC3788" s="179"/>
      <c r="PPD3788" s="179"/>
      <c r="PPE3788" s="179"/>
      <c r="PPF3788" s="179"/>
      <c r="PPG3788" s="179"/>
      <c r="PPH3788" s="179"/>
      <c r="PPI3788" s="179"/>
      <c r="PPJ3788" s="179"/>
      <c r="PPK3788" s="179"/>
      <c r="PPL3788" s="179"/>
      <c r="PPM3788" s="179"/>
      <c r="PPN3788" s="179"/>
      <c r="PPO3788" s="179"/>
      <c r="PPP3788" s="179"/>
      <c r="PPQ3788" s="179"/>
      <c r="PPR3788" s="179"/>
      <c r="PPS3788" s="179"/>
      <c r="PPT3788" s="179"/>
      <c r="PPU3788" s="179"/>
      <c r="PPV3788" s="179"/>
      <c r="PPW3788" s="179"/>
      <c r="PPX3788" s="179"/>
      <c r="PPY3788" s="179"/>
      <c r="PPZ3788" s="179"/>
      <c r="PQA3788" s="179"/>
      <c r="PQB3788" s="179"/>
      <c r="PQC3788" s="179"/>
      <c r="PQD3788" s="179"/>
      <c r="PQE3788" s="179"/>
      <c r="PQF3788" s="179"/>
      <c r="PQG3788" s="179"/>
      <c r="PQH3788" s="179"/>
      <c r="PQI3788" s="179"/>
      <c r="PQJ3788" s="179"/>
      <c r="PQK3788" s="179"/>
      <c r="PQL3788" s="179"/>
      <c r="PQM3788" s="179"/>
      <c r="PQN3788" s="179"/>
      <c r="PQO3788" s="179"/>
      <c r="PQP3788" s="179"/>
      <c r="PQQ3788" s="179"/>
      <c r="PQR3788" s="179"/>
      <c r="PQS3788" s="179"/>
      <c r="PQT3788" s="179"/>
      <c r="PQU3788" s="179"/>
      <c r="PQV3788" s="179"/>
      <c r="PQW3788" s="179"/>
      <c r="PQX3788" s="179"/>
      <c r="PQY3788" s="179"/>
      <c r="PQZ3788" s="179"/>
      <c r="PRA3788" s="179"/>
      <c r="PRB3788" s="179"/>
      <c r="PRC3788" s="179"/>
      <c r="PRD3788" s="179"/>
      <c r="PRE3788" s="179"/>
      <c r="PRF3788" s="179"/>
      <c r="PRG3788" s="179"/>
      <c r="PRH3788" s="179"/>
      <c r="PRI3788" s="179"/>
      <c r="PRJ3788" s="179"/>
      <c r="PRK3788" s="179"/>
      <c r="PRL3788" s="179"/>
      <c r="PRM3788" s="179"/>
      <c r="PRN3788" s="179"/>
      <c r="PRO3788" s="179"/>
      <c r="PRP3788" s="179"/>
      <c r="PRQ3788" s="179"/>
      <c r="PRR3788" s="179"/>
      <c r="PRS3788" s="179"/>
      <c r="PRT3788" s="179"/>
      <c r="PRU3788" s="179"/>
      <c r="PRV3788" s="179"/>
      <c r="PRW3788" s="179"/>
      <c r="PRX3788" s="179"/>
      <c r="PRY3788" s="179"/>
      <c r="PRZ3788" s="179"/>
      <c r="PSA3788" s="179"/>
      <c r="PSB3788" s="179"/>
      <c r="PSC3788" s="179"/>
      <c r="PSD3788" s="179"/>
      <c r="PSE3788" s="179"/>
      <c r="PSF3788" s="179"/>
      <c r="PSG3788" s="179"/>
      <c r="PSH3788" s="179"/>
      <c r="PSI3788" s="179"/>
      <c r="PSJ3788" s="179"/>
      <c r="PSK3788" s="179"/>
      <c r="PSL3788" s="179"/>
      <c r="PSM3788" s="179"/>
      <c r="PSN3788" s="179"/>
      <c r="PSO3788" s="179"/>
      <c r="PSP3788" s="179"/>
      <c r="PSQ3788" s="179"/>
      <c r="PSR3788" s="179"/>
      <c r="PSS3788" s="179"/>
      <c r="PST3788" s="179"/>
      <c r="PSU3788" s="179"/>
      <c r="PSV3788" s="179"/>
      <c r="PSW3788" s="179"/>
      <c r="PSX3788" s="179"/>
      <c r="PSY3788" s="179"/>
      <c r="PSZ3788" s="179"/>
      <c r="PTA3788" s="179"/>
      <c r="PTB3788" s="179"/>
      <c r="PTC3788" s="179"/>
      <c r="PTD3788" s="179"/>
      <c r="PTE3788" s="179"/>
      <c r="PTF3788" s="179"/>
      <c r="PTG3788" s="179"/>
      <c r="PTH3788" s="179"/>
      <c r="PTI3788" s="179"/>
      <c r="PTJ3788" s="179"/>
      <c r="PTK3788" s="179"/>
      <c r="PTL3788" s="179"/>
      <c r="PTM3788" s="179"/>
      <c r="PTN3788" s="179"/>
      <c r="PTO3788" s="179"/>
      <c r="PTP3788" s="179"/>
      <c r="PTQ3788" s="179"/>
      <c r="PTR3788" s="179"/>
      <c r="PTS3788" s="179"/>
      <c r="PTT3788" s="179"/>
      <c r="PTU3788" s="179"/>
      <c r="PTV3788" s="179"/>
      <c r="PTW3788" s="179"/>
      <c r="PTX3788" s="179"/>
      <c r="PTY3788" s="179"/>
      <c r="PTZ3788" s="179"/>
      <c r="PUA3788" s="179"/>
      <c r="PUB3788" s="179"/>
      <c r="PUC3788" s="179"/>
      <c r="PUD3788" s="179"/>
      <c r="PUE3788" s="179"/>
      <c r="PUF3788" s="179"/>
      <c r="PUG3788" s="179"/>
      <c r="PUH3788" s="179"/>
      <c r="PUI3788" s="179"/>
      <c r="PUJ3788" s="179"/>
      <c r="PUK3788" s="179"/>
      <c r="PUL3788" s="179"/>
      <c r="PUM3788" s="179"/>
      <c r="PUN3788" s="179"/>
      <c r="PUO3788" s="179"/>
      <c r="PUP3788" s="179"/>
      <c r="PUQ3788" s="179"/>
      <c r="PUR3788" s="179"/>
      <c r="PUS3788" s="179"/>
      <c r="PUT3788" s="179"/>
      <c r="PUU3788" s="179"/>
      <c r="PUV3788" s="179"/>
      <c r="PUW3788" s="179"/>
      <c r="PUX3788" s="179"/>
      <c r="PUY3788" s="179"/>
      <c r="PUZ3788" s="179"/>
      <c r="PVA3788" s="179"/>
      <c r="PVB3788" s="179"/>
      <c r="PVC3788" s="179"/>
      <c r="PVD3788" s="179"/>
      <c r="PVE3788" s="179"/>
      <c r="PVF3788" s="179"/>
      <c r="PVG3788" s="179"/>
      <c r="PVH3788" s="179"/>
      <c r="PVI3788" s="179"/>
      <c r="PVJ3788" s="179"/>
      <c r="PVK3788" s="179"/>
      <c r="PVL3788" s="179"/>
      <c r="PVM3788" s="179"/>
      <c r="PVN3788" s="179"/>
      <c r="PVO3788" s="179"/>
      <c r="PVP3788" s="179"/>
      <c r="PVQ3788" s="179"/>
      <c r="PVR3788" s="179"/>
      <c r="PVS3788" s="179"/>
      <c r="PVT3788" s="179"/>
      <c r="PVU3788" s="179"/>
      <c r="PVV3788" s="179"/>
      <c r="PVW3788" s="179"/>
      <c r="PVX3788" s="179"/>
      <c r="PVY3788" s="179"/>
      <c r="PVZ3788" s="179"/>
      <c r="PWA3788" s="179"/>
      <c r="PWB3788" s="179"/>
      <c r="PWC3788" s="179"/>
      <c r="PWD3788" s="179"/>
      <c r="PWE3788" s="179"/>
      <c r="PWF3788" s="179"/>
      <c r="PWG3788" s="179"/>
      <c r="PWH3788" s="179"/>
      <c r="PWI3788" s="179"/>
      <c r="PWJ3788" s="179"/>
      <c r="PWK3788" s="179"/>
      <c r="PWL3788" s="179"/>
      <c r="PWM3788" s="179"/>
      <c r="PWN3788" s="179"/>
      <c r="PWO3788" s="179"/>
      <c r="PWP3788" s="179"/>
      <c r="PWQ3788" s="179"/>
      <c r="PWR3788" s="179"/>
      <c r="PWS3788" s="179"/>
      <c r="PWT3788" s="179"/>
      <c r="PWU3788" s="179"/>
      <c r="PWV3788" s="179"/>
      <c r="PWW3788" s="179"/>
      <c r="PWX3788" s="179"/>
      <c r="PWY3788" s="179"/>
      <c r="PWZ3788" s="179"/>
      <c r="PXA3788" s="179"/>
      <c r="PXB3788" s="179"/>
      <c r="PXC3788" s="179"/>
      <c r="PXD3788" s="179"/>
      <c r="PXE3788" s="179"/>
      <c r="PXF3788" s="179"/>
      <c r="PXG3788" s="179"/>
      <c r="PXH3788" s="179"/>
      <c r="PXI3788" s="179"/>
      <c r="PXJ3788" s="179"/>
      <c r="PXK3788" s="179"/>
      <c r="PXL3788" s="179"/>
      <c r="PXM3788" s="179"/>
      <c r="PXN3788" s="179"/>
      <c r="PXO3788" s="179"/>
      <c r="PXP3788" s="179"/>
      <c r="PXQ3788" s="179"/>
      <c r="PXR3788" s="179"/>
      <c r="PXS3788" s="179"/>
      <c r="PXT3788" s="179"/>
      <c r="PXU3788" s="179"/>
      <c r="PXV3788" s="179"/>
      <c r="PXW3788" s="179"/>
      <c r="PXX3788" s="179"/>
      <c r="PXY3788" s="179"/>
      <c r="PXZ3788" s="179"/>
      <c r="PYA3788" s="179"/>
      <c r="PYB3788" s="179"/>
      <c r="PYC3788" s="179"/>
      <c r="PYD3788" s="179"/>
      <c r="PYE3788" s="179"/>
      <c r="PYF3788" s="179"/>
      <c r="PYG3788" s="179"/>
      <c r="PYH3788" s="179"/>
      <c r="PYI3788" s="179"/>
      <c r="PYJ3788" s="179"/>
      <c r="PYK3788" s="179"/>
      <c r="PYL3788" s="179"/>
      <c r="PYM3788" s="179"/>
      <c r="PYN3788" s="179"/>
      <c r="PYO3788" s="179"/>
      <c r="PYP3788" s="179"/>
      <c r="PYQ3788" s="179"/>
      <c r="PYR3788" s="179"/>
      <c r="PYS3788" s="179"/>
      <c r="PYT3788" s="179"/>
      <c r="PYU3788" s="179"/>
      <c r="PYV3788" s="179"/>
      <c r="PYW3788" s="179"/>
      <c r="PYX3788" s="179"/>
      <c r="PYY3788" s="179"/>
      <c r="PYZ3788" s="179"/>
      <c r="PZA3788" s="179"/>
      <c r="PZB3788" s="179"/>
      <c r="PZC3788" s="179"/>
      <c r="PZD3788" s="179"/>
      <c r="PZE3788" s="179"/>
      <c r="PZF3788" s="179"/>
      <c r="PZG3788" s="179"/>
      <c r="PZH3788" s="179"/>
      <c r="PZI3788" s="179"/>
      <c r="PZJ3788" s="179"/>
      <c r="PZK3788" s="179"/>
      <c r="PZL3788" s="179"/>
      <c r="PZM3788" s="179"/>
      <c r="PZN3788" s="179"/>
      <c r="PZO3788" s="179"/>
      <c r="PZP3788" s="179"/>
      <c r="PZQ3788" s="179"/>
      <c r="PZR3788" s="179"/>
      <c r="PZS3788" s="179"/>
      <c r="PZT3788" s="179"/>
      <c r="PZU3788" s="179"/>
      <c r="PZV3788" s="179"/>
      <c r="PZW3788" s="179"/>
      <c r="PZX3788" s="179"/>
      <c r="PZY3788" s="179"/>
      <c r="PZZ3788" s="179"/>
      <c r="QAA3788" s="179"/>
      <c r="QAB3788" s="179"/>
      <c r="QAC3788" s="179"/>
      <c r="QAD3788" s="179"/>
      <c r="QAE3788" s="179"/>
      <c r="QAF3788" s="179"/>
      <c r="QAG3788" s="179"/>
      <c r="QAH3788" s="179"/>
      <c r="QAI3788" s="179"/>
      <c r="QAJ3788" s="179"/>
      <c r="QAK3788" s="179"/>
      <c r="QAL3788" s="179"/>
      <c r="QAM3788" s="179"/>
      <c r="QAN3788" s="179"/>
      <c r="QAO3788" s="179"/>
      <c r="QAP3788" s="179"/>
      <c r="QAQ3788" s="179"/>
      <c r="QAR3788" s="179"/>
      <c r="QAS3788" s="179"/>
      <c r="QAT3788" s="179"/>
      <c r="QAU3788" s="179"/>
      <c r="QAV3788" s="179"/>
      <c r="QAW3788" s="179"/>
      <c r="QAX3788" s="179"/>
      <c r="QAY3788" s="179"/>
      <c r="QAZ3788" s="179"/>
      <c r="QBA3788" s="179"/>
      <c r="QBB3788" s="179"/>
      <c r="QBC3788" s="179"/>
      <c r="QBD3788" s="179"/>
      <c r="QBE3788" s="179"/>
      <c r="QBF3788" s="179"/>
      <c r="QBG3788" s="179"/>
      <c r="QBH3788" s="179"/>
      <c r="QBI3788" s="179"/>
      <c r="QBJ3788" s="179"/>
      <c r="QBK3788" s="179"/>
      <c r="QBL3788" s="179"/>
      <c r="QBM3788" s="179"/>
      <c r="QBN3788" s="179"/>
      <c r="QBO3788" s="179"/>
      <c r="QBP3788" s="179"/>
      <c r="QBQ3788" s="179"/>
      <c r="QBR3788" s="179"/>
      <c r="QBS3788" s="179"/>
      <c r="QBT3788" s="179"/>
      <c r="QBU3788" s="179"/>
      <c r="QBV3788" s="179"/>
      <c r="QBW3788" s="179"/>
      <c r="QBX3788" s="179"/>
      <c r="QBY3788" s="179"/>
      <c r="QBZ3788" s="179"/>
      <c r="QCA3788" s="179"/>
      <c r="QCB3788" s="179"/>
      <c r="QCC3788" s="179"/>
      <c r="QCD3788" s="179"/>
      <c r="QCE3788" s="179"/>
      <c r="QCF3788" s="179"/>
      <c r="QCG3788" s="179"/>
      <c r="QCH3788" s="179"/>
      <c r="QCI3788" s="179"/>
      <c r="QCJ3788" s="179"/>
      <c r="QCK3788" s="179"/>
      <c r="QCL3788" s="179"/>
      <c r="QCM3788" s="179"/>
      <c r="QCN3788" s="179"/>
      <c r="QCO3788" s="179"/>
      <c r="QCP3788" s="179"/>
      <c r="QCQ3788" s="179"/>
      <c r="QCR3788" s="179"/>
      <c r="QCS3788" s="179"/>
      <c r="QCT3788" s="179"/>
      <c r="QCU3788" s="179"/>
      <c r="QCV3788" s="179"/>
      <c r="QCW3788" s="179"/>
      <c r="QCX3788" s="179"/>
      <c r="QCY3788" s="179"/>
      <c r="QCZ3788" s="179"/>
      <c r="QDA3788" s="179"/>
      <c r="QDB3788" s="179"/>
      <c r="QDC3788" s="179"/>
      <c r="QDD3788" s="179"/>
      <c r="QDE3788" s="179"/>
      <c r="QDF3788" s="179"/>
      <c r="QDG3788" s="179"/>
      <c r="QDH3788" s="179"/>
      <c r="QDI3788" s="179"/>
      <c r="QDJ3788" s="179"/>
      <c r="QDK3788" s="179"/>
      <c r="QDL3788" s="179"/>
      <c r="QDM3788" s="179"/>
      <c r="QDN3788" s="179"/>
      <c r="QDO3788" s="179"/>
      <c r="QDP3788" s="179"/>
      <c r="QDQ3788" s="179"/>
      <c r="QDR3788" s="179"/>
      <c r="QDS3788" s="179"/>
      <c r="QDT3788" s="179"/>
      <c r="QDU3788" s="179"/>
      <c r="QDV3788" s="179"/>
      <c r="QDW3788" s="179"/>
      <c r="QDX3788" s="179"/>
      <c r="QDY3788" s="179"/>
      <c r="QDZ3788" s="179"/>
      <c r="QEA3788" s="179"/>
      <c r="QEB3788" s="179"/>
      <c r="QEC3788" s="179"/>
      <c r="QED3788" s="179"/>
      <c r="QEE3788" s="179"/>
      <c r="QEF3788" s="179"/>
      <c r="QEG3788" s="179"/>
      <c r="QEH3788" s="179"/>
      <c r="QEI3788" s="179"/>
      <c r="QEJ3788" s="179"/>
      <c r="QEK3788" s="179"/>
      <c r="QEL3788" s="179"/>
      <c r="QEM3788" s="179"/>
      <c r="QEN3788" s="179"/>
      <c r="QEO3788" s="179"/>
      <c r="QEP3788" s="179"/>
      <c r="QEQ3788" s="179"/>
      <c r="QER3788" s="179"/>
      <c r="QES3788" s="179"/>
      <c r="QET3788" s="179"/>
      <c r="QEU3788" s="179"/>
      <c r="QEV3788" s="179"/>
      <c r="QEW3788" s="179"/>
      <c r="QEX3788" s="179"/>
      <c r="QEY3788" s="179"/>
      <c r="QEZ3788" s="179"/>
      <c r="QFA3788" s="179"/>
      <c r="QFB3788" s="179"/>
      <c r="QFC3788" s="179"/>
      <c r="QFD3788" s="179"/>
      <c r="QFE3788" s="179"/>
      <c r="QFF3788" s="179"/>
      <c r="QFG3788" s="179"/>
      <c r="QFH3788" s="179"/>
      <c r="QFI3788" s="179"/>
      <c r="QFJ3788" s="179"/>
      <c r="QFK3788" s="179"/>
      <c r="QFL3788" s="179"/>
      <c r="QFM3788" s="179"/>
      <c r="QFN3788" s="179"/>
      <c r="QFO3788" s="179"/>
      <c r="QFP3788" s="179"/>
      <c r="QFQ3788" s="179"/>
      <c r="QFR3788" s="179"/>
      <c r="QFS3788" s="179"/>
      <c r="QFT3788" s="179"/>
      <c r="QFU3788" s="179"/>
      <c r="QFV3788" s="179"/>
      <c r="QFW3788" s="179"/>
      <c r="QFX3788" s="179"/>
      <c r="QFY3788" s="179"/>
      <c r="QFZ3788" s="179"/>
      <c r="QGA3788" s="179"/>
      <c r="QGB3788" s="179"/>
      <c r="QGC3788" s="179"/>
      <c r="QGD3788" s="179"/>
      <c r="QGE3788" s="179"/>
      <c r="QGF3788" s="179"/>
      <c r="QGG3788" s="179"/>
      <c r="QGH3788" s="179"/>
      <c r="QGI3788" s="179"/>
      <c r="QGJ3788" s="179"/>
      <c r="QGK3788" s="179"/>
      <c r="QGL3788" s="179"/>
      <c r="QGM3788" s="179"/>
      <c r="QGN3788" s="179"/>
      <c r="QGO3788" s="179"/>
      <c r="QGP3788" s="179"/>
      <c r="QGQ3788" s="179"/>
      <c r="QGR3788" s="179"/>
      <c r="QGS3788" s="179"/>
      <c r="QGT3788" s="179"/>
      <c r="QGU3788" s="179"/>
      <c r="QGV3788" s="179"/>
      <c r="QGW3788" s="179"/>
      <c r="QGX3788" s="179"/>
      <c r="QGY3788" s="179"/>
      <c r="QGZ3788" s="179"/>
      <c r="QHA3788" s="179"/>
      <c r="QHB3788" s="179"/>
      <c r="QHC3788" s="179"/>
      <c r="QHD3788" s="179"/>
      <c r="QHE3788" s="179"/>
      <c r="QHF3788" s="179"/>
      <c r="QHG3788" s="179"/>
      <c r="QHH3788" s="179"/>
      <c r="QHI3788" s="179"/>
      <c r="QHJ3788" s="179"/>
      <c r="QHK3788" s="179"/>
      <c r="QHL3788" s="179"/>
      <c r="QHM3788" s="179"/>
      <c r="QHN3788" s="179"/>
      <c r="QHO3788" s="179"/>
      <c r="QHP3788" s="179"/>
      <c r="QHQ3788" s="179"/>
      <c r="QHR3788" s="179"/>
      <c r="QHS3788" s="179"/>
      <c r="QHT3788" s="179"/>
      <c r="QHU3788" s="179"/>
      <c r="QHV3788" s="179"/>
      <c r="QHW3788" s="179"/>
      <c r="QHX3788" s="179"/>
      <c r="QHY3788" s="179"/>
      <c r="QHZ3788" s="179"/>
      <c r="QIA3788" s="179"/>
      <c r="QIB3788" s="179"/>
      <c r="QIC3788" s="179"/>
      <c r="QID3788" s="179"/>
      <c r="QIE3788" s="179"/>
      <c r="QIF3788" s="179"/>
      <c r="QIG3788" s="179"/>
      <c r="QIH3788" s="179"/>
      <c r="QII3788" s="179"/>
      <c r="QIJ3788" s="179"/>
      <c r="QIK3788" s="179"/>
      <c r="QIL3788" s="179"/>
      <c r="QIM3788" s="179"/>
      <c r="QIN3788" s="179"/>
      <c r="QIO3788" s="179"/>
      <c r="QIP3788" s="179"/>
      <c r="QIQ3788" s="179"/>
      <c r="QIR3788" s="179"/>
      <c r="QIS3788" s="179"/>
      <c r="QIT3788" s="179"/>
      <c r="QIU3788" s="179"/>
      <c r="QIV3788" s="179"/>
      <c r="QIW3788" s="179"/>
      <c r="QIX3788" s="179"/>
      <c r="QIY3788" s="179"/>
      <c r="QIZ3788" s="179"/>
      <c r="QJA3788" s="179"/>
      <c r="QJB3788" s="179"/>
      <c r="QJC3788" s="179"/>
      <c r="QJD3788" s="179"/>
      <c r="QJE3788" s="179"/>
      <c r="QJF3788" s="179"/>
      <c r="QJG3788" s="179"/>
      <c r="QJH3788" s="179"/>
      <c r="QJI3788" s="179"/>
      <c r="QJJ3788" s="179"/>
      <c r="QJK3788" s="179"/>
      <c r="QJL3788" s="179"/>
      <c r="QJM3788" s="179"/>
      <c r="QJN3788" s="179"/>
      <c r="QJO3788" s="179"/>
      <c r="QJP3788" s="179"/>
      <c r="QJQ3788" s="179"/>
      <c r="QJR3788" s="179"/>
      <c r="QJS3788" s="179"/>
      <c r="QJT3788" s="179"/>
      <c r="QJU3788" s="179"/>
      <c r="QJV3788" s="179"/>
      <c r="QJW3788" s="179"/>
      <c r="QJX3788" s="179"/>
      <c r="QJY3788" s="179"/>
      <c r="QJZ3788" s="179"/>
      <c r="QKA3788" s="179"/>
      <c r="QKB3788" s="179"/>
      <c r="QKC3788" s="179"/>
      <c r="QKD3788" s="179"/>
      <c r="QKE3788" s="179"/>
      <c r="QKF3788" s="179"/>
      <c r="QKG3788" s="179"/>
      <c r="QKH3788" s="179"/>
      <c r="QKI3788" s="179"/>
      <c r="QKJ3788" s="179"/>
      <c r="QKK3788" s="179"/>
      <c r="QKL3788" s="179"/>
      <c r="QKM3788" s="179"/>
      <c r="QKN3788" s="179"/>
      <c r="QKO3788" s="179"/>
      <c r="QKP3788" s="179"/>
      <c r="QKQ3788" s="179"/>
      <c r="QKR3788" s="179"/>
      <c r="QKS3788" s="179"/>
      <c r="QKT3788" s="179"/>
      <c r="QKU3788" s="179"/>
      <c r="QKV3788" s="179"/>
      <c r="QKW3788" s="179"/>
      <c r="QKX3788" s="179"/>
      <c r="QKY3788" s="179"/>
      <c r="QKZ3788" s="179"/>
      <c r="QLA3788" s="179"/>
      <c r="QLB3788" s="179"/>
      <c r="QLC3788" s="179"/>
      <c r="QLD3788" s="179"/>
      <c r="QLE3788" s="179"/>
      <c r="QLF3788" s="179"/>
      <c r="QLG3788" s="179"/>
      <c r="QLH3788" s="179"/>
      <c r="QLI3788" s="179"/>
      <c r="QLJ3788" s="179"/>
      <c r="QLK3788" s="179"/>
      <c r="QLL3788" s="179"/>
      <c r="QLM3788" s="179"/>
      <c r="QLN3788" s="179"/>
      <c r="QLO3788" s="179"/>
      <c r="QLP3788" s="179"/>
      <c r="QLQ3788" s="179"/>
      <c r="QLR3788" s="179"/>
      <c r="QLS3788" s="179"/>
      <c r="QLT3788" s="179"/>
      <c r="QLU3788" s="179"/>
      <c r="QLV3788" s="179"/>
      <c r="QLW3788" s="179"/>
      <c r="QLX3788" s="179"/>
      <c r="QLY3788" s="179"/>
      <c r="QLZ3788" s="179"/>
      <c r="QMA3788" s="179"/>
      <c r="QMB3788" s="179"/>
      <c r="QMC3788" s="179"/>
      <c r="QMD3788" s="179"/>
      <c r="QME3788" s="179"/>
      <c r="QMF3788" s="179"/>
      <c r="QMG3788" s="179"/>
      <c r="QMH3788" s="179"/>
      <c r="QMI3788" s="179"/>
      <c r="QMJ3788" s="179"/>
      <c r="QMK3788" s="179"/>
      <c r="QML3788" s="179"/>
      <c r="QMM3788" s="179"/>
      <c r="QMN3788" s="179"/>
      <c r="QMO3788" s="179"/>
      <c r="QMP3788" s="179"/>
      <c r="QMQ3788" s="179"/>
      <c r="QMR3788" s="179"/>
      <c r="QMS3788" s="179"/>
      <c r="QMT3788" s="179"/>
      <c r="QMU3788" s="179"/>
      <c r="QMV3788" s="179"/>
      <c r="QMW3788" s="179"/>
      <c r="QMX3788" s="179"/>
      <c r="QMY3788" s="179"/>
      <c r="QMZ3788" s="179"/>
      <c r="QNA3788" s="179"/>
      <c r="QNB3788" s="179"/>
      <c r="QNC3788" s="179"/>
      <c r="QND3788" s="179"/>
      <c r="QNE3788" s="179"/>
      <c r="QNF3788" s="179"/>
      <c r="QNG3788" s="179"/>
      <c r="QNH3788" s="179"/>
      <c r="QNI3788" s="179"/>
      <c r="QNJ3788" s="179"/>
      <c r="QNK3788" s="179"/>
      <c r="QNL3788" s="179"/>
      <c r="QNM3788" s="179"/>
      <c r="QNN3788" s="179"/>
      <c r="QNO3788" s="179"/>
      <c r="QNP3788" s="179"/>
      <c r="QNQ3788" s="179"/>
      <c r="QNR3788" s="179"/>
      <c r="QNS3788" s="179"/>
      <c r="QNT3788" s="179"/>
      <c r="QNU3788" s="179"/>
      <c r="QNV3788" s="179"/>
      <c r="QNW3788" s="179"/>
      <c r="QNX3788" s="179"/>
      <c r="QNY3788" s="179"/>
      <c r="QNZ3788" s="179"/>
      <c r="QOA3788" s="179"/>
      <c r="QOB3788" s="179"/>
      <c r="QOC3788" s="179"/>
      <c r="QOD3788" s="179"/>
      <c r="QOE3788" s="179"/>
      <c r="QOF3788" s="179"/>
      <c r="QOG3788" s="179"/>
      <c r="QOH3788" s="179"/>
      <c r="QOI3788" s="179"/>
      <c r="QOJ3788" s="179"/>
      <c r="QOK3788" s="179"/>
      <c r="QOL3788" s="179"/>
      <c r="QOM3788" s="179"/>
      <c r="QON3788" s="179"/>
      <c r="QOO3788" s="179"/>
      <c r="QOP3788" s="179"/>
      <c r="QOQ3788" s="179"/>
      <c r="QOR3788" s="179"/>
      <c r="QOS3788" s="179"/>
      <c r="QOT3788" s="179"/>
      <c r="QOU3788" s="179"/>
      <c r="QOV3788" s="179"/>
      <c r="QOW3788" s="179"/>
      <c r="QOX3788" s="179"/>
      <c r="QOY3788" s="179"/>
      <c r="QOZ3788" s="179"/>
      <c r="QPA3788" s="179"/>
      <c r="QPB3788" s="179"/>
      <c r="QPC3788" s="179"/>
      <c r="QPD3788" s="179"/>
      <c r="QPE3788" s="179"/>
      <c r="QPF3788" s="179"/>
      <c r="QPG3788" s="179"/>
      <c r="QPH3788" s="179"/>
      <c r="QPI3788" s="179"/>
      <c r="QPJ3788" s="179"/>
      <c r="QPK3788" s="179"/>
      <c r="QPL3788" s="179"/>
      <c r="QPM3788" s="179"/>
      <c r="QPN3788" s="179"/>
      <c r="QPO3788" s="179"/>
      <c r="QPP3788" s="179"/>
      <c r="QPQ3788" s="179"/>
      <c r="QPR3788" s="179"/>
      <c r="QPS3788" s="179"/>
      <c r="QPT3788" s="179"/>
      <c r="QPU3788" s="179"/>
      <c r="QPV3788" s="179"/>
      <c r="QPW3788" s="179"/>
      <c r="QPX3788" s="179"/>
      <c r="QPY3788" s="179"/>
      <c r="QPZ3788" s="179"/>
      <c r="QQA3788" s="179"/>
      <c r="QQB3788" s="179"/>
      <c r="QQC3788" s="179"/>
      <c r="QQD3788" s="179"/>
      <c r="QQE3788" s="179"/>
      <c r="QQF3788" s="179"/>
      <c r="QQG3788" s="179"/>
      <c r="QQH3788" s="179"/>
      <c r="QQI3788" s="179"/>
      <c r="QQJ3788" s="179"/>
      <c r="QQK3788" s="179"/>
      <c r="QQL3788" s="179"/>
      <c r="QQM3788" s="179"/>
      <c r="QQN3788" s="179"/>
      <c r="QQO3788" s="179"/>
      <c r="QQP3788" s="179"/>
      <c r="QQQ3788" s="179"/>
      <c r="QQR3788" s="179"/>
      <c r="QQS3788" s="179"/>
      <c r="QQT3788" s="179"/>
      <c r="QQU3788" s="179"/>
      <c r="QQV3788" s="179"/>
      <c r="QQW3788" s="179"/>
      <c r="QQX3788" s="179"/>
      <c r="QQY3788" s="179"/>
      <c r="QQZ3788" s="179"/>
      <c r="QRA3788" s="179"/>
      <c r="QRB3788" s="179"/>
      <c r="QRC3788" s="179"/>
      <c r="QRD3788" s="179"/>
      <c r="QRE3788" s="179"/>
      <c r="QRF3788" s="179"/>
      <c r="QRG3788" s="179"/>
      <c r="QRH3788" s="179"/>
      <c r="QRI3788" s="179"/>
      <c r="QRJ3788" s="179"/>
      <c r="QRK3788" s="179"/>
      <c r="QRL3788" s="179"/>
      <c r="QRM3788" s="179"/>
      <c r="QRN3788" s="179"/>
      <c r="QRO3788" s="179"/>
      <c r="QRP3788" s="179"/>
      <c r="QRQ3788" s="179"/>
      <c r="QRR3788" s="179"/>
      <c r="QRS3788" s="179"/>
      <c r="QRT3788" s="179"/>
      <c r="QRU3788" s="179"/>
      <c r="QRV3788" s="179"/>
      <c r="QRW3788" s="179"/>
      <c r="QRX3788" s="179"/>
      <c r="QRY3788" s="179"/>
      <c r="QRZ3788" s="179"/>
      <c r="QSA3788" s="179"/>
      <c r="QSB3788" s="179"/>
      <c r="QSC3788" s="179"/>
      <c r="QSD3788" s="179"/>
      <c r="QSE3788" s="179"/>
      <c r="QSF3788" s="179"/>
      <c r="QSG3788" s="179"/>
      <c r="QSH3788" s="179"/>
      <c r="QSI3788" s="179"/>
      <c r="QSJ3788" s="179"/>
      <c r="QSK3788" s="179"/>
      <c r="QSL3788" s="179"/>
      <c r="QSM3788" s="179"/>
      <c r="QSN3788" s="179"/>
      <c r="QSO3788" s="179"/>
      <c r="QSP3788" s="179"/>
      <c r="QSQ3788" s="179"/>
      <c r="QSR3788" s="179"/>
      <c r="QSS3788" s="179"/>
      <c r="QST3788" s="179"/>
      <c r="QSU3788" s="179"/>
      <c r="QSV3788" s="179"/>
      <c r="QSW3788" s="179"/>
      <c r="QSX3788" s="179"/>
      <c r="QSY3788" s="179"/>
      <c r="QSZ3788" s="179"/>
      <c r="QTA3788" s="179"/>
      <c r="QTB3788" s="179"/>
      <c r="QTC3788" s="179"/>
      <c r="QTD3788" s="179"/>
      <c r="QTE3788" s="179"/>
      <c r="QTF3788" s="179"/>
      <c r="QTG3788" s="179"/>
      <c r="QTH3788" s="179"/>
      <c r="QTI3788" s="179"/>
      <c r="QTJ3788" s="179"/>
      <c r="QTK3788" s="179"/>
      <c r="QTL3788" s="179"/>
      <c r="QTM3788" s="179"/>
      <c r="QTN3788" s="179"/>
      <c r="QTO3788" s="179"/>
      <c r="QTP3788" s="179"/>
      <c r="QTQ3788" s="179"/>
      <c r="QTR3788" s="179"/>
      <c r="QTS3788" s="179"/>
      <c r="QTT3788" s="179"/>
      <c r="QTU3788" s="179"/>
      <c r="QTV3788" s="179"/>
      <c r="QTW3788" s="179"/>
      <c r="QTX3788" s="179"/>
      <c r="QTY3788" s="179"/>
      <c r="QTZ3788" s="179"/>
      <c r="QUA3788" s="179"/>
      <c r="QUB3788" s="179"/>
      <c r="QUC3788" s="179"/>
      <c r="QUD3788" s="179"/>
      <c r="QUE3788" s="179"/>
      <c r="QUF3788" s="179"/>
      <c r="QUG3788" s="179"/>
      <c r="QUH3788" s="179"/>
      <c r="QUI3788" s="179"/>
      <c r="QUJ3788" s="179"/>
      <c r="QUK3788" s="179"/>
      <c r="QUL3788" s="179"/>
      <c r="QUM3788" s="179"/>
      <c r="QUN3788" s="179"/>
      <c r="QUO3788" s="179"/>
      <c r="QUP3788" s="179"/>
      <c r="QUQ3788" s="179"/>
      <c r="QUR3788" s="179"/>
      <c r="QUS3788" s="179"/>
      <c r="QUT3788" s="179"/>
      <c r="QUU3788" s="179"/>
      <c r="QUV3788" s="179"/>
      <c r="QUW3788" s="179"/>
      <c r="QUX3788" s="179"/>
      <c r="QUY3788" s="179"/>
      <c r="QUZ3788" s="179"/>
      <c r="QVA3788" s="179"/>
      <c r="QVB3788" s="179"/>
      <c r="QVC3788" s="179"/>
      <c r="QVD3788" s="179"/>
      <c r="QVE3788" s="179"/>
      <c r="QVF3788" s="179"/>
      <c r="QVG3788" s="179"/>
      <c r="QVH3788" s="179"/>
      <c r="QVI3788" s="179"/>
      <c r="QVJ3788" s="179"/>
      <c r="QVK3788" s="179"/>
      <c r="QVL3788" s="179"/>
      <c r="QVM3788" s="179"/>
      <c r="QVN3788" s="179"/>
      <c r="QVO3788" s="179"/>
      <c r="QVP3788" s="179"/>
      <c r="QVQ3788" s="179"/>
      <c r="QVR3788" s="179"/>
      <c r="QVS3788" s="179"/>
      <c r="QVT3788" s="179"/>
      <c r="QVU3788" s="179"/>
      <c r="QVV3788" s="179"/>
      <c r="QVW3788" s="179"/>
      <c r="QVX3788" s="179"/>
      <c r="QVY3788" s="179"/>
      <c r="QVZ3788" s="179"/>
      <c r="QWA3788" s="179"/>
      <c r="QWB3788" s="179"/>
      <c r="QWC3788" s="179"/>
      <c r="QWD3788" s="179"/>
      <c r="QWE3788" s="179"/>
      <c r="QWF3788" s="179"/>
      <c r="QWG3788" s="179"/>
      <c r="QWH3788" s="179"/>
      <c r="QWI3788" s="179"/>
      <c r="QWJ3788" s="179"/>
      <c r="QWK3788" s="179"/>
      <c r="QWL3788" s="179"/>
      <c r="QWM3788" s="179"/>
      <c r="QWN3788" s="179"/>
      <c r="QWO3788" s="179"/>
      <c r="QWP3788" s="179"/>
      <c r="QWQ3788" s="179"/>
      <c r="QWR3788" s="179"/>
      <c r="QWS3788" s="179"/>
      <c r="QWT3788" s="179"/>
      <c r="QWU3788" s="179"/>
      <c r="QWV3788" s="179"/>
      <c r="QWW3788" s="179"/>
      <c r="QWX3788" s="179"/>
      <c r="QWY3788" s="179"/>
      <c r="QWZ3788" s="179"/>
      <c r="QXA3788" s="179"/>
      <c r="QXB3788" s="179"/>
      <c r="QXC3788" s="179"/>
      <c r="QXD3788" s="179"/>
      <c r="QXE3788" s="179"/>
      <c r="QXF3788" s="179"/>
      <c r="QXG3788" s="179"/>
      <c r="QXH3788" s="179"/>
      <c r="QXI3788" s="179"/>
      <c r="QXJ3788" s="179"/>
      <c r="QXK3788" s="179"/>
      <c r="QXL3788" s="179"/>
      <c r="QXM3788" s="179"/>
      <c r="QXN3788" s="179"/>
      <c r="QXO3788" s="179"/>
      <c r="QXP3788" s="179"/>
      <c r="QXQ3788" s="179"/>
      <c r="QXR3788" s="179"/>
      <c r="QXS3788" s="179"/>
      <c r="QXT3788" s="179"/>
      <c r="QXU3788" s="179"/>
      <c r="QXV3788" s="179"/>
      <c r="QXW3788" s="179"/>
      <c r="QXX3788" s="179"/>
      <c r="QXY3788" s="179"/>
      <c r="QXZ3788" s="179"/>
      <c r="QYA3788" s="179"/>
      <c r="QYB3788" s="179"/>
      <c r="QYC3788" s="179"/>
      <c r="QYD3788" s="179"/>
      <c r="QYE3788" s="179"/>
      <c r="QYF3788" s="179"/>
      <c r="QYG3788" s="179"/>
      <c r="QYH3788" s="179"/>
      <c r="QYI3788" s="179"/>
      <c r="QYJ3788" s="179"/>
      <c r="QYK3788" s="179"/>
      <c r="QYL3788" s="179"/>
      <c r="QYM3788" s="179"/>
      <c r="QYN3788" s="179"/>
      <c r="QYO3788" s="179"/>
      <c r="QYP3788" s="179"/>
      <c r="QYQ3788" s="179"/>
      <c r="QYR3788" s="179"/>
      <c r="QYS3788" s="179"/>
      <c r="QYT3788" s="179"/>
      <c r="QYU3788" s="179"/>
      <c r="QYV3788" s="179"/>
      <c r="QYW3788" s="179"/>
      <c r="QYX3788" s="179"/>
      <c r="QYY3788" s="179"/>
      <c r="QYZ3788" s="179"/>
      <c r="QZA3788" s="179"/>
      <c r="QZB3788" s="179"/>
      <c r="QZC3788" s="179"/>
      <c r="QZD3788" s="179"/>
      <c r="QZE3788" s="179"/>
      <c r="QZF3788" s="179"/>
      <c r="QZG3788" s="179"/>
      <c r="QZH3788" s="179"/>
      <c r="QZI3788" s="179"/>
      <c r="QZJ3788" s="179"/>
      <c r="QZK3788" s="179"/>
      <c r="QZL3788" s="179"/>
      <c r="QZM3788" s="179"/>
      <c r="QZN3788" s="179"/>
      <c r="QZO3788" s="179"/>
      <c r="QZP3788" s="179"/>
      <c r="QZQ3788" s="179"/>
      <c r="QZR3788" s="179"/>
      <c r="QZS3788" s="179"/>
      <c r="QZT3788" s="179"/>
      <c r="QZU3788" s="179"/>
      <c r="QZV3788" s="179"/>
      <c r="QZW3788" s="179"/>
      <c r="QZX3788" s="179"/>
      <c r="QZY3788" s="179"/>
      <c r="QZZ3788" s="179"/>
      <c r="RAA3788" s="179"/>
      <c r="RAB3788" s="179"/>
      <c r="RAC3788" s="179"/>
      <c r="RAD3788" s="179"/>
      <c r="RAE3788" s="179"/>
      <c r="RAF3788" s="179"/>
      <c r="RAG3788" s="179"/>
      <c r="RAH3788" s="179"/>
      <c r="RAI3788" s="179"/>
      <c r="RAJ3788" s="179"/>
      <c r="RAK3788" s="179"/>
      <c r="RAL3788" s="179"/>
      <c r="RAM3788" s="179"/>
      <c r="RAN3788" s="179"/>
      <c r="RAO3788" s="179"/>
      <c r="RAP3788" s="179"/>
      <c r="RAQ3788" s="179"/>
      <c r="RAR3788" s="179"/>
      <c r="RAS3788" s="179"/>
      <c r="RAT3788" s="179"/>
      <c r="RAU3788" s="179"/>
      <c r="RAV3788" s="179"/>
      <c r="RAW3788" s="179"/>
      <c r="RAX3788" s="179"/>
      <c r="RAY3788" s="179"/>
      <c r="RAZ3788" s="179"/>
      <c r="RBA3788" s="179"/>
      <c r="RBB3788" s="179"/>
      <c r="RBC3788" s="179"/>
      <c r="RBD3788" s="179"/>
      <c r="RBE3788" s="179"/>
      <c r="RBF3788" s="179"/>
      <c r="RBG3788" s="179"/>
      <c r="RBH3788" s="179"/>
      <c r="RBI3788" s="179"/>
      <c r="RBJ3788" s="179"/>
      <c r="RBK3788" s="179"/>
      <c r="RBL3788" s="179"/>
      <c r="RBM3788" s="179"/>
      <c r="RBN3788" s="179"/>
      <c r="RBO3788" s="179"/>
      <c r="RBP3788" s="179"/>
      <c r="RBQ3788" s="179"/>
      <c r="RBR3788" s="179"/>
      <c r="RBS3788" s="179"/>
      <c r="RBT3788" s="179"/>
      <c r="RBU3788" s="179"/>
      <c r="RBV3788" s="179"/>
      <c r="RBW3788" s="179"/>
      <c r="RBX3788" s="179"/>
      <c r="RBY3788" s="179"/>
      <c r="RBZ3788" s="179"/>
      <c r="RCA3788" s="179"/>
      <c r="RCB3788" s="179"/>
      <c r="RCC3788" s="179"/>
      <c r="RCD3788" s="179"/>
      <c r="RCE3788" s="179"/>
      <c r="RCF3788" s="179"/>
      <c r="RCG3788" s="179"/>
      <c r="RCH3788" s="179"/>
      <c r="RCI3788" s="179"/>
      <c r="RCJ3788" s="179"/>
      <c r="RCK3788" s="179"/>
      <c r="RCL3788" s="179"/>
      <c r="RCM3788" s="179"/>
      <c r="RCN3788" s="179"/>
      <c r="RCO3788" s="179"/>
      <c r="RCP3788" s="179"/>
      <c r="RCQ3788" s="179"/>
      <c r="RCR3788" s="179"/>
      <c r="RCS3788" s="179"/>
      <c r="RCT3788" s="179"/>
      <c r="RCU3788" s="179"/>
      <c r="RCV3788" s="179"/>
      <c r="RCW3788" s="179"/>
      <c r="RCX3788" s="179"/>
      <c r="RCY3788" s="179"/>
      <c r="RCZ3788" s="179"/>
      <c r="RDA3788" s="179"/>
      <c r="RDB3788" s="179"/>
      <c r="RDC3788" s="179"/>
      <c r="RDD3788" s="179"/>
      <c r="RDE3788" s="179"/>
      <c r="RDF3788" s="179"/>
      <c r="RDG3788" s="179"/>
      <c r="RDH3788" s="179"/>
      <c r="RDI3788" s="179"/>
      <c r="RDJ3788" s="179"/>
      <c r="RDK3788" s="179"/>
      <c r="RDL3788" s="179"/>
      <c r="RDM3788" s="179"/>
      <c r="RDN3788" s="179"/>
      <c r="RDO3788" s="179"/>
      <c r="RDP3788" s="179"/>
      <c r="RDQ3788" s="179"/>
      <c r="RDR3788" s="179"/>
      <c r="RDS3788" s="179"/>
      <c r="RDT3788" s="179"/>
      <c r="RDU3788" s="179"/>
      <c r="RDV3788" s="179"/>
      <c r="RDW3788" s="179"/>
      <c r="RDX3788" s="179"/>
      <c r="RDY3788" s="179"/>
      <c r="RDZ3788" s="179"/>
      <c r="REA3788" s="179"/>
      <c r="REB3788" s="179"/>
      <c r="REC3788" s="179"/>
      <c r="RED3788" s="179"/>
      <c r="REE3788" s="179"/>
      <c r="REF3788" s="179"/>
      <c r="REG3788" s="179"/>
      <c r="REH3788" s="179"/>
      <c r="REI3788" s="179"/>
      <c r="REJ3788" s="179"/>
      <c r="REK3788" s="179"/>
      <c r="REL3788" s="179"/>
      <c r="REM3788" s="179"/>
      <c r="REN3788" s="179"/>
      <c r="REO3788" s="179"/>
      <c r="REP3788" s="179"/>
      <c r="REQ3788" s="179"/>
      <c r="RER3788" s="179"/>
      <c r="RES3788" s="179"/>
      <c r="RET3788" s="179"/>
      <c r="REU3788" s="179"/>
      <c r="REV3788" s="179"/>
      <c r="REW3788" s="179"/>
      <c r="REX3788" s="179"/>
      <c r="REY3788" s="179"/>
      <c r="REZ3788" s="179"/>
      <c r="RFA3788" s="179"/>
      <c r="RFB3788" s="179"/>
      <c r="RFC3788" s="179"/>
      <c r="RFD3788" s="179"/>
      <c r="RFE3788" s="179"/>
      <c r="RFF3788" s="179"/>
      <c r="RFG3788" s="179"/>
      <c r="RFH3788" s="179"/>
      <c r="RFI3788" s="179"/>
      <c r="RFJ3788" s="179"/>
      <c r="RFK3788" s="179"/>
      <c r="RFL3788" s="179"/>
      <c r="RFM3788" s="179"/>
      <c r="RFN3788" s="179"/>
      <c r="RFO3788" s="179"/>
      <c r="RFP3788" s="179"/>
      <c r="RFQ3788" s="179"/>
      <c r="RFR3788" s="179"/>
      <c r="RFS3788" s="179"/>
      <c r="RFT3788" s="179"/>
      <c r="RFU3788" s="179"/>
      <c r="RFV3788" s="179"/>
      <c r="RFW3788" s="179"/>
      <c r="RFX3788" s="179"/>
      <c r="RFY3788" s="179"/>
      <c r="RFZ3788" s="179"/>
      <c r="RGA3788" s="179"/>
      <c r="RGB3788" s="179"/>
      <c r="RGC3788" s="179"/>
      <c r="RGD3788" s="179"/>
      <c r="RGE3788" s="179"/>
      <c r="RGF3788" s="179"/>
      <c r="RGG3788" s="179"/>
      <c r="RGH3788" s="179"/>
      <c r="RGI3788" s="179"/>
      <c r="RGJ3788" s="179"/>
      <c r="RGK3788" s="179"/>
      <c r="RGL3788" s="179"/>
      <c r="RGM3788" s="179"/>
      <c r="RGN3788" s="179"/>
      <c r="RGO3788" s="179"/>
      <c r="RGP3788" s="179"/>
      <c r="RGQ3788" s="179"/>
      <c r="RGR3788" s="179"/>
      <c r="RGS3788" s="179"/>
      <c r="RGT3788" s="179"/>
      <c r="RGU3788" s="179"/>
      <c r="RGV3788" s="179"/>
      <c r="RGW3788" s="179"/>
      <c r="RGX3788" s="179"/>
      <c r="RGY3788" s="179"/>
      <c r="RGZ3788" s="179"/>
      <c r="RHA3788" s="179"/>
      <c r="RHB3788" s="179"/>
      <c r="RHC3788" s="179"/>
      <c r="RHD3788" s="179"/>
      <c r="RHE3788" s="179"/>
      <c r="RHF3788" s="179"/>
      <c r="RHG3788" s="179"/>
      <c r="RHH3788" s="179"/>
      <c r="RHI3788" s="179"/>
      <c r="RHJ3788" s="179"/>
      <c r="RHK3788" s="179"/>
      <c r="RHL3788" s="179"/>
      <c r="RHM3788" s="179"/>
      <c r="RHN3788" s="179"/>
      <c r="RHO3788" s="179"/>
      <c r="RHP3788" s="179"/>
      <c r="RHQ3788" s="179"/>
      <c r="RHR3788" s="179"/>
      <c r="RHS3788" s="179"/>
      <c r="RHT3788" s="179"/>
      <c r="RHU3788" s="179"/>
      <c r="RHV3788" s="179"/>
      <c r="RHW3788" s="179"/>
      <c r="RHX3788" s="179"/>
      <c r="RHY3788" s="179"/>
      <c r="RHZ3788" s="179"/>
      <c r="RIA3788" s="179"/>
      <c r="RIB3788" s="179"/>
      <c r="RIC3788" s="179"/>
      <c r="RID3788" s="179"/>
      <c r="RIE3788" s="179"/>
      <c r="RIF3788" s="179"/>
      <c r="RIG3788" s="179"/>
      <c r="RIH3788" s="179"/>
      <c r="RII3788" s="179"/>
      <c r="RIJ3788" s="179"/>
      <c r="RIK3788" s="179"/>
      <c r="RIL3788" s="179"/>
      <c r="RIM3788" s="179"/>
      <c r="RIN3788" s="179"/>
      <c r="RIO3788" s="179"/>
      <c r="RIP3788" s="179"/>
      <c r="RIQ3788" s="179"/>
      <c r="RIR3788" s="179"/>
      <c r="RIS3788" s="179"/>
      <c r="RIT3788" s="179"/>
      <c r="RIU3788" s="179"/>
      <c r="RIV3788" s="179"/>
      <c r="RIW3788" s="179"/>
      <c r="RIX3788" s="179"/>
      <c r="RIY3788" s="179"/>
      <c r="RIZ3788" s="179"/>
      <c r="RJA3788" s="179"/>
      <c r="RJB3788" s="179"/>
      <c r="RJC3788" s="179"/>
      <c r="RJD3788" s="179"/>
      <c r="RJE3788" s="179"/>
      <c r="RJF3788" s="179"/>
      <c r="RJG3788" s="179"/>
      <c r="RJH3788" s="179"/>
      <c r="RJI3788" s="179"/>
      <c r="RJJ3788" s="179"/>
      <c r="RJK3788" s="179"/>
      <c r="RJL3788" s="179"/>
      <c r="RJM3788" s="179"/>
      <c r="RJN3788" s="179"/>
      <c r="RJO3788" s="179"/>
      <c r="RJP3788" s="179"/>
      <c r="RJQ3788" s="179"/>
      <c r="RJR3788" s="179"/>
      <c r="RJS3788" s="179"/>
      <c r="RJT3788" s="179"/>
      <c r="RJU3788" s="179"/>
      <c r="RJV3788" s="179"/>
      <c r="RJW3788" s="179"/>
      <c r="RJX3788" s="179"/>
      <c r="RJY3788" s="179"/>
      <c r="RJZ3788" s="179"/>
      <c r="RKA3788" s="179"/>
      <c r="RKB3788" s="179"/>
      <c r="RKC3788" s="179"/>
      <c r="RKD3788" s="179"/>
      <c r="RKE3788" s="179"/>
      <c r="RKF3788" s="179"/>
      <c r="RKG3788" s="179"/>
      <c r="RKH3788" s="179"/>
      <c r="RKI3788" s="179"/>
      <c r="RKJ3788" s="179"/>
      <c r="RKK3788" s="179"/>
      <c r="RKL3788" s="179"/>
      <c r="RKM3788" s="179"/>
      <c r="RKN3788" s="179"/>
      <c r="RKO3788" s="179"/>
      <c r="RKP3788" s="179"/>
      <c r="RKQ3788" s="179"/>
      <c r="RKR3788" s="179"/>
      <c r="RKS3788" s="179"/>
      <c r="RKT3788" s="179"/>
      <c r="RKU3788" s="179"/>
      <c r="RKV3788" s="179"/>
      <c r="RKW3788" s="179"/>
      <c r="RKX3788" s="179"/>
      <c r="RKY3788" s="179"/>
      <c r="RKZ3788" s="179"/>
      <c r="RLA3788" s="179"/>
      <c r="RLB3788" s="179"/>
      <c r="RLC3788" s="179"/>
      <c r="RLD3788" s="179"/>
      <c r="RLE3788" s="179"/>
      <c r="RLF3788" s="179"/>
      <c r="RLG3788" s="179"/>
      <c r="RLH3788" s="179"/>
      <c r="RLI3788" s="179"/>
      <c r="RLJ3788" s="179"/>
      <c r="RLK3788" s="179"/>
      <c r="RLL3788" s="179"/>
      <c r="RLM3788" s="179"/>
      <c r="RLN3788" s="179"/>
      <c r="RLO3788" s="179"/>
      <c r="RLP3788" s="179"/>
      <c r="RLQ3788" s="179"/>
      <c r="RLR3788" s="179"/>
      <c r="RLS3788" s="179"/>
      <c r="RLT3788" s="179"/>
      <c r="RLU3788" s="179"/>
      <c r="RLV3788" s="179"/>
      <c r="RLW3788" s="179"/>
      <c r="RLX3788" s="179"/>
      <c r="RLY3788" s="179"/>
      <c r="RLZ3788" s="179"/>
      <c r="RMA3788" s="179"/>
      <c r="RMB3788" s="179"/>
      <c r="RMC3788" s="179"/>
      <c r="RMD3788" s="179"/>
      <c r="RME3788" s="179"/>
      <c r="RMF3788" s="179"/>
      <c r="RMG3788" s="179"/>
      <c r="RMH3788" s="179"/>
      <c r="RMI3788" s="179"/>
      <c r="RMJ3788" s="179"/>
      <c r="RMK3788" s="179"/>
      <c r="RML3788" s="179"/>
      <c r="RMM3788" s="179"/>
      <c r="RMN3788" s="179"/>
      <c r="RMO3788" s="179"/>
      <c r="RMP3788" s="179"/>
      <c r="RMQ3788" s="179"/>
      <c r="RMR3788" s="179"/>
      <c r="RMS3788" s="179"/>
      <c r="RMT3788" s="179"/>
      <c r="RMU3788" s="179"/>
      <c r="RMV3788" s="179"/>
      <c r="RMW3788" s="179"/>
      <c r="RMX3788" s="179"/>
      <c r="RMY3788" s="179"/>
      <c r="RMZ3788" s="179"/>
      <c r="RNA3788" s="179"/>
      <c r="RNB3788" s="179"/>
      <c r="RNC3788" s="179"/>
      <c r="RND3788" s="179"/>
      <c r="RNE3788" s="179"/>
      <c r="RNF3788" s="179"/>
      <c r="RNG3788" s="179"/>
      <c r="RNH3788" s="179"/>
      <c r="RNI3788" s="179"/>
      <c r="RNJ3788" s="179"/>
      <c r="RNK3788" s="179"/>
      <c r="RNL3788" s="179"/>
      <c r="RNM3788" s="179"/>
      <c r="RNN3788" s="179"/>
      <c r="RNO3788" s="179"/>
      <c r="RNP3788" s="179"/>
      <c r="RNQ3788" s="179"/>
      <c r="RNR3788" s="179"/>
      <c r="RNS3788" s="179"/>
      <c r="RNT3788" s="179"/>
      <c r="RNU3788" s="179"/>
      <c r="RNV3788" s="179"/>
      <c r="RNW3788" s="179"/>
      <c r="RNX3788" s="179"/>
      <c r="RNY3788" s="179"/>
      <c r="RNZ3788" s="179"/>
      <c r="ROA3788" s="179"/>
      <c r="ROB3788" s="179"/>
      <c r="ROC3788" s="179"/>
      <c r="ROD3788" s="179"/>
      <c r="ROE3788" s="179"/>
      <c r="ROF3788" s="179"/>
      <c r="ROG3788" s="179"/>
      <c r="ROH3788" s="179"/>
      <c r="ROI3788" s="179"/>
      <c r="ROJ3788" s="179"/>
      <c r="ROK3788" s="179"/>
      <c r="ROL3788" s="179"/>
      <c r="ROM3788" s="179"/>
      <c r="RON3788" s="179"/>
      <c r="ROO3788" s="179"/>
      <c r="ROP3788" s="179"/>
      <c r="ROQ3788" s="179"/>
      <c r="ROR3788" s="179"/>
      <c r="ROS3788" s="179"/>
      <c r="ROT3788" s="179"/>
      <c r="ROU3788" s="179"/>
      <c r="ROV3788" s="179"/>
      <c r="ROW3788" s="179"/>
      <c r="ROX3788" s="179"/>
      <c r="ROY3788" s="179"/>
      <c r="ROZ3788" s="179"/>
      <c r="RPA3788" s="179"/>
      <c r="RPB3788" s="179"/>
      <c r="RPC3788" s="179"/>
      <c r="RPD3788" s="179"/>
      <c r="RPE3788" s="179"/>
      <c r="RPF3788" s="179"/>
      <c r="RPG3788" s="179"/>
      <c r="RPH3788" s="179"/>
      <c r="RPI3788" s="179"/>
      <c r="RPJ3788" s="179"/>
      <c r="RPK3788" s="179"/>
      <c r="RPL3788" s="179"/>
      <c r="RPM3788" s="179"/>
      <c r="RPN3788" s="179"/>
      <c r="RPO3788" s="179"/>
      <c r="RPP3788" s="179"/>
      <c r="RPQ3788" s="179"/>
      <c r="RPR3788" s="179"/>
      <c r="RPS3788" s="179"/>
      <c r="RPT3788" s="179"/>
      <c r="RPU3788" s="179"/>
      <c r="RPV3788" s="179"/>
      <c r="RPW3788" s="179"/>
      <c r="RPX3788" s="179"/>
      <c r="RPY3788" s="179"/>
      <c r="RPZ3788" s="179"/>
      <c r="RQA3788" s="179"/>
      <c r="RQB3788" s="179"/>
      <c r="RQC3788" s="179"/>
      <c r="RQD3788" s="179"/>
      <c r="RQE3788" s="179"/>
      <c r="RQF3788" s="179"/>
      <c r="RQG3788" s="179"/>
      <c r="RQH3788" s="179"/>
      <c r="RQI3788" s="179"/>
      <c r="RQJ3788" s="179"/>
      <c r="RQK3788" s="179"/>
      <c r="RQL3788" s="179"/>
      <c r="RQM3788" s="179"/>
      <c r="RQN3788" s="179"/>
      <c r="RQO3788" s="179"/>
      <c r="RQP3788" s="179"/>
      <c r="RQQ3788" s="179"/>
      <c r="RQR3788" s="179"/>
      <c r="RQS3788" s="179"/>
      <c r="RQT3788" s="179"/>
      <c r="RQU3788" s="179"/>
      <c r="RQV3788" s="179"/>
      <c r="RQW3788" s="179"/>
      <c r="RQX3788" s="179"/>
      <c r="RQY3788" s="179"/>
      <c r="RQZ3788" s="179"/>
      <c r="RRA3788" s="179"/>
      <c r="RRB3788" s="179"/>
      <c r="RRC3788" s="179"/>
      <c r="RRD3788" s="179"/>
      <c r="RRE3788" s="179"/>
      <c r="RRF3788" s="179"/>
      <c r="RRG3788" s="179"/>
      <c r="RRH3788" s="179"/>
      <c r="RRI3788" s="179"/>
      <c r="RRJ3788" s="179"/>
      <c r="RRK3788" s="179"/>
      <c r="RRL3788" s="179"/>
      <c r="RRM3788" s="179"/>
      <c r="RRN3788" s="179"/>
      <c r="RRO3788" s="179"/>
      <c r="RRP3788" s="179"/>
      <c r="RRQ3788" s="179"/>
      <c r="RRR3788" s="179"/>
      <c r="RRS3788" s="179"/>
      <c r="RRT3788" s="179"/>
      <c r="RRU3788" s="179"/>
      <c r="RRV3788" s="179"/>
      <c r="RRW3788" s="179"/>
      <c r="RRX3788" s="179"/>
      <c r="RRY3788" s="179"/>
      <c r="RRZ3788" s="179"/>
      <c r="RSA3788" s="179"/>
      <c r="RSB3788" s="179"/>
      <c r="RSC3788" s="179"/>
      <c r="RSD3788" s="179"/>
      <c r="RSE3788" s="179"/>
      <c r="RSF3788" s="179"/>
      <c r="RSG3788" s="179"/>
      <c r="RSH3788" s="179"/>
      <c r="RSI3788" s="179"/>
      <c r="RSJ3788" s="179"/>
      <c r="RSK3788" s="179"/>
      <c r="RSL3788" s="179"/>
      <c r="RSM3788" s="179"/>
      <c r="RSN3788" s="179"/>
      <c r="RSO3788" s="179"/>
      <c r="RSP3788" s="179"/>
      <c r="RSQ3788" s="179"/>
      <c r="RSR3788" s="179"/>
      <c r="RSS3788" s="179"/>
      <c r="RST3788" s="179"/>
      <c r="RSU3788" s="179"/>
      <c r="RSV3788" s="179"/>
      <c r="RSW3788" s="179"/>
      <c r="RSX3788" s="179"/>
      <c r="RSY3788" s="179"/>
      <c r="RSZ3788" s="179"/>
      <c r="RTA3788" s="179"/>
      <c r="RTB3788" s="179"/>
      <c r="RTC3788" s="179"/>
      <c r="RTD3788" s="179"/>
      <c r="RTE3788" s="179"/>
      <c r="RTF3788" s="179"/>
      <c r="RTG3788" s="179"/>
      <c r="RTH3788" s="179"/>
      <c r="RTI3788" s="179"/>
      <c r="RTJ3788" s="179"/>
      <c r="RTK3788" s="179"/>
      <c r="RTL3788" s="179"/>
      <c r="RTM3788" s="179"/>
      <c r="RTN3788" s="179"/>
      <c r="RTO3788" s="179"/>
      <c r="RTP3788" s="179"/>
      <c r="RTQ3788" s="179"/>
      <c r="RTR3788" s="179"/>
      <c r="RTS3788" s="179"/>
      <c r="RTT3788" s="179"/>
      <c r="RTU3788" s="179"/>
      <c r="RTV3788" s="179"/>
      <c r="RTW3788" s="179"/>
      <c r="RTX3788" s="179"/>
      <c r="RTY3788" s="179"/>
      <c r="RTZ3788" s="179"/>
      <c r="RUA3788" s="179"/>
      <c r="RUB3788" s="179"/>
      <c r="RUC3788" s="179"/>
      <c r="RUD3788" s="179"/>
      <c r="RUE3788" s="179"/>
      <c r="RUF3788" s="179"/>
      <c r="RUG3788" s="179"/>
      <c r="RUH3788" s="179"/>
      <c r="RUI3788" s="179"/>
      <c r="RUJ3788" s="179"/>
      <c r="RUK3788" s="179"/>
      <c r="RUL3788" s="179"/>
      <c r="RUM3788" s="179"/>
      <c r="RUN3788" s="179"/>
      <c r="RUO3788" s="179"/>
      <c r="RUP3788" s="179"/>
      <c r="RUQ3788" s="179"/>
      <c r="RUR3788" s="179"/>
      <c r="RUS3788" s="179"/>
      <c r="RUT3788" s="179"/>
      <c r="RUU3788" s="179"/>
      <c r="RUV3788" s="179"/>
      <c r="RUW3788" s="179"/>
      <c r="RUX3788" s="179"/>
      <c r="RUY3788" s="179"/>
      <c r="RUZ3788" s="179"/>
      <c r="RVA3788" s="179"/>
      <c r="RVB3788" s="179"/>
      <c r="RVC3788" s="179"/>
      <c r="RVD3788" s="179"/>
      <c r="RVE3788" s="179"/>
      <c r="RVF3788" s="179"/>
      <c r="RVG3788" s="179"/>
      <c r="RVH3788" s="179"/>
      <c r="RVI3788" s="179"/>
      <c r="RVJ3788" s="179"/>
      <c r="RVK3788" s="179"/>
      <c r="RVL3788" s="179"/>
      <c r="RVM3788" s="179"/>
      <c r="RVN3788" s="179"/>
      <c r="RVO3788" s="179"/>
      <c r="RVP3788" s="179"/>
      <c r="RVQ3788" s="179"/>
      <c r="RVR3788" s="179"/>
      <c r="RVS3788" s="179"/>
      <c r="RVT3788" s="179"/>
      <c r="RVU3788" s="179"/>
      <c r="RVV3788" s="179"/>
      <c r="RVW3788" s="179"/>
      <c r="RVX3788" s="179"/>
      <c r="RVY3788" s="179"/>
      <c r="RVZ3788" s="179"/>
      <c r="RWA3788" s="179"/>
      <c r="RWB3788" s="179"/>
      <c r="RWC3788" s="179"/>
      <c r="RWD3788" s="179"/>
      <c r="RWE3788" s="179"/>
      <c r="RWF3788" s="179"/>
      <c r="RWG3788" s="179"/>
      <c r="RWH3788" s="179"/>
      <c r="RWI3788" s="179"/>
      <c r="RWJ3788" s="179"/>
      <c r="RWK3788" s="179"/>
      <c r="RWL3788" s="179"/>
      <c r="RWM3788" s="179"/>
      <c r="RWN3788" s="179"/>
      <c r="RWO3788" s="179"/>
      <c r="RWP3788" s="179"/>
      <c r="RWQ3788" s="179"/>
      <c r="RWR3788" s="179"/>
      <c r="RWS3788" s="179"/>
      <c r="RWT3788" s="179"/>
      <c r="RWU3788" s="179"/>
      <c r="RWV3788" s="179"/>
      <c r="RWW3788" s="179"/>
      <c r="RWX3788" s="179"/>
      <c r="RWY3788" s="179"/>
      <c r="RWZ3788" s="179"/>
      <c r="RXA3788" s="179"/>
      <c r="RXB3788" s="179"/>
      <c r="RXC3788" s="179"/>
      <c r="RXD3788" s="179"/>
      <c r="RXE3788" s="179"/>
      <c r="RXF3788" s="179"/>
      <c r="RXG3788" s="179"/>
      <c r="RXH3788" s="179"/>
      <c r="RXI3788" s="179"/>
      <c r="RXJ3788" s="179"/>
      <c r="RXK3788" s="179"/>
      <c r="RXL3788" s="179"/>
      <c r="RXM3788" s="179"/>
      <c r="RXN3788" s="179"/>
      <c r="RXO3788" s="179"/>
      <c r="RXP3788" s="179"/>
      <c r="RXQ3788" s="179"/>
      <c r="RXR3788" s="179"/>
      <c r="RXS3788" s="179"/>
      <c r="RXT3788" s="179"/>
      <c r="RXU3788" s="179"/>
      <c r="RXV3788" s="179"/>
      <c r="RXW3788" s="179"/>
      <c r="RXX3788" s="179"/>
      <c r="RXY3788" s="179"/>
      <c r="RXZ3788" s="179"/>
      <c r="RYA3788" s="179"/>
      <c r="RYB3788" s="179"/>
      <c r="RYC3788" s="179"/>
      <c r="RYD3788" s="179"/>
      <c r="RYE3788" s="179"/>
      <c r="RYF3788" s="179"/>
      <c r="RYG3788" s="179"/>
      <c r="RYH3788" s="179"/>
      <c r="RYI3788" s="179"/>
      <c r="RYJ3788" s="179"/>
      <c r="RYK3788" s="179"/>
      <c r="RYL3788" s="179"/>
      <c r="RYM3788" s="179"/>
      <c r="RYN3788" s="179"/>
      <c r="RYO3788" s="179"/>
      <c r="RYP3788" s="179"/>
      <c r="RYQ3788" s="179"/>
      <c r="RYR3788" s="179"/>
      <c r="RYS3788" s="179"/>
      <c r="RYT3788" s="179"/>
      <c r="RYU3788" s="179"/>
      <c r="RYV3788" s="179"/>
      <c r="RYW3788" s="179"/>
      <c r="RYX3788" s="179"/>
      <c r="RYY3788" s="179"/>
      <c r="RYZ3788" s="179"/>
      <c r="RZA3788" s="179"/>
      <c r="RZB3788" s="179"/>
      <c r="RZC3788" s="179"/>
      <c r="RZD3788" s="179"/>
      <c r="RZE3788" s="179"/>
      <c r="RZF3788" s="179"/>
      <c r="RZG3788" s="179"/>
      <c r="RZH3788" s="179"/>
      <c r="RZI3788" s="179"/>
      <c r="RZJ3788" s="179"/>
      <c r="RZK3788" s="179"/>
      <c r="RZL3788" s="179"/>
      <c r="RZM3788" s="179"/>
      <c r="RZN3788" s="179"/>
      <c r="RZO3788" s="179"/>
      <c r="RZP3788" s="179"/>
      <c r="RZQ3788" s="179"/>
      <c r="RZR3788" s="179"/>
      <c r="RZS3788" s="179"/>
      <c r="RZT3788" s="179"/>
      <c r="RZU3788" s="179"/>
      <c r="RZV3788" s="179"/>
      <c r="RZW3788" s="179"/>
      <c r="RZX3788" s="179"/>
      <c r="RZY3788" s="179"/>
      <c r="RZZ3788" s="179"/>
      <c r="SAA3788" s="179"/>
      <c r="SAB3788" s="179"/>
      <c r="SAC3788" s="179"/>
      <c r="SAD3788" s="179"/>
      <c r="SAE3788" s="179"/>
      <c r="SAF3788" s="179"/>
      <c r="SAG3788" s="179"/>
      <c r="SAH3788" s="179"/>
      <c r="SAI3788" s="179"/>
      <c r="SAJ3788" s="179"/>
      <c r="SAK3788" s="179"/>
      <c r="SAL3788" s="179"/>
      <c r="SAM3788" s="179"/>
      <c r="SAN3788" s="179"/>
      <c r="SAO3788" s="179"/>
      <c r="SAP3788" s="179"/>
      <c r="SAQ3788" s="179"/>
      <c r="SAR3788" s="179"/>
      <c r="SAS3788" s="179"/>
      <c r="SAT3788" s="179"/>
      <c r="SAU3788" s="179"/>
      <c r="SAV3788" s="179"/>
      <c r="SAW3788" s="179"/>
      <c r="SAX3788" s="179"/>
      <c r="SAY3788" s="179"/>
      <c r="SAZ3788" s="179"/>
      <c r="SBA3788" s="179"/>
      <c r="SBB3788" s="179"/>
      <c r="SBC3788" s="179"/>
      <c r="SBD3788" s="179"/>
      <c r="SBE3788" s="179"/>
      <c r="SBF3788" s="179"/>
      <c r="SBG3788" s="179"/>
      <c r="SBH3788" s="179"/>
      <c r="SBI3788" s="179"/>
      <c r="SBJ3788" s="179"/>
      <c r="SBK3788" s="179"/>
      <c r="SBL3788" s="179"/>
      <c r="SBM3788" s="179"/>
      <c r="SBN3788" s="179"/>
      <c r="SBO3788" s="179"/>
      <c r="SBP3788" s="179"/>
      <c r="SBQ3788" s="179"/>
      <c r="SBR3788" s="179"/>
      <c r="SBS3788" s="179"/>
      <c r="SBT3788" s="179"/>
      <c r="SBU3788" s="179"/>
      <c r="SBV3788" s="179"/>
      <c r="SBW3788" s="179"/>
      <c r="SBX3788" s="179"/>
      <c r="SBY3788" s="179"/>
      <c r="SBZ3788" s="179"/>
      <c r="SCA3788" s="179"/>
      <c r="SCB3788" s="179"/>
      <c r="SCC3788" s="179"/>
      <c r="SCD3788" s="179"/>
      <c r="SCE3788" s="179"/>
      <c r="SCF3788" s="179"/>
      <c r="SCG3788" s="179"/>
      <c r="SCH3788" s="179"/>
      <c r="SCI3788" s="179"/>
      <c r="SCJ3788" s="179"/>
      <c r="SCK3788" s="179"/>
      <c r="SCL3788" s="179"/>
      <c r="SCM3788" s="179"/>
      <c r="SCN3788" s="179"/>
      <c r="SCO3788" s="179"/>
      <c r="SCP3788" s="179"/>
      <c r="SCQ3788" s="179"/>
      <c r="SCR3788" s="179"/>
      <c r="SCS3788" s="179"/>
      <c r="SCT3788" s="179"/>
      <c r="SCU3788" s="179"/>
      <c r="SCV3788" s="179"/>
      <c r="SCW3788" s="179"/>
      <c r="SCX3788" s="179"/>
      <c r="SCY3788" s="179"/>
      <c r="SCZ3788" s="179"/>
      <c r="SDA3788" s="179"/>
      <c r="SDB3788" s="179"/>
      <c r="SDC3788" s="179"/>
      <c r="SDD3788" s="179"/>
      <c r="SDE3788" s="179"/>
      <c r="SDF3788" s="179"/>
      <c r="SDG3788" s="179"/>
      <c r="SDH3788" s="179"/>
      <c r="SDI3788" s="179"/>
      <c r="SDJ3788" s="179"/>
      <c r="SDK3788" s="179"/>
      <c r="SDL3788" s="179"/>
      <c r="SDM3788" s="179"/>
      <c r="SDN3788" s="179"/>
      <c r="SDO3788" s="179"/>
      <c r="SDP3788" s="179"/>
      <c r="SDQ3788" s="179"/>
      <c r="SDR3788" s="179"/>
      <c r="SDS3788" s="179"/>
      <c r="SDT3788" s="179"/>
      <c r="SDU3788" s="179"/>
      <c r="SDV3788" s="179"/>
      <c r="SDW3788" s="179"/>
      <c r="SDX3788" s="179"/>
      <c r="SDY3788" s="179"/>
      <c r="SDZ3788" s="179"/>
      <c r="SEA3788" s="179"/>
      <c r="SEB3788" s="179"/>
      <c r="SEC3788" s="179"/>
      <c r="SED3788" s="179"/>
      <c r="SEE3788" s="179"/>
      <c r="SEF3788" s="179"/>
      <c r="SEG3788" s="179"/>
      <c r="SEH3788" s="179"/>
      <c r="SEI3788" s="179"/>
      <c r="SEJ3788" s="179"/>
      <c r="SEK3788" s="179"/>
      <c r="SEL3788" s="179"/>
      <c r="SEM3788" s="179"/>
      <c r="SEN3788" s="179"/>
      <c r="SEO3788" s="179"/>
      <c r="SEP3788" s="179"/>
      <c r="SEQ3788" s="179"/>
      <c r="SER3788" s="179"/>
      <c r="SES3788" s="179"/>
      <c r="SET3788" s="179"/>
      <c r="SEU3788" s="179"/>
      <c r="SEV3788" s="179"/>
      <c r="SEW3788" s="179"/>
      <c r="SEX3788" s="179"/>
      <c r="SEY3788" s="179"/>
      <c r="SEZ3788" s="179"/>
      <c r="SFA3788" s="179"/>
      <c r="SFB3788" s="179"/>
      <c r="SFC3788" s="179"/>
      <c r="SFD3788" s="179"/>
      <c r="SFE3788" s="179"/>
      <c r="SFF3788" s="179"/>
      <c r="SFG3788" s="179"/>
      <c r="SFH3788" s="179"/>
      <c r="SFI3788" s="179"/>
      <c r="SFJ3788" s="179"/>
      <c r="SFK3788" s="179"/>
      <c r="SFL3788" s="179"/>
      <c r="SFM3788" s="179"/>
      <c r="SFN3788" s="179"/>
      <c r="SFO3788" s="179"/>
      <c r="SFP3788" s="179"/>
      <c r="SFQ3788" s="179"/>
      <c r="SFR3788" s="179"/>
      <c r="SFS3788" s="179"/>
      <c r="SFT3788" s="179"/>
      <c r="SFU3788" s="179"/>
      <c r="SFV3788" s="179"/>
      <c r="SFW3788" s="179"/>
      <c r="SFX3788" s="179"/>
      <c r="SFY3788" s="179"/>
      <c r="SFZ3788" s="179"/>
      <c r="SGA3788" s="179"/>
      <c r="SGB3788" s="179"/>
      <c r="SGC3788" s="179"/>
      <c r="SGD3788" s="179"/>
      <c r="SGE3788" s="179"/>
      <c r="SGF3788" s="179"/>
      <c r="SGG3788" s="179"/>
      <c r="SGH3788" s="179"/>
      <c r="SGI3788" s="179"/>
      <c r="SGJ3788" s="179"/>
      <c r="SGK3788" s="179"/>
      <c r="SGL3788" s="179"/>
      <c r="SGM3788" s="179"/>
      <c r="SGN3788" s="179"/>
      <c r="SGO3788" s="179"/>
      <c r="SGP3788" s="179"/>
      <c r="SGQ3788" s="179"/>
      <c r="SGR3788" s="179"/>
      <c r="SGS3788" s="179"/>
      <c r="SGT3788" s="179"/>
      <c r="SGU3788" s="179"/>
      <c r="SGV3788" s="179"/>
      <c r="SGW3788" s="179"/>
      <c r="SGX3788" s="179"/>
      <c r="SGY3788" s="179"/>
      <c r="SGZ3788" s="179"/>
      <c r="SHA3788" s="179"/>
      <c r="SHB3788" s="179"/>
      <c r="SHC3788" s="179"/>
      <c r="SHD3788" s="179"/>
      <c r="SHE3788" s="179"/>
      <c r="SHF3788" s="179"/>
      <c r="SHG3788" s="179"/>
      <c r="SHH3788" s="179"/>
      <c r="SHI3788" s="179"/>
      <c r="SHJ3788" s="179"/>
      <c r="SHK3788" s="179"/>
      <c r="SHL3788" s="179"/>
      <c r="SHM3788" s="179"/>
      <c r="SHN3788" s="179"/>
      <c r="SHO3788" s="179"/>
      <c r="SHP3788" s="179"/>
      <c r="SHQ3788" s="179"/>
      <c r="SHR3788" s="179"/>
      <c r="SHS3788" s="179"/>
      <c r="SHT3788" s="179"/>
      <c r="SHU3788" s="179"/>
      <c r="SHV3788" s="179"/>
      <c r="SHW3788" s="179"/>
      <c r="SHX3788" s="179"/>
      <c r="SHY3788" s="179"/>
      <c r="SHZ3788" s="179"/>
      <c r="SIA3788" s="179"/>
      <c r="SIB3788" s="179"/>
      <c r="SIC3788" s="179"/>
      <c r="SID3788" s="179"/>
      <c r="SIE3788" s="179"/>
      <c r="SIF3788" s="179"/>
      <c r="SIG3788" s="179"/>
      <c r="SIH3788" s="179"/>
      <c r="SII3788" s="179"/>
      <c r="SIJ3788" s="179"/>
      <c r="SIK3788" s="179"/>
      <c r="SIL3788" s="179"/>
      <c r="SIM3788" s="179"/>
      <c r="SIN3788" s="179"/>
      <c r="SIO3788" s="179"/>
      <c r="SIP3788" s="179"/>
      <c r="SIQ3788" s="179"/>
      <c r="SIR3788" s="179"/>
      <c r="SIS3788" s="179"/>
      <c r="SIT3788" s="179"/>
      <c r="SIU3788" s="179"/>
      <c r="SIV3788" s="179"/>
      <c r="SIW3788" s="179"/>
      <c r="SIX3788" s="179"/>
      <c r="SIY3788" s="179"/>
      <c r="SIZ3788" s="179"/>
      <c r="SJA3788" s="179"/>
      <c r="SJB3788" s="179"/>
      <c r="SJC3788" s="179"/>
      <c r="SJD3788" s="179"/>
      <c r="SJE3788" s="179"/>
      <c r="SJF3788" s="179"/>
      <c r="SJG3788" s="179"/>
      <c r="SJH3788" s="179"/>
      <c r="SJI3788" s="179"/>
      <c r="SJJ3788" s="179"/>
      <c r="SJK3788" s="179"/>
      <c r="SJL3788" s="179"/>
      <c r="SJM3788" s="179"/>
      <c r="SJN3788" s="179"/>
      <c r="SJO3788" s="179"/>
      <c r="SJP3788" s="179"/>
      <c r="SJQ3788" s="179"/>
      <c r="SJR3788" s="179"/>
      <c r="SJS3788" s="179"/>
      <c r="SJT3788" s="179"/>
      <c r="SJU3788" s="179"/>
      <c r="SJV3788" s="179"/>
      <c r="SJW3788" s="179"/>
      <c r="SJX3788" s="179"/>
      <c r="SJY3788" s="179"/>
      <c r="SJZ3788" s="179"/>
      <c r="SKA3788" s="179"/>
      <c r="SKB3788" s="179"/>
      <c r="SKC3788" s="179"/>
      <c r="SKD3788" s="179"/>
      <c r="SKE3788" s="179"/>
      <c r="SKF3788" s="179"/>
      <c r="SKG3788" s="179"/>
      <c r="SKH3788" s="179"/>
      <c r="SKI3788" s="179"/>
      <c r="SKJ3788" s="179"/>
      <c r="SKK3788" s="179"/>
      <c r="SKL3788" s="179"/>
      <c r="SKM3788" s="179"/>
      <c r="SKN3788" s="179"/>
      <c r="SKO3788" s="179"/>
      <c r="SKP3788" s="179"/>
      <c r="SKQ3788" s="179"/>
      <c r="SKR3788" s="179"/>
      <c r="SKS3788" s="179"/>
      <c r="SKT3788" s="179"/>
      <c r="SKU3788" s="179"/>
      <c r="SKV3788" s="179"/>
      <c r="SKW3788" s="179"/>
      <c r="SKX3788" s="179"/>
      <c r="SKY3788" s="179"/>
      <c r="SKZ3788" s="179"/>
      <c r="SLA3788" s="179"/>
      <c r="SLB3788" s="179"/>
      <c r="SLC3788" s="179"/>
      <c r="SLD3788" s="179"/>
      <c r="SLE3788" s="179"/>
      <c r="SLF3788" s="179"/>
      <c r="SLG3788" s="179"/>
      <c r="SLH3788" s="179"/>
      <c r="SLI3788" s="179"/>
      <c r="SLJ3788" s="179"/>
      <c r="SLK3788" s="179"/>
      <c r="SLL3788" s="179"/>
      <c r="SLM3788" s="179"/>
      <c r="SLN3788" s="179"/>
      <c r="SLO3788" s="179"/>
      <c r="SLP3788" s="179"/>
      <c r="SLQ3788" s="179"/>
      <c r="SLR3788" s="179"/>
      <c r="SLS3788" s="179"/>
      <c r="SLT3788" s="179"/>
      <c r="SLU3788" s="179"/>
      <c r="SLV3788" s="179"/>
      <c r="SLW3788" s="179"/>
      <c r="SLX3788" s="179"/>
      <c r="SLY3788" s="179"/>
      <c r="SLZ3788" s="179"/>
      <c r="SMA3788" s="179"/>
      <c r="SMB3788" s="179"/>
      <c r="SMC3788" s="179"/>
      <c r="SMD3788" s="179"/>
      <c r="SME3788" s="179"/>
      <c r="SMF3788" s="179"/>
      <c r="SMG3788" s="179"/>
      <c r="SMH3788" s="179"/>
      <c r="SMI3788" s="179"/>
      <c r="SMJ3788" s="179"/>
      <c r="SMK3788" s="179"/>
      <c r="SML3788" s="179"/>
      <c r="SMM3788" s="179"/>
      <c r="SMN3788" s="179"/>
      <c r="SMO3788" s="179"/>
      <c r="SMP3788" s="179"/>
      <c r="SMQ3788" s="179"/>
      <c r="SMR3788" s="179"/>
      <c r="SMS3788" s="179"/>
      <c r="SMT3788" s="179"/>
      <c r="SMU3788" s="179"/>
      <c r="SMV3788" s="179"/>
      <c r="SMW3788" s="179"/>
      <c r="SMX3788" s="179"/>
      <c r="SMY3788" s="179"/>
      <c r="SMZ3788" s="179"/>
      <c r="SNA3788" s="179"/>
      <c r="SNB3788" s="179"/>
      <c r="SNC3788" s="179"/>
      <c r="SND3788" s="179"/>
      <c r="SNE3788" s="179"/>
      <c r="SNF3788" s="179"/>
      <c r="SNG3788" s="179"/>
      <c r="SNH3788" s="179"/>
      <c r="SNI3788" s="179"/>
      <c r="SNJ3788" s="179"/>
      <c r="SNK3788" s="179"/>
      <c r="SNL3788" s="179"/>
      <c r="SNM3788" s="179"/>
      <c r="SNN3788" s="179"/>
      <c r="SNO3788" s="179"/>
      <c r="SNP3788" s="179"/>
      <c r="SNQ3788" s="179"/>
      <c r="SNR3788" s="179"/>
      <c r="SNS3788" s="179"/>
      <c r="SNT3788" s="179"/>
      <c r="SNU3788" s="179"/>
      <c r="SNV3788" s="179"/>
      <c r="SNW3788" s="179"/>
      <c r="SNX3788" s="179"/>
      <c r="SNY3788" s="179"/>
      <c r="SNZ3788" s="179"/>
      <c r="SOA3788" s="179"/>
      <c r="SOB3788" s="179"/>
      <c r="SOC3788" s="179"/>
      <c r="SOD3788" s="179"/>
      <c r="SOE3788" s="179"/>
      <c r="SOF3788" s="179"/>
      <c r="SOG3788" s="179"/>
      <c r="SOH3788" s="179"/>
      <c r="SOI3788" s="179"/>
      <c r="SOJ3788" s="179"/>
      <c r="SOK3788" s="179"/>
      <c r="SOL3788" s="179"/>
      <c r="SOM3788" s="179"/>
      <c r="SON3788" s="179"/>
      <c r="SOO3788" s="179"/>
      <c r="SOP3788" s="179"/>
      <c r="SOQ3788" s="179"/>
      <c r="SOR3788" s="179"/>
      <c r="SOS3788" s="179"/>
      <c r="SOT3788" s="179"/>
      <c r="SOU3788" s="179"/>
      <c r="SOV3788" s="179"/>
      <c r="SOW3788" s="179"/>
      <c r="SOX3788" s="179"/>
      <c r="SOY3788" s="179"/>
      <c r="SOZ3788" s="179"/>
      <c r="SPA3788" s="179"/>
      <c r="SPB3788" s="179"/>
      <c r="SPC3788" s="179"/>
      <c r="SPD3788" s="179"/>
      <c r="SPE3788" s="179"/>
      <c r="SPF3788" s="179"/>
      <c r="SPG3788" s="179"/>
      <c r="SPH3788" s="179"/>
      <c r="SPI3788" s="179"/>
      <c r="SPJ3788" s="179"/>
      <c r="SPK3788" s="179"/>
      <c r="SPL3788" s="179"/>
      <c r="SPM3788" s="179"/>
      <c r="SPN3788" s="179"/>
      <c r="SPO3788" s="179"/>
      <c r="SPP3788" s="179"/>
      <c r="SPQ3788" s="179"/>
      <c r="SPR3788" s="179"/>
      <c r="SPS3788" s="179"/>
      <c r="SPT3788" s="179"/>
      <c r="SPU3788" s="179"/>
      <c r="SPV3788" s="179"/>
      <c r="SPW3788" s="179"/>
      <c r="SPX3788" s="179"/>
      <c r="SPY3788" s="179"/>
      <c r="SPZ3788" s="179"/>
      <c r="SQA3788" s="179"/>
      <c r="SQB3788" s="179"/>
      <c r="SQC3788" s="179"/>
      <c r="SQD3788" s="179"/>
      <c r="SQE3788" s="179"/>
      <c r="SQF3788" s="179"/>
      <c r="SQG3788" s="179"/>
      <c r="SQH3788" s="179"/>
      <c r="SQI3788" s="179"/>
      <c r="SQJ3788" s="179"/>
      <c r="SQK3788" s="179"/>
      <c r="SQL3788" s="179"/>
      <c r="SQM3788" s="179"/>
      <c r="SQN3788" s="179"/>
      <c r="SQO3788" s="179"/>
      <c r="SQP3788" s="179"/>
      <c r="SQQ3788" s="179"/>
      <c r="SQR3788" s="179"/>
      <c r="SQS3788" s="179"/>
      <c r="SQT3788" s="179"/>
      <c r="SQU3788" s="179"/>
      <c r="SQV3788" s="179"/>
      <c r="SQW3788" s="179"/>
      <c r="SQX3788" s="179"/>
      <c r="SQY3788" s="179"/>
      <c r="SQZ3788" s="179"/>
      <c r="SRA3788" s="179"/>
      <c r="SRB3788" s="179"/>
      <c r="SRC3788" s="179"/>
      <c r="SRD3788" s="179"/>
      <c r="SRE3788" s="179"/>
      <c r="SRF3788" s="179"/>
      <c r="SRG3788" s="179"/>
      <c r="SRH3788" s="179"/>
      <c r="SRI3788" s="179"/>
      <c r="SRJ3788" s="179"/>
      <c r="SRK3788" s="179"/>
      <c r="SRL3788" s="179"/>
      <c r="SRM3788" s="179"/>
      <c r="SRN3788" s="179"/>
      <c r="SRO3788" s="179"/>
      <c r="SRP3788" s="179"/>
      <c r="SRQ3788" s="179"/>
      <c r="SRR3788" s="179"/>
      <c r="SRS3788" s="179"/>
      <c r="SRT3788" s="179"/>
      <c r="SRU3788" s="179"/>
      <c r="SRV3788" s="179"/>
      <c r="SRW3788" s="179"/>
      <c r="SRX3788" s="179"/>
      <c r="SRY3788" s="179"/>
      <c r="SRZ3788" s="179"/>
      <c r="SSA3788" s="179"/>
      <c r="SSB3788" s="179"/>
      <c r="SSC3788" s="179"/>
      <c r="SSD3788" s="179"/>
      <c r="SSE3788" s="179"/>
      <c r="SSF3788" s="179"/>
      <c r="SSG3788" s="179"/>
      <c r="SSH3788" s="179"/>
      <c r="SSI3788" s="179"/>
      <c r="SSJ3788" s="179"/>
      <c r="SSK3788" s="179"/>
      <c r="SSL3788" s="179"/>
      <c r="SSM3788" s="179"/>
      <c r="SSN3788" s="179"/>
      <c r="SSO3788" s="179"/>
      <c r="SSP3788" s="179"/>
      <c r="SSQ3788" s="179"/>
      <c r="SSR3788" s="179"/>
      <c r="SSS3788" s="179"/>
      <c r="SST3788" s="179"/>
      <c r="SSU3788" s="179"/>
      <c r="SSV3788" s="179"/>
      <c r="SSW3788" s="179"/>
      <c r="SSX3788" s="179"/>
      <c r="SSY3788" s="179"/>
      <c r="SSZ3788" s="179"/>
      <c r="STA3788" s="179"/>
      <c r="STB3788" s="179"/>
      <c r="STC3788" s="179"/>
      <c r="STD3788" s="179"/>
      <c r="STE3788" s="179"/>
      <c r="STF3788" s="179"/>
      <c r="STG3788" s="179"/>
      <c r="STH3788" s="179"/>
      <c r="STI3788" s="179"/>
      <c r="STJ3788" s="179"/>
      <c r="STK3788" s="179"/>
      <c r="STL3788" s="179"/>
      <c r="STM3788" s="179"/>
      <c r="STN3788" s="179"/>
      <c r="STO3788" s="179"/>
      <c r="STP3788" s="179"/>
      <c r="STQ3788" s="179"/>
      <c r="STR3788" s="179"/>
      <c r="STS3788" s="179"/>
      <c r="STT3788" s="179"/>
      <c r="STU3788" s="179"/>
      <c r="STV3788" s="179"/>
      <c r="STW3788" s="179"/>
      <c r="STX3788" s="179"/>
      <c r="STY3788" s="179"/>
      <c r="STZ3788" s="179"/>
      <c r="SUA3788" s="179"/>
      <c r="SUB3788" s="179"/>
      <c r="SUC3788" s="179"/>
      <c r="SUD3788" s="179"/>
      <c r="SUE3788" s="179"/>
      <c r="SUF3788" s="179"/>
      <c r="SUG3788" s="179"/>
      <c r="SUH3788" s="179"/>
      <c r="SUI3788" s="179"/>
      <c r="SUJ3788" s="179"/>
      <c r="SUK3788" s="179"/>
      <c r="SUL3788" s="179"/>
      <c r="SUM3788" s="179"/>
      <c r="SUN3788" s="179"/>
      <c r="SUO3788" s="179"/>
      <c r="SUP3788" s="179"/>
      <c r="SUQ3788" s="179"/>
      <c r="SUR3788" s="179"/>
      <c r="SUS3788" s="179"/>
      <c r="SUT3788" s="179"/>
      <c r="SUU3788" s="179"/>
      <c r="SUV3788" s="179"/>
      <c r="SUW3788" s="179"/>
      <c r="SUX3788" s="179"/>
      <c r="SUY3788" s="179"/>
      <c r="SUZ3788" s="179"/>
      <c r="SVA3788" s="179"/>
      <c r="SVB3788" s="179"/>
      <c r="SVC3788" s="179"/>
      <c r="SVD3788" s="179"/>
      <c r="SVE3788" s="179"/>
      <c r="SVF3788" s="179"/>
      <c r="SVG3788" s="179"/>
      <c r="SVH3788" s="179"/>
      <c r="SVI3788" s="179"/>
      <c r="SVJ3788" s="179"/>
      <c r="SVK3788" s="179"/>
      <c r="SVL3788" s="179"/>
      <c r="SVM3788" s="179"/>
      <c r="SVN3788" s="179"/>
      <c r="SVO3788" s="179"/>
      <c r="SVP3788" s="179"/>
      <c r="SVQ3788" s="179"/>
      <c r="SVR3788" s="179"/>
      <c r="SVS3788" s="179"/>
      <c r="SVT3788" s="179"/>
      <c r="SVU3788" s="179"/>
      <c r="SVV3788" s="179"/>
      <c r="SVW3788" s="179"/>
      <c r="SVX3788" s="179"/>
      <c r="SVY3788" s="179"/>
      <c r="SVZ3788" s="179"/>
      <c r="SWA3788" s="179"/>
      <c r="SWB3788" s="179"/>
      <c r="SWC3788" s="179"/>
      <c r="SWD3788" s="179"/>
      <c r="SWE3788" s="179"/>
      <c r="SWF3788" s="179"/>
      <c r="SWG3788" s="179"/>
      <c r="SWH3788" s="179"/>
      <c r="SWI3788" s="179"/>
      <c r="SWJ3788" s="179"/>
      <c r="SWK3788" s="179"/>
      <c r="SWL3788" s="179"/>
      <c r="SWM3788" s="179"/>
      <c r="SWN3788" s="179"/>
      <c r="SWO3788" s="179"/>
      <c r="SWP3788" s="179"/>
      <c r="SWQ3788" s="179"/>
      <c r="SWR3788" s="179"/>
      <c r="SWS3788" s="179"/>
      <c r="SWT3788" s="179"/>
      <c r="SWU3788" s="179"/>
      <c r="SWV3788" s="179"/>
      <c r="SWW3788" s="179"/>
      <c r="SWX3788" s="179"/>
      <c r="SWY3788" s="179"/>
      <c r="SWZ3788" s="179"/>
      <c r="SXA3788" s="179"/>
      <c r="SXB3788" s="179"/>
      <c r="SXC3788" s="179"/>
      <c r="SXD3788" s="179"/>
      <c r="SXE3788" s="179"/>
      <c r="SXF3788" s="179"/>
      <c r="SXG3788" s="179"/>
      <c r="SXH3788" s="179"/>
      <c r="SXI3788" s="179"/>
      <c r="SXJ3788" s="179"/>
      <c r="SXK3788" s="179"/>
      <c r="SXL3788" s="179"/>
      <c r="SXM3788" s="179"/>
      <c r="SXN3788" s="179"/>
      <c r="SXO3788" s="179"/>
      <c r="SXP3788" s="179"/>
      <c r="SXQ3788" s="179"/>
      <c r="SXR3788" s="179"/>
      <c r="SXS3788" s="179"/>
      <c r="SXT3788" s="179"/>
      <c r="SXU3788" s="179"/>
      <c r="SXV3788" s="179"/>
      <c r="SXW3788" s="179"/>
      <c r="SXX3788" s="179"/>
      <c r="SXY3788" s="179"/>
      <c r="SXZ3788" s="179"/>
      <c r="SYA3788" s="179"/>
      <c r="SYB3788" s="179"/>
      <c r="SYC3788" s="179"/>
      <c r="SYD3788" s="179"/>
      <c r="SYE3788" s="179"/>
      <c r="SYF3788" s="179"/>
      <c r="SYG3788" s="179"/>
      <c r="SYH3788" s="179"/>
      <c r="SYI3788" s="179"/>
      <c r="SYJ3788" s="179"/>
      <c r="SYK3788" s="179"/>
      <c r="SYL3788" s="179"/>
      <c r="SYM3788" s="179"/>
      <c r="SYN3788" s="179"/>
      <c r="SYO3788" s="179"/>
      <c r="SYP3788" s="179"/>
      <c r="SYQ3788" s="179"/>
      <c r="SYR3788" s="179"/>
      <c r="SYS3788" s="179"/>
      <c r="SYT3788" s="179"/>
      <c r="SYU3788" s="179"/>
      <c r="SYV3788" s="179"/>
      <c r="SYW3788" s="179"/>
      <c r="SYX3788" s="179"/>
      <c r="SYY3788" s="179"/>
      <c r="SYZ3788" s="179"/>
      <c r="SZA3788" s="179"/>
      <c r="SZB3788" s="179"/>
      <c r="SZC3788" s="179"/>
      <c r="SZD3788" s="179"/>
      <c r="SZE3788" s="179"/>
      <c r="SZF3788" s="179"/>
      <c r="SZG3788" s="179"/>
      <c r="SZH3788" s="179"/>
      <c r="SZI3788" s="179"/>
      <c r="SZJ3788" s="179"/>
      <c r="SZK3788" s="179"/>
      <c r="SZL3788" s="179"/>
      <c r="SZM3788" s="179"/>
      <c r="SZN3788" s="179"/>
      <c r="SZO3788" s="179"/>
      <c r="SZP3788" s="179"/>
      <c r="SZQ3788" s="179"/>
      <c r="SZR3788" s="179"/>
      <c r="SZS3788" s="179"/>
      <c r="SZT3788" s="179"/>
      <c r="SZU3788" s="179"/>
      <c r="SZV3788" s="179"/>
      <c r="SZW3788" s="179"/>
      <c r="SZX3788" s="179"/>
      <c r="SZY3788" s="179"/>
      <c r="SZZ3788" s="179"/>
      <c r="TAA3788" s="179"/>
      <c r="TAB3788" s="179"/>
      <c r="TAC3788" s="179"/>
      <c r="TAD3788" s="179"/>
      <c r="TAE3788" s="179"/>
      <c r="TAF3788" s="179"/>
      <c r="TAG3788" s="179"/>
      <c r="TAH3788" s="179"/>
      <c r="TAI3788" s="179"/>
      <c r="TAJ3788" s="179"/>
      <c r="TAK3788" s="179"/>
      <c r="TAL3788" s="179"/>
      <c r="TAM3788" s="179"/>
      <c r="TAN3788" s="179"/>
      <c r="TAO3788" s="179"/>
      <c r="TAP3788" s="179"/>
      <c r="TAQ3788" s="179"/>
      <c r="TAR3788" s="179"/>
      <c r="TAS3788" s="179"/>
      <c r="TAT3788" s="179"/>
      <c r="TAU3788" s="179"/>
      <c r="TAV3788" s="179"/>
      <c r="TAW3788" s="179"/>
      <c r="TAX3788" s="179"/>
      <c r="TAY3788" s="179"/>
      <c r="TAZ3788" s="179"/>
      <c r="TBA3788" s="179"/>
      <c r="TBB3788" s="179"/>
      <c r="TBC3788" s="179"/>
      <c r="TBD3788" s="179"/>
      <c r="TBE3788" s="179"/>
      <c r="TBF3788" s="179"/>
      <c r="TBG3788" s="179"/>
      <c r="TBH3788" s="179"/>
      <c r="TBI3788" s="179"/>
      <c r="TBJ3788" s="179"/>
      <c r="TBK3788" s="179"/>
      <c r="TBL3788" s="179"/>
      <c r="TBM3788" s="179"/>
      <c r="TBN3788" s="179"/>
      <c r="TBO3788" s="179"/>
      <c r="TBP3788" s="179"/>
      <c r="TBQ3788" s="179"/>
      <c r="TBR3788" s="179"/>
      <c r="TBS3788" s="179"/>
      <c r="TBT3788" s="179"/>
      <c r="TBU3788" s="179"/>
      <c r="TBV3788" s="179"/>
      <c r="TBW3788" s="179"/>
      <c r="TBX3788" s="179"/>
      <c r="TBY3788" s="179"/>
      <c r="TBZ3788" s="179"/>
      <c r="TCA3788" s="179"/>
      <c r="TCB3788" s="179"/>
      <c r="TCC3788" s="179"/>
      <c r="TCD3788" s="179"/>
      <c r="TCE3788" s="179"/>
      <c r="TCF3788" s="179"/>
      <c r="TCG3788" s="179"/>
      <c r="TCH3788" s="179"/>
      <c r="TCI3788" s="179"/>
      <c r="TCJ3788" s="179"/>
      <c r="TCK3788" s="179"/>
      <c r="TCL3788" s="179"/>
      <c r="TCM3788" s="179"/>
      <c r="TCN3788" s="179"/>
      <c r="TCO3788" s="179"/>
      <c r="TCP3788" s="179"/>
      <c r="TCQ3788" s="179"/>
      <c r="TCR3788" s="179"/>
      <c r="TCS3788" s="179"/>
      <c r="TCT3788" s="179"/>
      <c r="TCU3788" s="179"/>
      <c r="TCV3788" s="179"/>
      <c r="TCW3788" s="179"/>
      <c r="TCX3788" s="179"/>
      <c r="TCY3788" s="179"/>
      <c r="TCZ3788" s="179"/>
      <c r="TDA3788" s="179"/>
      <c r="TDB3788" s="179"/>
      <c r="TDC3788" s="179"/>
      <c r="TDD3788" s="179"/>
      <c r="TDE3788" s="179"/>
      <c r="TDF3788" s="179"/>
      <c r="TDG3788" s="179"/>
      <c r="TDH3788" s="179"/>
      <c r="TDI3788" s="179"/>
      <c r="TDJ3788" s="179"/>
      <c r="TDK3788" s="179"/>
      <c r="TDL3788" s="179"/>
      <c r="TDM3788" s="179"/>
      <c r="TDN3788" s="179"/>
      <c r="TDO3788" s="179"/>
      <c r="TDP3788" s="179"/>
      <c r="TDQ3788" s="179"/>
      <c r="TDR3788" s="179"/>
      <c r="TDS3788" s="179"/>
      <c r="TDT3788" s="179"/>
      <c r="TDU3788" s="179"/>
      <c r="TDV3788" s="179"/>
      <c r="TDW3788" s="179"/>
      <c r="TDX3788" s="179"/>
      <c r="TDY3788" s="179"/>
      <c r="TDZ3788" s="179"/>
      <c r="TEA3788" s="179"/>
      <c r="TEB3788" s="179"/>
      <c r="TEC3788" s="179"/>
      <c r="TED3788" s="179"/>
      <c r="TEE3788" s="179"/>
      <c r="TEF3788" s="179"/>
      <c r="TEG3788" s="179"/>
      <c r="TEH3788" s="179"/>
      <c r="TEI3788" s="179"/>
      <c r="TEJ3788" s="179"/>
      <c r="TEK3788" s="179"/>
      <c r="TEL3788" s="179"/>
      <c r="TEM3788" s="179"/>
      <c r="TEN3788" s="179"/>
      <c r="TEO3788" s="179"/>
      <c r="TEP3788" s="179"/>
      <c r="TEQ3788" s="179"/>
      <c r="TER3788" s="179"/>
      <c r="TES3788" s="179"/>
      <c r="TET3788" s="179"/>
      <c r="TEU3788" s="179"/>
      <c r="TEV3788" s="179"/>
      <c r="TEW3788" s="179"/>
      <c r="TEX3788" s="179"/>
      <c r="TEY3788" s="179"/>
      <c r="TEZ3788" s="179"/>
      <c r="TFA3788" s="179"/>
      <c r="TFB3788" s="179"/>
      <c r="TFC3788" s="179"/>
      <c r="TFD3788" s="179"/>
      <c r="TFE3788" s="179"/>
      <c r="TFF3788" s="179"/>
      <c r="TFG3788" s="179"/>
      <c r="TFH3788" s="179"/>
      <c r="TFI3788" s="179"/>
      <c r="TFJ3788" s="179"/>
      <c r="TFK3788" s="179"/>
      <c r="TFL3788" s="179"/>
      <c r="TFM3788" s="179"/>
      <c r="TFN3788" s="179"/>
      <c r="TFO3788" s="179"/>
      <c r="TFP3788" s="179"/>
      <c r="TFQ3788" s="179"/>
      <c r="TFR3788" s="179"/>
      <c r="TFS3788" s="179"/>
      <c r="TFT3788" s="179"/>
      <c r="TFU3788" s="179"/>
      <c r="TFV3788" s="179"/>
      <c r="TFW3788" s="179"/>
      <c r="TFX3788" s="179"/>
      <c r="TFY3788" s="179"/>
      <c r="TFZ3788" s="179"/>
      <c r="TGA3788" s="179"/>
      <c r="TGB3788" s="179"/>
      <c r="TGC3788" s="179"/>
      <c r="TGD3788" s="179"/>
      <c r="TGE3788" s="179"/>
      <c r="TGF3788" s="179"/>
      <c r="TGG3788" s="179"/>
      <c r="TGH3788" s="179"/>
      <c r="TGI3788" s="179"/>
      <c r="TGJ3788" s="179"/>
      <c r="TGK3788" s="179"/>
      <c r="TGL3788" s="179"/>
      <c r="TGM3788" s="179"/>
      <c r="TGN3788" s="179"/>
      <c r="TGO3788" s="179"/>
      <c r="TGP3788" s="179"/>
      <c r="TGQ3788" s="179"/>
      <c r="TGR3788" s="179"/>
      <c r="TGS3788" s="179"/>
      <c r="TGT3788" s="179"/>
      <c r="TGU3788" s="179"/>
      <c r="TGV3788" s="179"/>
      <c r="TGW3788" s="179"/>
      <c r="TGX3788" s="179"/>
      <c r="TGY3788" s="179"/>
      <c r="TGZ3788" s="179"/>
      <c r="THA3788" s="179"/>
      <c r="THB3788" s="179"/>
      <c r="THC3788" s="179"/>
      <c r="THD3788" s="179"/>
      <c r="THE3788" s="179"/>
      <c r="THF3788" s="179"/>
      <c r="THG3788" s="179"/>
      <c r="THH3788" s="179"/>
      <c r="THI3788" s="179"/>
      <c r="THJ3788" s="179"/>
      <c r="THK3788" s="179"/>
      <c r="THL3788" s="179"/>
      <c r="THM3788" s="179"/>
      <c r="THN3788" s="179"/>
      <c r="THO3788" s="179"/>
      <c r="THP3788" s="179"/>
      <c r="THQ3788" s="179"/>
      <c r="THR3788" s="179"/>
      <c r="THS3788" s="179"/>
      <c r="THT3788" s="179"/>
      <c r="THU3788" s="179"/>
      <c r="THV3788" s="179"/>
      <c r="THW3788" s="179"/>
      <c r="THX3788" s="179"/>
      <c r="THY3788" s="179"/>
      <c r="THZ3788" s="179"/>
      <c r="TIA3788" s="179"/>
      <c r="TIB3788" s="179"/>
      <c r="TIC3788" s="179"/>
      <c r="TID3788" s="179"/>
      <c r="TIE3788" s="179"/>
      <c r="TIF3788" s="179"/>
      <c r="TIG3788" s="179"/>
      <c r="TIH3788" s="179"/>
      <c r="TII3788" s="179"/>
      <c r="TIJ3788" s="179"/>
      <c r="TIK3788" s="179"/>
      <c r="TIL3788" s="179"/>
      <c r="TIM3788" s="179"/>
      <c r="TIN3788" s="179"/>
      <c r="TIO3788" s="179"/>
      <c r="TIP3788" s="179"/>
      <c r="TIQ3788" s="179"/>
      <c r="TIR3788" s="179"/>
      <c r="TIS3788" s="179"/>
      <c r="TIT3788" s="179"/>
      <c r="TIU3788" s="179"/>
      <c r="TIV3788" s="179"/>
      <c r="TIW3788" s="179"/>
      <c r="TIX3788" s="179"/>
      <c r="TIY3788" s="179"/>
      <c r="TIZ3788" s="179"/>
      <c r="TJA3788" s="179"/>
      <c r="TJB3788" s="179"/>
      <c r="TJC3788" s="179"/>
      <c r="TJD3788" s="179"/>
      <c r="TJE3788" s="179"/>
      <c r="TJF3788" s="179"/>
      <c r="TJG3788" s="179"/>
      <c r="TJH3788" s="179"/>
      <c r="TJI3788" s="179"/>
      <c r="TJJ3788" s="179"/>
      <c r="TJK3788" s="179"/>
      <c r="TJL3788" s="179"/>
      <c r="TJM3788" s="179"/>
      <c r="TJN3788" s="179"/>
      <c r="TJO3788" s="179"/>
      <c r="TJP3788" s="179"/>
      <c r="TJQ3788" s="179"/>
      <c r="TJR3788" s="179"/>
      <c r="TJS3788" s="179"/>
      <c r="TJT3788" s="179"/>
      <c r="TJU3788" s="179"/>
      <c r="TJV3788" s="179"/>
      <c r="TJW3788" s="179"/>
      <c r="TJX3788" s="179"/>
      <c r="TJY3788" s="179"/>
      <c r="TJZ3788" s="179"/>
      <c r="TKA3788" s="179"/>
      <c r="TKB3788" s="179"/>
      <c r="TKC3788" s="179"/>
      <c r="TKD3788" s="179"/>
      <c r="TKE3788" s="179"/>
      <c r="TKF3788" s="179"/>
      <c r="TKG3788" s="179"/>
      <c r="TKH3788" s="179"/>
      <c r="TKI3788" s="179"/>
      <c r="TKJ3788" s="179"/>
      <c r="TKK3788" s="179"/>
      <c r="TKL3788" s="179"/>
      <c r="TKM3788" s="179"/>
      <c r="TKN3788" s="179"/>
      <c r="TKO3788" s="179"/>
      <c r="TKP3788" s="179"/>
      <c r="TKQ3788" s="179"/>
      <c r="TKR3788" s="179"/>
      <c r="TKS3788" s="179"/>
      <c r="TKT3788" s="179"/>
      <c r="TKU3788" s="179"/>
      <c r="TKV3788" s="179"/>
      <c r="TKW3788" s="179"/>
      <c r="TKX3788" s="179"/>
      <c r="TKY3788" s="179"/>
      <c r="TKZ3788" s="179"/>
      <c r="TLA3788" s="179"/>
      <c r="TLB3788" s="179"/>
      <c r="TLC3788" s="179"/>
      <c r="TLD3788" s="179"/>
      <c r="TLE3788" s="179"/>
      <c r="TLF3788" s="179"/>
      <c r="TLG3788" s="179"/>
      <c r="TLH3788" s="179"/>
      <c r="TLI3788" s="179"/>
      <c r="TLJ3788" s="179"/>
      <c r="TLK3788" s="179"/>
      <c r="TLL3788" s="179"/>
      <c r="TLM3788" s="179"/>
      <c r="TLN3788" s="179"/>
      <c r="TLO3788" s="179"/>
      <c r="TLP3788" s="179"/>
      <c r="TLQ3788" s="179"/>
      <c r="TLR3788" s="179"/>
      <c r="TLS3788" s="179"/>
      <c r="TLT3788" s="179"/>
      <c r="TLU3788" s="179"/>
      <c r="TLV3788" s="179"/>
      <c r="TLW3788" s="179"/>
      <c r="TLX3788" s="179"/>
      <c r="TLY3788" s="179"/>
      <c r="TLZ3788" s="179"/>
      <c r="TMA3788" s="179"/>
      <c r="TMB3788" s="179"/>
      <c r="TMC3788" s="179"/>
      <c r="TMD3788" s="179"/>
      <c r="TME3788" s="179"/>
      <c r="TMF3788" s="179"/>
      <c r="TMG3788" s="179"/>
      <c r="TMH3788" s="179"/>
      <c r="TMI3788" s="179"/>
      <c r="TMJ3788" s="179"/>
      <c r="TMK3788" s="179"/>
      <c r="TML3788" s="179"/>
      <c r="TMM3788" s="179"/>
      <c r="TMN3788" s="179"/>
      <c r="TMO3788" s="179"/>
      <c r="TMP3788" s="179"/>
      <c r="TMQ3788" s="179"/>
      <c r="TMR3788" s="179"/>
      <c r="TMS3788" s="179"/>
      <c r="TMT3788" s="179"/>
      <c r="TMU3788" s="179"/>
      <c r="TMV3788" s="179"/>
      <c r="TMW3788" s="179"/>
      <c r="TMX3788" s="179"/>
      <c r="TMY3788" s="179"/>
      <c r="TMZ3788" s="179"/>
      <c r="TNA3788" s="179"/>
      <c r="TNB3788" s="179"/>
      <c r="TNC3788" s="179"/>
      <c r="TND3788" s="179"/>
      <c r="TNE3788" s="179"/>
      <c r="TNF3788" s="179"/>
      <c r="TNG3788" s="179"/>
      <c r="TNH3788" s="179"/>
      <c r="TNI3788" s="179"/>
      <c r="TNJ3788" s="179"/>
      <c r="TNK3788" s="179"/>
      <c r="TNL3788" s="179"/>
      <c r="TNM3788" s="179"/>
      <c r="TNN3788" s="179"/>
      <c r="TNO3788" s="179"/>
      <c r="TNP3788" s="179"/>
      <c r="TNQ3788" s="179"/>
      <c r="TNR3788" s="179"/>
      <c r="TNS3788" s="179"/>
      <c r="TNT3788" s="179"/>
      <c r="TNU3788" s="179"/>
      <c r="TNV3788" s="179"/>
      <c r="TNW3788" s="179"/>
      <c r="TNX3788" s="179"/>
      <c r="TNY3788" s="179"/>
      <c r="TNZ3788" s="179"/>
      <c r="TOA3788" s="179"/>
      <c r="TOB3788" s="179"/>
      <c r="TOC3788" s="179"/>
      <c r="TOD3788" s="179"/>
      <c r="TOE3788" s="179"/>
      <c r="TOF3788" s="179"/>
      <c r="TOG3788" s="179"/>
      <c r="TOH3788" s="179"/>
      <c r="TOI3788" s="179"/>
      <c r="TOJ3788" s="179"/>
      <c r="TOK3788" s="179"/>
      <c r="TOL3788" s="179"/>
      <c r="TOM3788" s="179"/>
      <c r="TON3788" s="179"/>
      <c r="TOO3788" s="179"/>
      <c r="TOP3788" s="179"/>
      <c r="TOQ3788" s="179"/>
      <c r="TOR3788" s="179"/>
      <c r="TOS3788" s="179"/>
      <c r="TOT3788" s="179"/>
      <c r="TOU3788" s="179"/>
      <c r="TOV3788" s="179"/>
      <c r="TOW3788" s="179"/>
      <c r="TOX3788" s="179"/>
      <c r="TOY3788" s="179"/>
      <c r="TOZ3788" s="179"/>
      <c r="TPA3788" s="179"/>
      <c r="TPB3788" s="179"/>
      <c r="TPC3788" s="179"/>
      <c r="TPD3788" s="179"/>
      <c r="TPE3788" s="179"/>
      <c r="TPF3788" s="179"/>
      <c r="TPG3788" s="179"/>
      <c r="TPH3788" s="179"/>
      <c r="TPI3788" s="179"/>
      <c r="TPJ3788" s="179"/>
      <c r="TPK3788" s="179"/>
      <c r="TPL3788" s="179"/>
      <c r="TPM3788" s="179"/>
      <c r="TPN3788" s="179"/>
      <c r="TPO3788" s="179"/>
      <c r="TPP3788" s="179"/>
      <c r="TPQ3788" s="179"/>
      <c r="TPR3788" s="179"/>
      <c r="TPS3788" s="179"/>
      <c r="TPT3788" s="179"/>
      <c r="TPU3788" s="179"/>
      <c r="TPV3788" s="179"/>
      <c r="TPW3788" s="179"/>
      <c r="TPX3788" s="179"/>
      <c r="TPY3788" s="179"/>
      <c r="TPZ3788" s="179"/>
      <c r="TQA3788" s="179"/>
      <c r="TQB3788" s="179"/>
      <c r="TQC3788" s="179"/>
      <c r="TQD3788" s="179"/>
      <c r="TQE3788" s="179"/>
      <c r="TQF3788" s="179"/>
      <c r="TQG3788" s="179"/>
      <c r="TQH3788" s="179"/>
      <c r="TQI3788" s="179"/>
      <c r="TQJ3788" s="179"/>
      <c r="TQK3788" s="179"/>
      <c r="TQL3788" s="179"/>
      <c r="TQM3788" s="179"/>
      <c r="TQN3788" s="179"/>
      <c r="TQO3788" s="179"/>
      <c r="TQP3788" s="179"/>
      <c r="TQQ3788" s="179"/>
      <c r="TQR3788" s="179"/>
      <c r="TQS3788" s="179"/>
      <c r="TQT3788" s="179"/>
      <c r="TQU3788" s="179"/>
      <c r="TQV3788" s="179"/>
      <c r="TQW3788" s="179"/>
      <c r="TQX3788" s="179"/>
      <c r="TQY3788" s="179"/>
      <c r="TQZ3788" s="179"/>
      <c r="TRA3788" s="179"/>
      <c r="TRB3788" s="179"/>
      <c r="TRC3788" s="179"/>
      <c r="TRD3788" s="179"/>
      <c r="TRE3788" s="179"/>
      <c r="TRF3788" s="179"/>
      <c r="TRG3788" s="179"/>
      <c r="TRH3788" s="179"/>
      <c r="TRI3788" s="179"/>
      <c r="TRJ3788" s="179"/>
      <c r="TRK3788" s="179"/>
      <c r="TRL3788" s="179"/>
      <c r="TRM3788" s="179"/>
      <c r="TRN3788" s="179"/>
      <c r="TRO3788" s="179"/>
      <c r="TRP3788" s="179"/>
      <c r="TRQ3788" s="179"/>
      <c r="TRR3788" s="179"/>
      <c r="TRS3788" s="179"/>
      <c r="TRT3788" s="179"/>
      <c r="TRU3788" s="179"/>
      <c r="TRV3788" s="179"/>
      <c r="TRW3788" s="179"/>
      <c r="TRX3788" s="179"/>
      <c r="TRY3788" s="179"/>
      <c r="TRZ3788" s="179"/>
      <c r="TSA3788" s="179"/>
      <c r="TSB3788" s="179"/>
      <c r="TSC3788" s="179"/>
      <c r="TSD3788" s="179"/>
      <c r="TSE3788" s="179"/>
      <c r="TSF3788" s="179"/>
      <c r="TSG3788" s="179"/>
      <c r="TSH3788" s="179"/>
      <c r="TSI3788" s="179"/>
      <c r="TSJ3788" s="179"/>
      <c r="TSK3788" s="179"/>
      <c r="TSL3788" s="179"/>
      <c r="TSM3788" s="179"/>
      <c r="TSN3788" s="179"/>
      <c r="TSO3788" s="179"/>
      <c r="TSP3788" s="179"/>
      <c r="TSQ3788" s="179"/>
      <c r="TSR3788" s="179"/>
      <c r="TSS3788" s="179"/>
      <c r="TST3788" s="179"/>
      <c r="TSU3788" s="179"/>
      <c r="TSV3788" s="179"/>
      <c r="TSW3788" s="179"/>
      <c r="TSX3788" s="179"/>
      <c r="TSY3788" s="179"/>
      <c r="TSZ3788" s="179"/>
      <c r="TTA3788" s="179"/>
      <c r="TTB3788" s="179"/>
      <c r="TTC3788" s="179"/>
      <c r="TTD3788" s="179"/>
      <c r="TTE3788" s="179"/>
      <c r="TTF3788" s="179"/>
      <c r="TTG3788" s="179"/>
      <c r="TTH3788" s="179"/>
      <c r="TTI3788" s="179"/>
      <c r="TTJ3788" s="179"/>
      <c r="TTK3788" s="179"/>
      <c r="TTL3788" s="179"/>
      <c r="TTM3788" s="179"/>
      <c r="TTN3788" s="179"/>
      <c r="TTO3788" s="179"/>
      <c r="TTP3788" s="179"/>
      <c r="TTQ3788" s="179"/>
      <c r="TTR3788" s="179"/>
      <c r="TTS3788" s="179"/>
      <c r="TTT3788" s="179"/>
      <c r="TTU3788" s="179"/>
      <c r="TTV3788" s="179"/>
      <c r="TTW3788" s="179"/>
      <c r="TTX3788" s="179"/>
      <c r="TTY3788" s="179"/>
      <c r="TTZ3788" s="179"/>
      <c r="TUA3788" s="179"/>
      <c r="TUB3788" s="179"/>
      <c r="TUC3788" s="179"/>
      <c r="TUD3788" s="179"/>
      <c r="TUE3788" s="179"/>
      <c r="TUF3788" s="179"/>
      <c r="TUG3788" s="179"/>
      <c r="TUH3788" s="179"/>
      <c r="TUI3788" s="179"/>
      <c r="TUJ3788" s="179"/>
      <c r="TUK3788" s="179"/>
      <c r="TUL3788" s="179"/>
      <c r="TUM3788" s="179"/>
      <c r="TUN3788" s="179"/>
      <c r="TUO3788" s="179"/>
      <c r="TUP3788" s="179"/>
      <c r="TUQ3788" s="179"/>
      <c r="TUR3788" s="179"/>
      <c r="TUS3788" s="179"/>
      <c r="TUT3788" s="179"/>
      <c r="TUU3788" s="179"/>
      <c r="TUV3788" s="179"/>
      <c r="TUW3788" s="179"/>
      <c r="TUX3788" s="179"/>
      <c r="TUY3788" s="179"/>
      <c r="TUZ3788" s="179"/>
      <c r="TVA3788" s="179"/>
      <c r="TVB3788" s="179"/>
      <c r="TVC3788" s="179"/>
      <c r="TVD3788" s="179"/>
      <c r="TVE3788" s="179"/>
      <c r="TVF3788" s="179"/>
      <c r="TVG3788" s="179"/>
      <c r="TVH3788" s="179"/>
      <c r="TVI3788" s="179"/>
      <c r="TVJ3788" s="179"/>
      <c r="TVK3788" s="179"/>
      <c r="TVL3788" s="179"/>
      <c r="TVM3788" s="179"/>
      <c r="TVN3788" s="179"/>
      <c r="TVO3788" s="179"/>
      <c r="TVP3788" s="179"/>
      <c r="TVQ3788" s="179"/>
      <c r="TVR3788" s="179"/>
      <c r="TVS3788" s="179"/>
      <c r="TVT3788" s="179"/>
      <c r="TVU3788" s="179"/>
      <c r="TVV3788" s="179"/>
      <c r="TVW3788" s="179"/>
      <c r="TVX3788" s="179"/>
      <c r="TVY3788" s="179"/>
      <c r="TVZ3788" s="179"/>
      <c r="TWA3788" s="179"/>
      <c r="TWB3788" s="179"/>
      <c r="TWC3788" s="179"/>
      <c r="TWD3788" s="179"/>
      <c r="TWE3788" s="179"/>
      <c r="TWF3788" s="179"/>
      <c r="TWG3788" s="179"/>
      <c r="TWH3788" s="179"/>
      <c r="TWI3788" s="179"/>
      <c r="TWJ3788" s="179"/>
      <c r="TWK3788" s="179"/>
      <c r="TWL3788" s="179"/>
      <c r="TWM3788" s="179"/>
      <c r="TWN3788" s="179"/>
      <c r="TWO3788" s="179"/>
      <c r="TWP3788" s="179"/>
      <c r="TWQ3788" s="179"/>
      <c r="TWR3788" s="179"/>
      <c r="TWS3788" s="179"/>
      <c r="TWT3788" s="179"/>
      <c r="TWU3788" s="179"/>
      <c r="TWV3788" s="179"/>
      <c r="TWW3788" s="179"/>
      <c r="TWX3788" s="179"/>
      <c r="TWY3788" s="179"/>
      <c r="TWZ3788" s="179"/>
      <c r="TXA3788" s="179"/>
      <c r="TXB3788" s="179"/>
      <c r="TXC3788" s="179"/>
      <c r="TXD3788" s="179"/>
      <c r="TXE3788" s="179"/>
      <c r="TXF3788" s="179"/>
      <c r="TXG3788" s="179"/>
      <c r="TXH3788" s="179"/>
      <c r="TXI3788" s="179"/>
      <c r="TXJ3788" s="179"/>
      <c r="TXK3788" s="179"/>
      <c r="TXL3788" s="179"/>
      <c r="TXM3788" s="179"/>
      <c r="TXN3788" s="179"/>
      <c r="TXO3788" s="179"/>
      <c r="TXP3788" s="179"/>
      <c r="TXQ3788" s="179"/>
      <c r="TXR3788" s="179"/>
      <c r="TXS3788" s="179"/>
      <c r="TXT3788" s="179"/>
      <c r="TXU3788" s="179"/>
      <c r="TXV3788" s="179"/>
      <c r="TXW3788" s="179"/>
      <c r="TXX3788" s="179"/>
      <c r="TXY3788" s="179"/>
      <c r="TXZ3788" s="179"/>
      <c r="TYA3788" s="179"/>
      <c r="TYB3788" s="179"/>
      <c r="TYC3788" s="179"/>
      <c r="TYD3788" s="179"/>
      <c r="TYE3788" s="179"/>
      <c r="TYF3788" s="179"/>
      <c r="TYG3788" s="179"/>
      <c r="TYH3788" s="179"/>
      <c r="TYI3788" s="179"/>
      <c r="TYJ3788" s="179"/>
      <c r="TYK3788" s="179"/>
      <c r="TYL3788" s="179"/>
      <c r="TYM3788" s="179"/>
      <c r="TYN3788" s="179"/>
      <c r="TYO3788" s="179"/>
      <c r="TYP3788" s="179"/>
      <c r="TYQ3788" s="179"/>
      <c r="TYR3788" s="179"/>
      <c r="TYS3788" s="179"/>
      <c r="TYT3788" s="179"/>
      <c r="TYU3788" s="179"/>
      <c r="TYV3788" s="179"/>
      <c r="TYW3788" s="179"/>
      <c r="TYX3788" s="179"/>
      <c r="TYY3788" s="179"/>
      <c r="TYZ3788" s="179"/>
      <c r="TZA3788" s="179"/>
      <c r="TZB3788" s="179"/>
      <c r="TZC3788" s="179"/>
      <c r="TZD3788" s="179"/>
      <c r="TZE3788" s="179"/>
      <c r="TZF3788" s="179"/>
      <c r="TZG3788" s="179"/>
      <c r="TZH3788" s="179"/>
      <c r="TZI3788" s="179"/>
      <c r="TZJ3788" s="179"/>
      <c r="TZK3788" s="179"/>
      <c r="TZL3788" s="179"/>
      <c r="TZM3788" s="179"/>
      <c r="TZN3788" s="179"/>
      <c r="TZO3788" s="179"/>
      <c r="TZP3788" s="179"/>
      <c r="TZQ3788" s="179"/>
      <c r="TZR3788" s="179"/>
      <c r="TZS3788" s="179"/>
      <c r="TZT3788" s="179"/>
      <c r="TZU3788" s="179"/>
      <c r="TZV3788" s="179"/>
      <c r="TZW3788" s="179"/>
      <c r="TZX3788" s="179"/>
      <c r="TZY3788" s="179"/>
      <c r="TZZ3788" s="179"/>
      <c r="UAA3788" s="179"/>
      <c r="UAB3788" s="179"/>
      <c r="UAC3788" s="179"/>
      <c r="UAD3788" s="179"/>
      <c r="UAE3788" s="179"/>
      <c r="UAF3788" s="179"/>
      <c r="UAG3788" s="179"/>
      <c r="UAH3788" s="179"/>
      <c r="UAI3788" s="179"/>
      <c r="UAJ3788" s="179"/>
      <c r="UAK3788" s="179"/>
      <c r="UAL3788" s="179"/>
      <c r="UAM3788" s="179"/>
      <c r="UAN3788" s="179"/>
      <c r="UAO3788" s="179"/>
      <c r="UAP3788" s="179"/>
      <c r="UAQ3788" s="179"/>
      <c r="UAR3788" s="179"/>
      <c r="UAS3788" s="179"/>
      <c r="UAT3788" s="179"/>
      <c r="UAU3788" s="179"/>
      <c r="UAV3788" s="179"/>
      <c r="UAW3788" s="179"/>
      <c r="UAX3788" s="179"/>
      <c r="UAY3788" s="179"/>
      <c r="UAZ3788" s="179"/>
      <c r="UBA3788" s="179"/>
      <c r="UBB3788" s="179"/>
      <c r="UBC3788" s="179"/>
      <c r="UBD3788" s="179"/>
      <c r="UBE3788" s="179"/>
      <c r="UBF3788" s="179"/>
      <c r="UBG3788" s="179"/>
      <c r="UBH3788" s="179"/>
      <c r="UBI3788" s="179"/>
      <c r="UBJ3788" s="179"/>
      <c r="UBK3788" s="179"/>
      <c r="UBL3788" s="179"/>
      <c r="UBM3788" s="179"/>
      <c r="UBN3788" s="179"/>
      <c r="UBO3788" s="179"/>
      <c r="UBP3788" s="179"/>
      <c r="UBQ3788" s="179"/>
      <c r="UBR3788" s="179"/>
      <c r="UBS3788" s="179"/>
      <c r="UBT3788" s="179"/>
      <c r="UBU3788" s="179"/>
      <c r="UBV3788" s="179"/>
      <c r="UBW3788" s="179"/>
      <c r="UBX3788" s="179"/>
      <c r="UBY3788" s="179"/>
      <c r="UBZ3788" s="179"/>
      <c r="UCA3788" s="179"/>
      <c r="UCB3788" s="179"/>
      <c r="UCC3788" s="179"/>
      <c r="UCD3788" s="179"/>
      <c r="UCE3788" s="179"/>
      <c r="UCF3788" s="179"/>
      <c r="UCG3788" s="179"/>
      <c r="UCH3788" s="179"/>
      <c r="UCI3788" s="179"/>
      <c r="UCJ3788" s="179"/>
      <c r="UCK3788" s="179"/>
      <c r="UCL3788" s="179"/>
      <c r="UCM3788" s="179"/>
      <c r="UCN3788" s="179"/>
      <c r="UCO3788" s="179"/>
      <c r="UCP3788" s="179"/>
      <c r="UCQ3788" s="179"/>
      <c r="UCR3788" s="179"/>
      <c r="UCS3788" s="179"/>
      <c r="UCT3788" s="179"/>
      <c r="UCU3788" s="179"/>
      <c r="UCV3788" s="179"/>
      <c r="UCW3788" s="179"/>
      <c r="UCX3788" s="179"/>
      <c r="UCY3788" s="179"/>
      <c r="UCZ3788" s="179"/>
      <c r="UDA3788" s="179"/>
      <c r="UDB3788" s="179"/>
      <c r="UDC3788" s="179"/>
      <c r="UDD3788" s="179"/>
      <c r="UDE3788" s="179"/>
      <c r="UDF3788" s="179"/>
      <c r="UDG3788" s="179"/>
      <c r="UDH3788" s="179"/>
      <c r="UDI3788" s="179"/>
      <c r="UDJ3788" s="179"/>
      <c r="UDK3788" s="179"/>
      <c r="UDL3788" s="179"/>
      <c r="UDM3788" s="179"/>
      <c r="UDN3788" s="179"/>
      <c r="UDO3788" s="179"/>
      <c r="UDP3788" s="179"/>
      <c r="UDQ3788" s="179"/>
      <c r="UDR3788" s="179"/>
      <c r="UDS3788" s="179"/>
      <c r="UDT3788" s="179"/>
      <c r="UDU3788" s="179"/>
      <c r="UDV3788" s="179"/>
      <c r="UDW3788" s="179"/>
      <c r="UDX3788" s="179"/>
      <c r="UDY3788" s="179"/>
      <c r="UDZ3788" s="179"/>
      <c r="UEA3788" s="179"/>
      <c r="UEB3788" s="179"/>
      <c r="UEC3788" s="179"/>
      <c r="UED3788" s="179"/>
      <c r="UEE3788" s="179"/>
      <c r="UEF3788" s="179"/>
      <c r="UEG3788" s="179"/>
      <c r="UEH3788" s="179"/>
      <c r="UEI3788" s="179"/>
      <c r="UEJ3788" s="179"/>
      <c r="UEK3788" s="179"/>
      <c r="UEL3788" s="179"/>
      <c r="UEM3788" s="179"/>
      <c r="UEN3788" s="179"/>
      <c r="UEO3788" s="179"/>
      <c r="UEP3788" s="179"/>
      <c r="UEQ3788" s="179"/>
      <c r="UER3788" s="179"/>
      <c r="UES3788" s="179"/>
      <c r="UET3788" s="179"/>
      <c r="UEU3788" s="179"/>
      <c r="UEV3788" s="179"/>
      <c r="UEW3788" s="179"/>
      <c r="UEX3788" s="179"/>
      <c r="UEY3788" s="179"/>
      <c r="UEZ3788" s="179"/>
      <c r="UFA3788" s="179"/>
      <c r="UFB3788" s="179"/>
      <c r="UFC3788" s="179"/>
      <c r="UFD3788" s="179"/>
      <c r="UFE3788" s="179"/>
      <c r="UFF3788" s="179"/>
      <c r="UFG3788" s="179"/>
      <c r="UFH3788" s="179"/>
      <c r="UFI3788" s="179"/>
      <c r="UFJ3788" s="179"/>
      <c r="UFK3788" s="179"/>
      <c r="UFL3788" s="179"/>
      <c r="UFM3788" s="179"/>
      <c r="UFN3788" s="179"/>
      <c r="UFO3788" s="179"/>
      <c r="UFP3788" s="179"/>
      <c r="UFQ3788" s="179"/>
      <c r="UFR3788" s="179"/>
      <c r="UFS3788" s="179"/>
      <c r="UFT3788" s="179"/>
      <c r="UFU3788" s="179"/>
      <c r="UFV3788" s="179"/>
      <c r="UFW3788" s="179"/>
      <c r="UFX3788" s="179"/>
      <c r="UFY3788" s="179"/>
      <c r="UFZ3788" s="179"/>
      <c r="UGA3788" s="179"/>
      <c r="UGB3788" s="179"/>
      <c r="UGC3788" s="179"/>
      <c r="UGD3788" s="179"/>
      <c r="UGE3788" s="179"/>
      <c r="UGF3788" s="179"/>
      <c r="UGG3788" s="179"/>
      <c r="UGH3788" s="179"/>
      <c r="UGI3788" s="179"/>
      <c r="UGJ3788" s="179"/>
      <c r="UGK3788" s="179"/>
      <c r="UGL3788" s="179"/>
      <c r="UGM3788" s="179"/>
      <c r="UGN3788" s="179"/>
      <c r="UGO3788" s="179"/>
      <c r="UGP3788" s="179"/>
      <c r="UGQ3788" s="179"/>
      <c r="UGR3788" s="179"/>
      <c r="UGS3788" s="179"/>
      <c r="UGT3788" s="179"/>
      <c r="UGU3788" s="179"/>
      <c r="UGV3788" s="179"/>
      <c r="UGW3788" s="179"/>
      <c r="UGX3788" s="179"/>
      <c r="UGY3788" s="179"/>
      <c r="UGZ3788" s="179"/>
      <c r="UHA3788" s="179"/>
      <c r="UHB3788" s="179"/>
      <c r="UHC3788" s="179"/>
      <c r="UHD3788" s="179"/>
      <c r="UHE3788" s="179"/>
      <c r="UHF3788" s="179"/>
      <c r="UHG3788" s="179"/>
      <c r="UHH3788" s="179"/>
      <c r="UHI3788" s="179"/>
      <c r="UHJ3788" s="179"/>
      <c r="UHK3788" s="179"/>
      <c r="UHL3788" s="179"/>
      <c r="UHM3788" s="179"/>
      <c r="UHN3788" s="179"/>
      <c r="UHO3788" s="179"/>
      <c r="UHP3788" s="179"/>
      <c r="UHQ3788" s="179"/>
      <c r="UHR3788" s="179"/>
      <c r="UHS3788" s="179"/>
      <c r="UHT3788" s="179"/>
      <c r="UHU3788" s="179"/>
      <c r="UHV3788" s="179"/>
      <c r="UHW3788" s="179"/>
      <c r="UHX3788" s="179"/>
      <c r="UHY3788" s="179"/>
      <c r="UHZ3788" s="179"/>
      <c r="UIA3788" s="179"/>
      <c r="UIB3788" s="179"/>
      <c r="UIC3788" s="179"/>
      <c r="UID3788" s="179"/>
      <c r="UIE3788" s="179"/>
      <c r="UIF3788" s="179"/>
      <c r="UIG3788" s="179"/>
      <c r="UIH3788" s="179"/>
      <c r="UII3788" s="179"/>
      <c r="UIJ3788" s="179"/>
      <c r="UIK3788" s="179"/>
      <c r="UIL3788" s="179"/>
      <c r="UIM3788" s="179"/>
      <c r="UIN3788" s="179"/>
      <c r="UIO3788" s="179"/>
      <c r="UIP3788" s="179"/>
      <c r="UIQ3788" s="179"/>
      <c r="UIR3788" s="179"/>
      <c r="UIS3788" s="179"/>
      <c r="UIT3788" s="179"/>
      <c r="UIU3788" s="179"/>
      <c r="UIV3788" s="179"/>
      <c r="UIW3788" s="179"/>
      <c r="UIX3788" s="179"/>
      <c r="UIY3788" s="179"/>
      <c r="UIZ3788" s="179"/>
      <c r="UJA3788" s="179"/>
      <c r="UJB3788" s="179"/>
      <c r="UJC3788" s="179"/>
      <c r="UJD3788" s="179"/>
      <c r="UJE3788" s="179"/>
      <c r="UJF3788" s="179"/>
      <c r="UJG3788" s="179"/>
      <c r="UJH3788" s="179"/>
      <c r="UJI3788" s="179"/>
      <c r="UJJ3788" s="179"/>
      <c r="UJK3788" s="179"/>
      <c r="UJL3788" s="179"/>
      <c r="UJM3788" s="179"/>
      <c r="UJN3788" s="179"/>
      <c r="UJO3788" s="179"/>
      <c r="UJP3788" s="179"/>
      <c r="UJQ3788" s="179"/>
      <c r="UJR3788" s="179"/>
      <c r="UJS3788" s="179"/>
      <c r="UJT3788" s="179"/>
      <c r="UJU3788" s="179"/>
      <c r="UJV3788" s="179"/>
      <c r="UJW3788" s="179"/>
      <c r="UJX3788" s="179"/>
      <c r="UJY3788" s="179"/>
      <c r="UJZ3788" s="179"/>
      <c r="UKA3788" s="179"/>
      <c r="UKB3788" s="179"/>
      <c r="UKC3788" s="179"/>
      <c r="UKD3788" s="179"/>
      <c r="UKE3788" s="179"/>
      <c r="UKF3788" s="179"/>
      <c r="UKG3788" s="179"/>
      <c r="UKH3788" s="179"/>
      <c r="UKI3788" s="179"/>
      <c r="UKJ3788" s="179"/>
      <c r="UKK3788" s="179"/>
      <c r="UKL3788" s="179"/>
      <c r="UKM3788" s="179"/>
      <c r="UKN3788" s="179"/>
      <c r="UKO3788" s="179"/>
      <c r="UKP3788" s="179"/>
      <c r="UKQ3788" s="179"/>
      <c r="UKR3788" s="179"/>
      <c r="UKS3788" s="179"/>
      <c r="UKT3788" s="179"/>
      <c r="UKU3788" s="179"/>
      <c r="UKV3788" s="179"/>
      <c r="UKW3788" s="179"/>
      <c r="UKX3788" s="179"/>
      <c r="UKY3788" s="179"/>
      <c r="UKZ3788" s="179"/>
      <c r="ULA3788" s="179"/>
      <c r="ULB3788" s="179"/>
      <c r="ULC3788" s="179"/>
      <c r="ULD3788" s="179"/>
      <c r="ULE3788" s="179"/>
      <c r="ULF3788" s="179"/>
      <c r="ULG3788" s="179"/>
      <c r="ULH3788" s="179"/>
      <c r="ULI3788" s="179"/>
      <c r="ULJ3788" s="179"/>
      <c r="ULK3788" s="179"/>
      <c r="ULL3788" s="179"/>
      <c r="ULM3788" s="179"/>
      <c r="ULN3788" s="179"/>
      <c r="ULO3788" s="179"/>
      <c r="ULP3788" s="179"/>
      <c r="ULQ3788" s="179"/>
      <c r="ULR3788" s="179"/>
      <c r="ULS3788" s="179"/>
      <c r="ULT3788" s="179"/>
      <c r="ULU3788" s="179"/>
      <c r="ULV3788" s="179"/>
      <c r="ULW3788" s="179"/>
      <c r="ULX3788" s="179"/>
      <c r="ULY3788" s="179"/>
      <c r="ULZ3788" s="179"/>
      <c r="UMA3788" s="179"/>
      <c r="UMB3788" s="179"/>
      <c r="UMC3788" s="179"/>
      <c r="UMD3788" s="179"/>
      <c r="UME3788" s="179"/>
      <c r="UMF3788" s="179"/>
      <c r="UMG3788" s="179"/>
      <c r="UMH3788" s="179"/>
      <c r="UMI3788" s="179"/>
      <c r="UMJ3788" s="179"/>
      <c r="UMK3788" s="179"/>
      <c r="UML3788" s="179"/>
      <c r="UMM3788" s="179"/>
      <c r="UMN3788" s="179"/>
      <c r="UMO3788" s="179"/>
      <c r="UMP3788" s="179"/>
      <c r="UMQ3788" s="179"/>
      <c r="UMR3788" s="179"/>
      <c r="UMS3788" s="179"/>
      <c r="UMT3788" s="179"/>
      <c r="UMU3788" s="179"/>
      <c r="UMV3788" s="179"/>
      <c r="UMW3788" s="179"/>
      <c r="UMX3788" s="179"/>
      <c r="UMY3788" s="179"/>
      <c r="UMZ3788" s="179"/>
      <c r="UNA3788" s="179"/>
      <c r="UNB3788" s="179"/>
      <c r="UNC3788" s="179"/>
      <c r="UND3788" s="179"/>
      <c r="UNE3788" s="179"/>
      <c r="UNF3788" s="179"/>
      <c r="UNG3788" s="179"/>
      <c r="UNH3788" s="179"/>
      <c r="UNI3788" s="179"/>
      <c r="UNJ3788" s="179"/>
      <c r="UNK3788" s="179"/>
      <c r="UNL3788" s="179"/>
      <c r="UNM3788" s="179"/>
      <c r="UNN3788" s="179"/>
      <c r="UNO3788" s="179"/>
      <c r="UNP3788" s="179"/>
      <c r="UNQ3788" s="179"/>
      <c r="UNR3788" s="179"/>
      <c r="UNS3788" s="179"/>
      <c r="UNT3788" s="179"/>
      <c r="UNU3788" s="179"/>
      <c r="UNV3788" s="179"/>
      <c r="UNW3788" s="179"/>
      <c r="UNX3788" s="179"/>
      <c r="UNY3788" s="179"/>
      <c r="UNZ3788" s="179"/>
      <c r="UOA3788" s="179"/>
      <c r="UOB3788" s="179"/>
      <c r="UOC3788" s="179"/>
      <c r="UOD3788" s="179"/>
      <c r="UOE3788" s="179"/>
      <c r="UOF3788" s="179"/>
      <c r="UOG3788" s="179"/>
      <c r="UOH3788" s="179"/>
      <c r="UOI3788" s="179"/>
      <c r="UOJ3788" s="179"/>
      <c r="UOK3788" s="179"/>
      <c r="UOL3788" s="179"/>
      <c r="UOM3788" s="179"/>
      <c r="UON3788" s="179"/>
      <c r="UOO3788" s="179"/>
      <c r="UOP3788" s="179"/>
      <c r="UOQ3788" s="179"/>
      <c r="UOR3788" s="179"/>
      <c r="UOS3788" s="179"/>
      <c r="UOT3788" s="179"/>
      <c r="UOU3788" s="179"/>
      <c r="UOV3788" s="179"/>
      <c r="UOW3788" s="179"/>
      <c r="UOX3788" s="179"/>
      <c r="UOY3788" s="179"/>
      <c r="UOZ3788" s="179"/>
      <c r="UPA3788" s="179"/>
      <c r="UPB3788" s="179"/>
      <c r="UPC3788" s="179"/>
      <c r="UPD3788" s="179"/>
      <c r="UPE3788" s="179"/>
      <c r="UPF3788" s="179"/>
      <c r="UPG3788" s="179"/>
      <c r="UPH3788" s="179"/>
      <c r="UPI3788" s="179"/>
      <c r="UPJ3788" s="179"/>
      <c r="UPK3788" s="179"/>
      <c r="UPL3788" s="179"/>
      <c r="UPM3788" s="179"/>
      <c r="UPN3788" s="179"/>
      <c r="UPO3788" s="179"/>
      <c r="UPP3788" s="179"/>
      <c r="UPQ3788" s="179"/>
      <c r="UPR3788" s="179"/>
      <c r="UPS3788" s="179"/>
      <c r="UPT3788" s="179"/>
      <c r="UPU3788" s="179"/>
      <c r="UPV3788" s="179"/>
      <c r="UPW3788" s="179"/>
      <c r="UPX3788" s="179"/>
      <c r="UPY3788" s="179"/>
      <c r="UPZ3788" s="179"/>
      <c r="UQA3788" s="179"/>
      <c r="UQB3788" s="179"/>
      <c r="UQC3788" s="179"/>
      <c r="UQD3788" s="179"/>
      <c r="UQE3788" s="179"/>
      <c r="UQF3788" s="179"/>
      <c r="UQG3788" s="179"/>
      <c r="UQH3788" s="179"/>
      <c r="UQI3788" s="179"/>
      <c r="UQJ3788" s="179"/>
      <c r="UQK3788" s="179"/>
      <c r="UQL3788" s="179"/>
      <c r="UQM3788" s="179"/>
      <c r="UQN3788" s="179"/>
      <c r="UQO3788" s="179"/>
      <c r="UQP3788" s="179"/>
      <c r="UQQ3788" s="179"/>
      <c r="UQR3788" s="179"/>
      <c r="UQS3788" s="179"/>
      <c r="UQT3788" s="179"/>
      <c r="UQU3788" s="179"/>
      <c r="UQV3788" s="179"/>
      <c r="UQW3788" s="179"/>
      <c r="UQX3788" s="179"/>
      <c r="UQY3788" s="179"/>
      <c r="UQZ3788" s="179"/>
      <c r="URA3788" s="179"/>
      <c r="URB3788" s="179"/>
      <c r="URC3788" s="179"/>
      <c r="URD3788" s="179"/>
      <c r="URE3788" s="179"/>
      <c r="URF3788" s="179"/>
      <c r="URG3788" s="179"/>
      <c r="URH3788" s="179"/>
      <c r="URI3788" s="179"/>
      <c r="URJ3788" s="179"/>
      <c r="URK3788" s="179"/>
      <c r="URL3788" s="179"/>
      <c r="URM3788" s="179"/>
      <c r="URN3788" s="179"/>
      <c r="URO3788" s="179"/>
      <c r="URP3788" s="179"/>
      <c r="URQ3788" s="179"/>
      <c r="URR3788" s="179"/>
      <c r="URS3788" s="179"/>
      <c r="URT3788" s="179"/>
      <c r="URU3788" s="179"/>
      <c r="URV3788" s="179"/>
      <c r="URW3788" s="179"/>
      <c r="URX3788" s="179"/>
      <c r="URY3788" s="179"/>
      <c r="URZ3788" s="179"/>
      <c r="USA3788" s="179"/>
      <c r="USB3788" s="179"/>
      <c r="USC3788" s="179"/>
      <c r="USD3788" s="179"/>
      <c r="USE3788" s="179"/>
      <c r="USF3788" s="179"/>
      <c r="USG3788" s="179"/>
      <c r="USH3788" s="179"/>
      <c r="USI3788" s="179"/>
      <c r="USJ3788" s="179"/>
      <c r="USK3788" s="179"/>
      <c r="USL3788" s="179"/>
      <c r="USM3788" s="179"/>
      <c r="USN3788" s="179"/>
      <c r="USO3788" s="179"/>
      <c r="USP3788" s="179"/>
      <c r="USQ3788" s="179"/>
      <c r="USR3788" s="179"/>
      <c r="USS3788" s="179"/>
      <c r="UST3788" s="179"/>
      <c r="USU3788" s="179"/>
      <c r="USV3788" s="179"/>
      <c r="USW3788" s="179"/>
      <c r="USX3788" s="179"/>
      <c r="USY3788" s="179"/>
      <c r="USZ3788" s="179"/>
      <c r="UTA3788" s="179"/>
      <c r="UTB3788" s="179"/>
      <c r="UTC3788" s="179"/>
      <c r="UTD3788" s="179"/>
      <c r="UTE3788" s="179"/>
      <c r="UTF3788" s="179"/>
      <c r="UTG3788" s="179"/>
      <c r="UTH3788" s="179"/>
      <c r="UTI3788" s="179"/>
      <c r="UTJ3788" s="179"/>
      <c r="UTK3788" s="179"/>
      <c r="UTL3788" s="179"/>
      <c r="UTM3788" s="179"/>
      <c r="UTN3788" s="179"/>
      <c r="UTO3788" s="179"/>
      <c r="UTP3788" s="179"/>
      <c r="UTQ3788" s="179"/>
      <c r="UTR3788" s="179"/>
      <c r="UTS3788" s="179"/>
      <c r="UTT3788" s="179"/>
      <c r="UTU3788" s="179"/>
      <c r="UTV3788" s="179"/>
      <c r="UTW3788" s="179"/>
      <c r="UTX3788" s="179"/>
      <c r="UTY3788" s="179"/>
      <c r="UTZ3788" s="179"/>
      <c r="UUA3788" s="179"/>
      <c r="UUB3788" s="179"/>
      <c r="UUC3788" s="179"/>
      <c r="UUD3788" s="179"/>
      <c r="UUE3788" s="179"/>
      <c r="UUF3788" s="179"/>
      <c r="UUG3788" s="179"/>
      <c r="UUH3788" s="179"/>
      <c r="UUI3788" s="179"/>
      <c r="UUJ3788" s="179"/>
      <c r="UUK3788" s="179"/>
      <c r="UUL3788" s="179"/>
      <c r="UUM3788" s="179"/>
      <c r="UUN3788" s="179"/>
      <c r="UUO3788" s="179"/>
      <c r="UUP3788" s="179"/>
      <c r="UUQ3788" s="179"/>
      <c r="UUR3788" s="179"/>
      <c r="UUS3788" s="179"/>
      <c r="UUT3788" s="179"/>
      <c r="UUU3788" s="179"/>
      <c r="UUV3788" s="179"/>
      <c r="UUW3788" s="179"/>
      <c r="UUX3788" s="179"/>
      <c r="UUY3788" s="179"/>
      <c r="UUZ3788" s="179"/>
      <c r="UVA3788" s="179"/>
      <c r="UVB3788" s="179"/>
      <c r="UVC3788" s="179"/>
      <c r="UVD3788" s="179"/>
      <c r="UVE3788" s="179"/>
      <c r="UVF3788" s="179"/>
      <c r="UVG3788" s="179"/>
      <c r="UVH3788" s="179"/>
      <c r="UVI3788" s="179"/>
      <c r="UVJ3788" s="179"/>
      <c r="UVK3788" s="179"/>
      <c r="UVL3788" s="179"/>
      <c r="UVM3788" s="179"/>
      <c r="UVN3788" s="179"/>
      <c r="UVO3788" s="179"/>
      <c r="UVP3788" s="179"/>
      <c r="UVQ3788" s="179"/>
      <c r="UVR3788" s="179"/>
      <c r="UVS3788" s="179"/>
      <c r="UVT3788" s="179"/>
      <c r="UVU3788" s="179"/>
      <c r="UVV3788" s="179"/>
      <c r="UVW3788" s="179"/>
      <c r="UVX3788" s="179"/>
      <c r="UVY3788" s="179"/>
      <c r="UVZ3788" s="179"/>
      <c r="UWA3788" s="179"/>
      <c r="UWB3788" s="179"/>
      <c r="UWC3788" s="179"/>
      <c r="UWD3788" s="179"/>
      <c r="UWE3788" s="179"/>
      <c r="UWF3788" s="179"/>
      <c r="UWG3788" s="179"/>
      <c r="UWH3788" s="179"/>
      <c r="UWI3788" s="179"/>
      <c r="UWJ3788" s="179"/>
      <c r="UWK3788" s="179"/>
      <c r="UWL3788" s="179"/>
      <c r="UWM3788" s="179"/>
      <c r="UWN3788" s="179"/>
      <c r="UWO3788" s="179"/>
      <c r="UWP3788" s="179"/>
      <c r="UWQ3788" s="179"/>
      <c r="UWR3788" s="179"/>
      <c r="UWS3788" s="179"/>
      <c r="UWT3788" s="179"/>
      <c r="UWU3788" s="179"/>
      <c r="UWV3788" s="179"/>
      <c r="UWW3788" s="179"/>
      <c r="UWX3788" s="179"/>
      <c r="UWY3788" s="179"/>
      <c r="UWZ3788" s="179"/>
      <c r="UXA3788" s="179"/>
      <c r="UXB3788" s="179"/>
      <c r="UXC3788" s="179"/>
      <c r="UXD3788" s="179"/>
      <c r="UXE3788" s="179"/>
      <c r="UXF3788" s="179"/>
      <c r="UXG3788" s="179"/>
      <c r="UXH3788" s="179"/>
      <c r="UXI3788" s="179"/>
      <c r="UXJ3788" s="179"/>
      <c r="UXK3788" s="179"/>
      <c r="UXL3788" s="179"/>
      <c r="UXM3788" s="179"/>
      <c r="UXN3788" s="179"/>
      <c r="UXO3788" s="179"/>
      <c r="UXP3788" s="179"/>
      <c r="UXQ3788" s="179"/>
      <c r="UXR3788" s="179"/>
      <c r="UXS3788" s="179"/>
      <c r="UXT3788" s="179"/>
      <c r="UXU3788" s="179"/>
      <c r="UXV3788" s="179"/>
      <c r="UXW3788" s="179"/>
      <c r="UXX3788" s="179"/>
      <c r="UXY3788" s="179"/>
      <c r="UXZ3788" s="179"/>
      <c r="UYA3788" s="179"/>
      <c r="UYB3788" s="179"/>
      <c r="UYC3788" s="179"/>
      <c r="UYD3788" s="179"/>
      <c r="UYE3788" s="179"/>
      <c r="UYF3788" s="179"/>
      <c r="UYG3788" s="179"/>
      <c r="UYH3788" s="179"/>
      <c r="UYI3788" s="179"/>
      <c r="UYJ3788" s="179"/>
      <c r="UYK3788" s="179"/>
      <c r="UYL3788" s="179"/>
      <c r="UYM3788" s="179"/>
      <c r="UYN3788" s="179"/>
      <c r="UYO3788" s="179"/>
      <c r="UYP3788" s="179"/>
      <c r="UYQ3788" s="179"/>
      <c r="UYR3788" s="179"/>
      <c r="UYS3788" s="179"/>
      <c r="UYT3788" s="179"/>
      <c r="UYU3788" s="179"/>
      <c r="UYV3788" s="179"/>
      <c r="UYW3788" s="179"/>
      <c r="UYX3788" s="179"/>
      <c r="UYY3788" s="179"/>
      <c r="UYZ3788" s="179"/>
      <c r="UZA3788" s="179"/>
      <c r="UZB3788" s="179"/>
      <c r="UZC3788" s="179"/>
      <c r="UZD3788" s="179"/>
      <c r="UZE3788" s="179"/>
      <c r="UZF3788" s="179"/>
      <c r="UZG3788" s="179"/>
      <c r="UZH3788" s="179"/>
      <c r="UZI3788" s="179"/>
      <c r="UZJ3788" s="179"/>
      <c r="UZK3788" s="179"/>
      <c r="UZL3788" s="179"/>
      <c r="UZM3788" s="179"/>
      <c r="UZN3788" s="179"/>
      <c r="UZO3788" s="179"/>
      <c r="UZP3788" s="179"/>
      <c r="UZQ3788" s="179"/>
      <c r="UZR3788" s="179"/>
      <c r="UZS3788" s="179"/>
      <c r="UZT3788" s="179"/>
      <c r="UZU3788" s="179"/>
      <c r="UZV3788" s="179"/>
      <c r="UZW3788" s="179"/>
      <c r="UZX3788" s="179"/>
      <c r="UZY3788" s="179"/>
      <c r="UZZ3788" s="179"/>
      <c r="VAA3788" s="179"/>
      <c r="VAB3788" s="179"/>
      <c r="VAC3788" s="179"/>
      <c r="VAD3788" s="179"/>
      <c r="VAE3788" s="179"/>
      <c r="VAF3788" s="179"/>
      <c r="VAG3788" s="179"/>
      <c r="VAH3788" s="179"/>
      <c r="VAI3788" s="179"/>
      <c r="VAJ3788" s="179"/>
      <c r="VAK3788" s="179"/>
      <c r="VAL3788" s="179"/>
      <c r="VAM3788" s="179"/>
      <c r="VAN3788" s="179"/>
      <c r="VAO3788" s="179"/>
      <c r="VAP3788" s="179"/>
      <c r="VAQ3788" s="179"/>
      <c r="VAR3788" s="179"/>
      <c r="VAS3788" s="179"/>
      <c r="VAT3788" s="179"/>
      <c r="VAU3788" s="179"/>
      <c r="VAV3788" s="179"/>
      <c r="VAW3788" s="179"/>
      <c r="VAX3788" s="179"/>
      <c r="VAY3788" s="179"/>
      <c r="VAZ3788" s="179"/>
      <c r="VBA3788" s="179"/>
      <c r="VBB3788" s="179"/>
      <c r="VBC3788" s="179"/>
      <c r="VBD3788" s="179"/>
      <c r="VBE3788" s="179"/>
      <c r="VBF3788" s="179"/>
      <c r="VBG3788" s="179"/>
      <c r="VBH3788" s="179"/>
      <c r="VBI3788" s="179"/>
      <c r="VBJ3788" s="179"/>
      <c r="VBK3788" s="179"/>
      <c r="VBL3788" s="179"/>
      <c r="VBM3788" s="179"/>
      <c r="VBN3788" s="179"/>
      <c r="VBO3788" s="179"/>
      <c r="VBP3788" s="179"/>
      <c r="VBQ3788" s="179"/>
      <c r="VBR3788" s="179"/>
      <c r="VBS3788" s="179"/>
      <c r="VBT3788" s="179"/>
      <c r="VBU3788" s="179"/>
      <c r="VBV3788" s="179"/>
      <c r="VBW3788" s="179"/>
      <c r="VBX3788" s="179"/>
      <c r="VBY3788" s="179"/>
      <c r="VBZ3788" s="179"/>
      <c r="VCA3788" s="179"/>
      <c r="VCB3788" s="179"/>
      <c r="VCC3788" s="179"/>
      <c r="VCD3788" s="179"/>
      <c r="VCE3788" s="179"/>
      <c r="VCF3788" s="179"/>
      <c r="VCG3788" s="179"/>
      <c r="VCH3788" s="179"/>
      <c r="VCI3788" s="179"/>
      <c r="VCJ3788" s="179"/>
      <c r="VCK3788" s="179"/>
      <c r="VCL3788" s="179"/>
      <c r="VCM3788" s="179"/>
      <c r="VCN3788" s="179"/>
      <c r="VCO3788" s="179"/>
      <c r="VCP3788" s="179"/>
      <c r="VCQ3788" s="179"/>
      <c r="VCR3788" s="179"/>
      <c r="VCS3788" s="179"/>
      <c r="VCT3788" s="179"/>
      <c r="VCU3788" s="179"/>
      <c r="VCV3788" s="179"/>
      <c r="VCW3788" s="179"/>
      <c r="VCX3788" s="179"/>
      <c r="VCY3788" s="179"/>
      <c r="VCZ3788" s="179"/>
      <c r="VDA3788" s="179"/>
      <c r="VDB3788" s="179"/>
      <c r="VDC3788" s="179"/>
      <c r="VDD3788" s="179"/>
      <c r="VDE3788" s="179"/>
      <c r="VDF3788" s="179"/>
      <c r="VDG3788" s="179"/>
      <c r="VDH3788" s="179"/>
      <c r="VDI3788" s="179"/>
      <c r="VDJ3788" s="179"/>
      <c r="VDK3788" s="179"/>
      <c r="VDL3788" s="179"/>
      <c r="VDM3788" s="179"/>
      <c r="VDN3788" s="179"/>
      <c r="VDO3788" s="179"/>
      <c r="VDP3788" s="179"/>
      <c r="VDQ3788" s="179"/>
      <c r="VDR3788" s="179"/>
      <c r="VDS3788" s="179"/>
      <c r="VDT3788" s="179"/>
      <c r="VDU3788" s="179"/>
      <c r="VDV3788" s="179"/>
      <c r="VDW3788" s="179"/>
      <c r="VDX3788" s="179"/>
      <c r="VDY3788" s="179"/>
      <c r="VDZ3788" s="179"/>
      <c r="VEA3788" s="179"/>
      <c r="VEB3788" s="179"/>
      <c r="VEC3788" s="179"/>
      <c r="VED3788" s="179"/>
      <c r="VEE3788" s="179"/>
      <c r="VEF3788" s="179"/>
      <c r="VEG3788" s="179"/>
      <c r="VEH3788" s="179"/>
      <c r="VEI3788" s="179"/>
      <c r="VEJ3788" s="179"/>
      <c r="VEK3788" s="179"/>
      <c r="VEL3788" s="179"/>
      <c r="VEM3788" s="179"/>
      <c r="VEN3788" s="179"/>
      <c r="VEO3788" s="179"/>
      <c r="VEP3788" s="179"/>
      <c r="VEQ3788" s="179"/>
      <c r="VER3788" s="179"/>
      <c r="VES3788" s="179"/>
      <c r="VET3788" s="179"/>
      <c r="VEU3788" s="179"/>
      <c r="VEV3788" s="179"/>
      <c r="VEW3788" s="179"/>
      <c r="VEX3788" s="179"/>
      <c r="VEY3788" s="179"/>
      <c r="VEZ3788" s="179"/>
      <c r="VFA3788" s="179"/>
      <c r="VFB3788" s="179"/>
      <c r="VFC3788" s="179"/>
      <c r="VFD3788" s="179"/>
      <c r="VFE3788" s="179"/>
      <c r="VFF3788" s="179"/>
      <c r="VFG3788" s="179"/>
      <c r="VFH3788" s="179"/>
      <c r="VFI3788" s="179"/>
      <c r="VFJ3788" s="179"/>
      <c r="VFK3788" s="179"/>
      <c r="VFL3788" s="179"/>
      <c r="VFM3788" s="179"/>
      <c r="VFN3788" s="179"/>
      <c r="VFO3788" s="179"/>
      <c r="VFP3788" s="179"/>
      <c r="VFQ3788" s="179"/>
      <c r="VFR3788" s="179"/>
      <c r="VFS3788" s="179"/>
      <c r="VFT3788" s="179"/>
      <c r="VFU3788" s="179"/>
      <c r="VFV3788" s="179"/>
      <c r="VFW3788" s="179"/>
      <c r="VFX3788" s="179"/>
      <c r="VFY3788" s="179"/>
      <c r="VFZ3788" s="179"/>
      <c r="VGA3788" s="179"/>
      <c r="VGB3788" s="179"/>
      <c r="VGC3788" s="179"/>
      <c r="VGD3788" s="179"/>
      <c r="VGE3788" s="179"/>
      <c r="VGF3788" s="179"/>
      <c r="VGG3788" s="179"/>
      <c r="VGH3788" s="179"/>
      <c r="VGI3788" s="179"/>
      <c r="VGJ3788" s="179"/>
      <c r="VGK3788" s="179"/>
      <c r="VGL3788" s="179"/>
      <c r="VGM3788" s="179"/>
      <c r="VGN3788" s="179"/>
      <c r="VGO3788" s="179"/>
      <c r="VGP3788" s="179"/>
      <c r="VGQ3788" s="179"/>
      <c r="VGR3788" s="179"/>
      <c r="VGS3788" s="179"/>
      <c r="VGT3788" s="179"/>
      <c r="VGU3788" s="179"/>
      <c r="VGV3788" s="179"/>
      <c r="VGW3788" s="179"/>
      <c r="VGX3788" s="179"/>
      <c r="VGY3788" s="179"/>
      <c r="VGZ3788" s="179"/>
      <c r="VHA3788" s="179"/>
      <c r="VHB3788" s="179"/>
      <c r="VHC3788" s="179"/>
      <c r="VHD3788" s="179"/>
      <c r="VHE3788" s="179"/>
      <c r="VHF3788" s="179"/>
      <c r="VHG3788" s="179"/>
      <c r="VHH3788" s="179"/>
      <c r="VHI3788" s="179"/>
      <c r="VHJ3788" s="179"/>
      <c r="VHK3788" s="179"/>
      <c r="VHL3788" s="179"/>
      <c r="VHM3788" s="179"/>
      <c r="VHN3788" s="179"/>
      <c r="VHO3788" s="179"/>
      <c r="VHP3788" s="179"/>
      <c r="VHQ3788" s="179"/>
      <c r="VHR3788" s="179"/>
      <c r="VHS3788" s="179"/>
      <c r="VHT3788" s="179"/>
      <c r="VHU3788" s="179"/>
      <c r="VHV3788" s="179"/>
      <c r="VHW3788" s="179"/>
      <c r="VHX3788" s="179"/>
      <c r="VHY3788" s="179"/>
      <c r="VHZ3788" s="179"/>
      <c r="VIA3788" s="179"/>
      <c r="VIB3788" s="179"/>
      <c r="VIC3788" s="179"/>
      <c r="VID3788" s="179"/>
      <c r="VIE3788" s="179"/>
      <c r="VIF3788" s="179"/>
      <c r="VIG3788" s="179"/>
      <c r="VIH3788" s="179"/>
      <c r="VII3788" s="179"/>
      <c r="VIJ3788" s="179"/>
      <c r="VIK3788" s="179"/>
      <c r="VIL3788" s="179"/>
      <c r="VIM3788" s="179"/>
      <c r="VIN3788" s="179"/>
      <c r="VIO3788" s="179"/>
      <c r="VIP3788" s="179"/>
      <c r="VIQ3788" s="179"/>
      <c r="VIR3788" s="179"/>
      <c r="VIS3788" s="179"/>
      <c r="VIT3788" s="179"/>
      <c r="VIU3788" s="179"/>
      <c r="VIV3788" s="179"/>
      <c r="VIW3788" s="179"/>
      <c r="VIX3788" s="179"/>
      <c r="VIY3788" s="179"/>
      <c r="VIZ3788" s="179"/>
      <c r="VJA3788" s="179"/>
      <c r="VJB3788" s="179"/>
      <c r="VJC3788" s="179"/>
      <c r="VJD3788" s="179"/>
      <c r="VJE3788" s="179"/>
      <c r="VJF3788" s="179"/>
      <c r="VJG3788" s="179"/>
      <c r="VJH3788" s="179"/>
      <c r="VJI3788" s="179"/>
      <c r="VJJ3788" s="179"/>
      <c r="VJK3788" s="179"/>
      <c r="VJL3788" s="179"/>
      <c r="VJM3788" s="179"/>
      <c r="VJN3788" s="179"/>
      <c r="VJO3788" s="179"/>
      <c r="VJP3788" s="179"/>
      <c r="VJQ3788" s="179"/>
      <c r="VJR3788" s="179"/>
      <c r="VJS3788" s="179"/>
      <c r="VJT3788" s="179"/>
      <c r="VJU3788" s="179"/>
      <c r="VJV3788" s="179"/>
      <c r="VJW3788" s="179"/>
      <c r="VJX3788" s="179"/>
      <c r="VJY3788" s="179"/>
      <c r="VJZ3788" s="179"/>
      <c r="VKA3788" s="179"/>
      <c r="VKB3788" s="179"/>
      <c r="VKC3788" s="179"/>
      <c r="VKD3788" s="179"/>
      <c r="VKE3788" s="179"/>
      <c r="VKF3788" s="179"/>
      <c r="VKG3788" s="179"/>
      <c r="VKH3788" s="179"/>
      <c r="VKI3788" s="179"/>
      <c r="VKJ3788" s="179"/>
      <c r="VKK3788" s="179"/>
      <c r="VKL3788" s="179"/>
      <c r="VKM3788" s="179"/>
      <c r="VKN3788" s="179"/>
      <c r="VKO3788" s="179"/>
      <c r="VKP3788" s="179"/>
      <c r="VKQ3788" s="179"/>
      <c r="VKR3788" s="179"/>
      <c r="VKS3788" s="179"/>
      <c r="VKT3788" s="179"/>
      <c r="VKU3788" s="179"/>
      <c r="VKV3788" s="179"/>
      <c r="VKW3788" s="179"/>
      <c r="VKX3788" s="179"/>
      <c r="VKY3788" s="179"/>
      <c r="VKZ3788" s="179"/>
      <c r="VLA3788" s="179"/>
      <c r="VLB3788" s="179"/>
      <c r="VLC3788" s="179"/>
      <c r="VLD3788" s="179"/>
      <c r="VLE3788" s="179"/>
      <c r="VLF3788" s="179"/>
      <c r="VLG3788" s="179"/>
      <c r="VLH3788" s="179"/>
      <c r="VLI3788" s="179"/>
      <c r="VLJ3788" s="179"/>
      <c r="VLK3788" s="179"/>
      <c r="VLL3788" s="179"/>
      <c r="VLM3788" s="179"/>
      <c r="VLN3788" s="179"/>
      <c r="VLO3788" s="179"/>
      <c r="VLP3788" s="179"/>
      <c r="VLQ3788" s="179"/>
      <c r="VLR3788" s="179"/>
      <c r="VLS3788" s="179"/>
      <c r="VLT3788" s="179"/>
      <c r="VLU3788" s="179"/>
      <c r="VLV3788" s="179"/>
      <c r="VLW3788" s="179"/>
      <c r="VLX3788" s="179"/>
      <c r="VLY3788" s="179"/>
      <c r="VLZ3788" s="179"/>
      <c r="VMA3788" s="179"/>
      <c r="VMB3788" s="179"/>
      <c r="VMC3788" s="179"/>
      <c r="VMD3788" s="179"/>
      <c r="VME3788" s="179"/>
      <c r="VMF3788" s="179"/>
      <c r="VMG3788" s="179"/>
      <c r="VMH3788" s="179"/>
      <c r="VMI3788" s="179"/>
      <c r="VMJ3788" s="179"/>
      <c r="VMK3788" s="179"/>
      <c r="VML3788" s="179"/>
      <c r="VMM3788" s="179"/>
      <c r="VMN3788" s="179"/>
      <c r="VMO3788" s="179"/>
      <c r="VMP3788" s="179"/>
      <c r="VMQ3788" s="179"/>
      <c r="VMR3788" s="179"/>
      <c r="VMS3788" s="179"/>
      <c r="VMT3788" s="179"/>
      <c r="VMU3788" s="179"/>
      <c r="VMV3788" s="179"/>
      <c r="VMW3788" s="179"/>
      <c r="VMX3788" s="179"/>
      <c r="VMY3788" s="179"/>
      <c r="VMZ3788" s="179"/>
      <c r="VNA3788" s="179"/>
      <c r="VNB3788" s="179"/>
      <c r="VNC3788" s="179"/>
      <c r="VND3788" s="179"/>
      <c r="VNE3788" s="179"/>
      <c r="VNF3788" s="179"/>
      <c r="VNG3788" s="179"/>
      <c r="VNH3788" s="179"/>
      <c r="VNI3788" s="179"/>
      <c r="VNJ3788" s="179"/>
      <c r="VNK3788" s="179"/>
      <c r="VNL3788" s="179"/>
      <c r="VNM3788" s="179"/>
      <c r="VNN3788" s="179"/>
      <c r="VNO3788" s="179"/>
      <c r="VNP3788" s="179"/>
      <c r="VNQ3788" s="179"/>
      <c r="VNR3788" s="179"/>
      <c r="VNS3788" s="179"/>
      <c r="VNT3788" s="179"/>
      <c r="VNU3788" s="179"/>
      <c r="VNV3788" s="179"/>
      <c r="VNW3788" s="179"/>
      <c r="VNX3788" s="179"/>
      <c r="VNY3788" s="179"/>
      <c r="VNZ3788" s="179"/>
      <c r="VOA3788" s="179"/>
      <c r="VOB3788" s="179"/>
      <c r="VOC3788" s="179"/>
      <c r="VOD3788" s="179"/>
      <c r="VOE3788" s="179"/>
      <c r="VOF3788" s="179"/>
      <c r="VOG3788" s="179"/>
      <c r="VOH3788" s="179"/>
      <c r="VOI3788" s="179"/>
      <c r="VOJ3788" s="179"/>
      <c r="VOK3788" s="179"/>
      <c r="VOL3788" s="179"/>
      <c r="VOM3788" s="179"/>
      <c r="VON3788" s="179"/>
      <c r="VOO3788" s="179"/>
      <c r="VOP3788" s="179"/>
      <c r="VOQ3788" s="179"/>
      <c r="VOR3788" s="179"/>
      <c r="VOS3788" s="179"/>
      <c r="VOT3788" s="179"/>
      <c r="VOU3788" s="179"/>
      <c r="VOV3788" s="179"/>
      <c r="VOW3788" s="179"/>
      <c r="VOX3788" s="179"/>
      <c r="VOY3788" s="179"/>
      <c r="VOZ3788" s="179"/>
      <c r="VPA3788" s="179"/>
      <c r="VPB3788" s="179"/>
      <c r="VPC3788" s="179"/>
      <c r="VPD3788" s="179"/>
      <c r="VPE3788" s="179"/>
      <c r="VPF3788" s="179"/>
      <c r="VPG3788" s="179"/>
      <c r="VPH3788" s="179"/>
      <c r="VPI3788" s="179"/>
      <c r="VPJ3788" s="179"/>
      <c r="VPK3788" s="179"/>
      <c r="VPL3788" s="179"/>
      <c r="VPM3788" s="179"/>
      <c r="VPN3788" s="179"/>
      <c r="VPO3788" s="179"/>
      <c r="VPP3788" s="179"/>
      <c r="VPQ3788" s="179"/>
      <c r="VPR3788" s="179"/>
      <c r="VPS3788" s="179"/>
      <c r="VPT3788" s="179"/>
      <c r="VPU3788" s="179"/>
      <c r="VPV3788" s="179"/>
      <c r="VPW3788" s="179"/>
      <c r="VPX3788" s="179"/>
      <c r="VPY3788" s="179"/>
      <c r="VPZ3788" s="179"/>
      <c r="VQA3788" s="179"/>
      <c r="VQB3788" s="179"/>
      <c r="VQC3788" s="179"/>
      <c r="VQD3788" s="179"/>
      <c r="VQE3788" s="179"/>
      <c r="VQF3788" s="179"/>
      <c r="VQG3788" s="179"/>
      <c r="VQH3788" s="179"/>
      <c r="VQI3788" s="179"/>
      <c r="VQJ3788" s="179"/>
      <c r="VQK3788" s="179"/>
      <c r="VQL3788" s="179"/>
      <c r="VQM3788" s="179"/>
      <c r="VQN3788" s="179"/>
      <c r="VQO3788" s="179"/>
      <c r="VQP3788" s="179"/>
      <c r="VQQ3788" s="179"/>
      <c r="VQR3788" s="179"/>
      <c r="VQS3788" s="179"/>
      <c r="VQT3788" s="179"/>
      <c r="VQU3788" s="179"/>
      <c r="VQV3788" s="179"/>
      <c r="VQW3788" s="179"/>
      <c r="VQX3788" s="179"/>
      <c r="VQY3788" s="179"/>
      <c r="VQZ3788" s="179"/>
      <c r="VRA3788" s="179"/>
      <c r="VRB3788" s="179"/>
      <c r="VRC3788" s="179"/>
      <c r="VRD3788" s="179"/>
      <c r="VRE3788" s="179"/>
      <c r="VRF3788" s="179"/>
      <c r="VRG3788" s="179"/>
      <c r="VRH3788" s="179"/>
      <c r="VRI3788" s="179"/>
      <c r="VRJ3788" s="179"/>
      <c r="VRK3788" s="179"/>
      <c r="VRL3788" s="179"/>
      <c r="VRM3788" s="179"/>
      <c r="VRN3788" s="179"/>
      <c r="VRO3788" s="179"/>
      <c r="VRP3788" s="179"/>
      <c r="VRQ3788" s="179"/>
      <c r="VRR3788" s="179"/>
      <c r="VRS3788" s="179"/>
      <c r="VRT3788" s="179"/>
      <c r="VRU3788" s="179"/>
      <c r="VRV3788" s="179"/>
      <c r="VRW3788" s="179"/>
      <c r="VRX3788" s="179"/>
      <c r="VRY3788" s="179"/>
      <c r="VRZ3788" s="179"/>
      <c r="VSA3788" s="179"/>
      <c r="VSB3788" s="179"/>
      <c r="VSC3788" s="179"/>
      <c r="VSD3788" s="179"/>
      <c r="VSE3788" s="179"/>
      <c r="VSF3788" s="179"/>
      <c r="VSG3788" s="179"/>
      <c r="VSH3788" s="179"/>
      <c r="VSI3788" s="179"/>
      <c r="VSJ3788" s="179"/>
      <c r="VSK3788" s="179"/>
      <c r="VSL3788" s="179"/>
      <c r="VSM3788" s="179"/>
      <c r="VSN3788" s="179"/>
      <c r="VSO3788" s="179"/>
      <c r="VSP3788" s="179"/>
      <c r="VSQ3788" s="179"/>
      <c r="VSR3788" s="179"/>
      <c r="VSS3788" s="179"/>
      <c r="VST3788" s="179"/>
      <c r="VSU3788" s="179"/>
      <c r="VSV3788" s="179"/>
      <c r="VSW3788" s="179"/>
      <c r="VSX3788" s="179"/>
      <c r="VSY3788" s="179"/>
      <c r="VSZ3788" s="179"/>
      <c r="VTA3788" s="179"/>
      <c r="VTB3788" s="179"/>
      <c r="VTC3788" s="179"/>
      <c r="VTD3788" s="179"/>
      <c r="VTE3788" s="179"/>
      <c r="VTF3788" s="179"/>
      <c r="VTG3788" s="179"/>
      <c r="VTH3788" s="179"/>
      <c r="VTI3788" s="179"/>
      <c r="VTJ3788" s="179"/>
      <c r="VTK3788" s="179"/>
      <c r="VTL3788" s="179"/>
      <c r="VTM3788" s="179"/>
      <c r="VTN3788" s="179"/>
      <c r="VTO3788" s="179"/>
      <c r="VTP3788" s="179"/>
      <c r="VTQ3788" s="179"/>
      <c r="VTR3788" s="179"/>
      <c r="VTS3788" s="179"/>
      <c r="VTT3788" s="179"/>
      <c r="VTU3788" s="179"/>
      <c r="VTV3788" s="179"/>
      <c r="VTW3788" s="179"/>
      <c r="VTX3788" s="179"/>
      <c r="VTY3788" s="179"/>
      <c r="VTZ3788" s="179"/>
      <c r="VUA3788" s="179"/>
      <c r="VUB3788" s="179"/>
      <c r="VUC3788" s="179"/>
      <c r="VUD3788" s="179"/>
      <c r="VUE3788" s="179"/>
      <c r="VUF3788" s="179"/>
      <c r="VUG3788" s="179"/>
      <c r="VUH3788" s="179"/>
      <c r="VUI3788" s="179"/>
      <c r="VUJ3788" s="179"/>
      <c r="VUK3788" s="179"/>
      <c r="VUL3788" s="179"/>
      <c r="VUM3788" s="179"/>
      <c r="VUN3788" s="179"/>
      <c r="VUO3788" s="179"/>
      <c r="VUP3788" s="179"/>
      <c r="VUQ3788" s="179"/>
      <c r="VUR3788" s="179"/>
      <c r="VUS3788" s="179"/>
      <c r="VUT3788" s="179"/>
      <c r="VUU3788" s="179"/>
      <c r="VUV3788" s="179"/>
      <c r="VUW3788" s="179"/>
      <c r="VUX3788" s="179"/>
      <c r="VUY3788" s="179"/>
      <c r="VUZ3788" s="179"/>
      <c r="VVA3788" s="179"/>
      <c r="VVB3788" s="179"/>
      <c r="VVC3788" s="179"/>
      <c r="VVD3788" s="179"/>
      <c r="VVE3788" s="179"/>
      <c r="VVF3788" s="179"/>
      <c r="VVG3788" s="179"/>
      <c r="VVH3788" s="179"/>
      <c r="VVI3788" s="179"/>
      <c r="VVJ3788" s="179"/>
      <c r="VVK3788" s="179"/>
      <c r="VVL3788" s="179"/>
      <c r="VVM3788" s="179"/>
      <c r="VVN3788" s="179"/>
      <c r="VVO3788" s="179"/>
      <c r="VVP3788" s="179"/>
      <c r="VVQ3788" s="179"/>
      <c r="VVR3788" s="179"/>
      <c r="VVS3788" s="179"/>
      <c r="VVT3788" s="179"/>
      <c r="VVU3788" s="179"/>
      <c r="VVV3788" s="179"/>
      <c r="VVW3788" s="179"/>
      <c r="VVX3788" s="179"/>
      <c r="VVY3788" s="179"/>
      <c r="VVZ3788" s="179"/>
      <c r="VWA3788" s="179"/>
      <c r="VWB3788" s="179"/>
      <c r="VWC3788" s="179"/>
      <c r="VWD3788" s="179"/>
      <c r="VWE3788" s="179"/>
      <c r="VWF3788" s="179"/>
      <c r="VWG3788" s="179"/>
      <c r="VWH3788" s="179"/>
      <c r="VWI3788" s="179"/>
      <c r="VWJ3788" s="179"/>
      <c r="VWK3788" s="179"/>
      <c r="VWL3788" s="179"/>
      <c r="VWM3788" s="179"/>
      <c r="VWN3788" s="179"/>
      <c r="VWO3788" s="179"/>
      <c r="VWP3788" s="179"/>
      <c r="VWQ3788" s="179"/>
      <c r="VWR3788" s="179"/>
      <c r="VWS3788" s="179"/>
      <c r="VWT3788" s="179"/>
      <c r="VWU3788" s="179"/>
      <c r="VWV3788" s="179"/>
      <c r="VWW3788" s="179"/>
      <c r="VWX3788" s="179"/>
      <c r="VWY3788" s="179"/>
      <c r="VWZ3788" s="179"/>
      <c r="VXA3788" s="179"/>
      <c r="VXB3788" s="179"/>
      <c r="VXC3788" s="179"/>
      <c r="VXD3788" s="179"/>
      <c r="VXE3788" s="179"/>
      <c r="VXF3788" s="179"/>
      <c r="VXG3788" s="179"/>
      <c r="VXH3788" s="179"/>
      <c r="VXI3788" s="179"/>
      <c r="VXJ3788" s="179"/>
      <c r="VXK3788" s="179"/>
      <c r="VXL3788" s="179"/>
      <c r="VXM3788" s="179"/>
      <c r="VXN3788" s="179"/>
      <c r="VXO3788" s="179"/>
      <c r="VXP3788" s="179"/>
      <c r="VXQ3788" s="179"/>
      <c r="VXR3788" s="179"/>
      <c r="VXS3788" s="179"/>
      <c r="VXT3788" s="179"/>
      <c r="VXU3788" s="179"/>
      <c r="VXV3788" s="179"/>
      <c r="VXW3788" s="179"/>
      <c r="VXX3788" s="179"/>
      <c r="VXY3788" s="179"/>
      <c r="VXZ3788" s="179"/>
      <c r="VYA3788" s="179"/>
      <c r="VYB3788" s="179"/>
      <c r="VYC3788" s="179"/>
      <c r="VYD3788" s="179"/>
      <c r="VYE3788" s="179"/>
      <c r="VYF3788" s="179"/>
      <c r="VYG3788" s="179"/>
      <c r="VYH3788" s="179"/>
      <c r="VYI3788" s="179"/>
      <c r="VYJ3788" s="179"/>
      <c r="VYK3788" s="179"/>
      <c r="VYL3788" s="179"/>
      <c r="VYM3788" s="179"/>
      <c r="VYN3788" s="179"/>
      <c r="VYO3788" s="179"/>
      <c r="VYP3788" s="179"/>
      <c r="VYQ3788" s="179"/>
      <c r="VYR3788" s="179"/>
      <c r="VYS3788" s="179"/>
      <c r="VYT3788" s="179"/>
      <c r="VYU3788" s="179"/>
      <c r="VYV3788" s="179"/>
      <c r="VYW3788" s="179"/>
      <c r="VYX3788" s="179"/>
      <c r="VYY3788" s="179"/>
      <c r="VYZ3788" s="179"/>
      <c r="VZA3788" s="179"/>
      <c r="VZB3788" s="179"/>
      <c r="VZC3788" s="179"/>
      <c r="VZD3788" s="179"/>
      <c r="VZE3788" s="179"/>
      <c r="VZF3788" s="179"/>
      <c r="VZG3788" s="179"/>
      <c r="VZH3788" s="179"/>
      <c r="VZI3788" s="179"/>
      <c r="VZJ3788" s="179"/>
      <c r="VZK3788" s="179"/>
      <c r="VZL3788" s="179"/>
      <c r="VZM3788" s="179"/>
      <c r="VZN3788" s="179"/>
      <c r="VZO3788" s="179"/>
      <c r="VZP3788" s="179"/>
      <c r="VZQ3788" s="179"/>
      <c r="VZR3788" s="179"/>
      <c r="VZS3788" s="179"/>
      <c r="VZT3788" s="179"/>
      <c r="VZU3788" s="179"/>
      <c r="VZV3788" s="179"/>
      <c r="VZW3788" s="179"/>
      <c r="VZX3788" s="179"/>
      <c r="VZY3788" s="179"/>
      <c r="VZZ3788" s="179"/>
      <c r="WAA3788" s="179"/>
      <c r="WAB3788" s="179"/>
      <c r="WAC3788" s="179"/>
      <c r="WAD3788" s="179"/>
      <c r="WAE3788" s="179"/>
      <c r="WAF3788" s="179"/>
      <c r="WAG3788" s="179"/>
      <c r="WAH3788" s="179"/>
      <c r="WAI3788" s="179"/>
      <c r="WAJ3788" s="179"/>
      <c r="WAK3788" s="179"/>
      <c r="WAL3788" s="179"/>
      <c r="WAM3788" s="179"/>
      <c r="WAN3788" s="179"/>
      <c r="WAO3788" s="179"/>
      <c r="WAP3788" s="179"/>
      <c r="WAQ3788" s="179"/>
      <c r="WAR3788" s="179"/>
      <c r="WAS3788" s="179"/>
      <c r="WAT3788" s="179"/>
      <c r="WAU3788" s="179"/>
      <c r="WAV3788" s="179"/>
      <c r="WAW3788" s="179"/>
      <c r="WAX3788" s="179"/>
      <c r="WAY3788" s="179"/>
      <c r="WAZ3788" s="179"/>
      <c r="WBA3788" s="179"/>
      <c r="WBB3788" s="179"/>
      <c r="WBC3788" s="179"/>
      <c r="WBD3788" s="179"/>
      <c r="WBE3788" s="179"/>
      <c r="WBF3788" s="179"/>
      <c r="WBG3788" s="179"/>
      <c r="WBH3788" s="179"/>
      <c r="WBI3788" s="179"/>
      <c r="WBJ3788" s="179"/>
      <c r="WBK3788" s="179"/>
      <c r="WBL3788" s="179"/>
      <c r="WBM3788" s="179"/>
      <c r="WBN3788" s="179"/>
      <c r="WBO3788" s="179"/>
      <c r="WBP3788" s="179"/>
      <c r="WBQ3788" s="179"/>
      <c r="WBR3788" s="179"/>
      <c r="WBS3788" s="179"/>
      <c r="WBT3788" s="179"/>
      <c r="WBU3788" s="179"/>
      <c r="WBV3788" s="179"/>
      <c r="WBW3788" s="179"/>
      <c r="WBX3788" s="179"/>
      <c r="WBY3788" s="179"/>
      <c r="WBZ3788" s="179"/>
      <c r="WCA3788" s="179"/>
      <c r="WCB3788" s="179"/>
      <c r="WCC3788" s="179"/>
      <c r="WCD3788" s="179"/>
      <c r="WCE3788" s="179"/>
      <c r="WCF3788" s="179"/>
      <c r="WCG3788" s="179"/>
      <c r="WCH3788" s="179"/>
      <c r="WCI3788" s="179"/>
      <c r="WCJ3788" s="179"/>
      <c r="WCK3788" s="179"/>
      <c r="WCL3788" s="179"/>
      <c r="WCM3788" s="179"/>
      <c r="WCN3788" s="179"/>
      <c r="WCO3788" s="179"/>
      <c r="WCP3788" s="179"/>
      <c r="WCQ3788" s="179"/>
      <c r="WCR3788" s="179"/>
      <c r="WCS3788" s="179"/>
      <c r="WCT3788" s="179"/>
      <c r="WCU3788" s="179"/>
      <c r="WCV3788" s="179"/>
      <c r="WCW3788" s="179"/>
      <c r="WCX3788" s="179"/>
      <c r="WCY3788" s="179"/>
      <c r="WCZ3788" s="179"/>
      <c r="WDA3788" s="179"/>
      <c r="WDB3788" s="179"/>
      <c r="WDC3788" s="179"/>
      <c r="WDD3788" s="179"/>
      <c r="WDE3788" s="179"/>
      <c r="WDF3788" s="179"/>
      <c r="WDG3788" s="179"/>
      <c r="WDH3788" s="179"/>
      <c r="WDI3788" s="179"/>
      <c r="WDJ3788" s="179"/>
      <c r="WDK3788" s="179"/>
      <c r="WDL3788" s="179"/>
      <c r="WDM3788" s="179"/>
      <c r="WDN3788" s="179"/>
      <c r="WDO3788" s="179"/>
      <c r="WDP3788" s="179"/>
      <c r="WDQ3788" s="179"/>
      <c r="WDR3788" s="179"/>
      <c r="WDS3788" s="179"/>
      <c r="WDT3788" s="179"/>
      <c r="WDU3788" s="179"/>
      <c r="WDV3788" s="179"/>
      <c r="WDW3788" s="179"/>
      <c r="WDX3788" s="179"/>
      <c r="WDY3788" s="179"/>
      <c r="WDZ3788" s="179"/>
      <c r="WEA3788" s="179"/>
      <c r="WEB3788" s="179"/>
      <c r="WEC3788" s="179"/>
      <c r="WED3788" s="179"/>
      <c r="WEE3788" s="179"/>
      <c r="WEF3788" s="179"/>
      <c r="WEG3788" s="179"/>
      <c r="WEH3788" s="179"/>
      <c r="WEI3788" s="179"/>
      <c r="WEJ3788" s="179"/>
      <c r="WEK3788" s="179"/>
      <c r="WEL3788" s="179"/>
      <c r="WEM3788" s="179"/>
      <c r="WEN3788" s="179"/>
      <c r="WEO3788" s="179"/>
      <c r="WEP3788" s="179"/>
      <c r="WEQ3788" s="179"/>
      <c r="WER3788" s="179"/>
      <c r="WES3788" s="179"/>
      <c r="WET3788" s="179"/>
      <c r="WEU3788" s="179"/>
      <c r="WEV3788" s="179"/>
      <c r="WEW3788" s="179"/>
      <c r="WEX3788" s="179"/>
      <c r="WEY3788" s="179"/>
      <c r="WEZ3788" s="179"/>
      <c r="WFA3788" s="179"/>
      <c r="WFB3788" s="179"/>
      <c r="WFC3788" s="179"/>
      <c r="WFD3788" s="179"/>
      <c r="WFE3788" s="179"/>
      <c r="WFF3788" s="179"/>
      <c r="WFG3788" s="179"/>
      <c r="WFH3788" s="179"/>
      <c r="WFI3788" s="179"/>
      <c r="WFJ3788" s="179"/>
      <c r="WFK3788" s="179"/>
      <c r="WFL3788" s="179"/>
      <c r="WFM3788" s="179"/>
      <c r="WFN3788" s="179"/>
      <c r="WFO3788" s="179"/>
      <c r="WFP3788" s="179"/>
      <c r="WFQ3788" s="179"/>
      <c r="WFR3788" s="179"/>
      <c r="WFS3788" s="179"/>
      <c r="WFT3788" s="179"/>
      <c r="WFU3788" s="179"/>
      <c r="WFV3788" s="179"/>
      <c r="WFW3788" s="179"/>
      <c r="WFX3788" s="179"/>
      <c r="WFY3788" s="179"/>
      <c r="WFZ3788" s="179"/>
      <c r="WGA3788" s="179"/>
      <c r="WGB3788" s="179"/>
      <c r="WGC3788" s="179"/>
      <c r="WGD3788" s="179"/>
      <c r="WGE3788" s="179"/>
      <c r="WGF3788" s="179"/>
      <c r="WGG3788" s="179"/>
      <c r="WGH3788" s="179"/>
      <c r="WGI3788" s="179"/>
      <c r="WGJ3788" s="179"/>
      <c r="WGK3788" s="179"/>
      <c r="WGL3788" s="179"/>
      <c r="WGM3788" s="179"/>
      <c r="WGN3788" s="179"/>
      <c r="WGO3788" s="179"/>
      <c r="WGP3788" s="179"/>
      <c r="WGQ3788" s="179"/>
      <c r="WGR3788" s="179"/>
      <c r="WGS3788" s="179"/>
      <c r="WGT3788" s="179"/>
      <c r="WGU3788" s="179"/>
      <c r="WGV3788" s="179"/>
      <c r="WGW3788" s="179"/>
      <c r="WGX3788" s="179"/>
      <c r="WGY3788" s="179"/>
      <c r="WGZ3788" s="179"/>
      <c r="WHA3788" s="179"/>
      <c r="WHB3788" s="179"/>
      <c r="WHC3788" s="179"/>
      <c r="WHD3788" s="179"/>
      <c r="WHE3788" s="179"/>
      <c r="WHF3788" s="179"/>
      <c r="WHG3788" s="179"/>
      <c r="WHH3788" s="179"/>
      <c r="WHI3788" s="179"/>
      <c r="WHJ3788" s="179"/>
      <c r="WHK3788" s="179"/>
      <c r="WHL3788" s="179"/>
      <c r="WHM3788" s="179"/>
      <c r="WHN3788" s="179"/>
      <c r="WHO3788" s="179"/>
      <c r="WHP3788" s="179"/>
      <c r="WHQ3788" s="179"/>
      <c r="WHR3788" s="179"/>
      <c r="WHS3788" s="179"/>
      <c r="WHT3788" s="179"/>
      <c r="WHU3788" s="179"/>
      <c r="WHV3788" s="179"/>
      <c r="WHW3788" s="179"/>
      <c r="WHX3788" s="179"/>
      <c r="WHY3788" s="179"/>
      <c r="WHZ3788" s="179"/>
      <c r="WIA3788" s="179"/>
      <c r="WIB3788" s="179"/>
      <c r="WIC3788" s="179"/>
      <c r="WID3788" s="179"/>
      <c r="WIE3788" s="179"/>
      <c r="WIF3788" s="179"/>
      <c r="WIG3788" s="179"/>
      <c r="WIH3788" s="179"/>
      <c r="WII3788" s="179"/>
      <c r="WIJ3788" s="179"/>
      <c r="WIK3788" s="179"/>
      <c r="WIL3788" s="179"/>
      <c r="WIM3788" s="179"/>
      <c r="WIN3788" s="179"/>
      <c r="WIO3788" s="179"/>
      <c r="WIP3788" s="179"/>
      <c r="WIQ3788" s="179"/>
      <c r="WIR3788" s="179"/>
      <c r="WIS3788" s="179"/>
      <c r="WIT3788" s="179"/>
      <c r="WIU3788" s="179"/>
      <c r="WIV3788" s="179"/>
      <c r="WIW3788" s="179"/>
      <c r="WIX3788" s="179"/>
      <c r="WIY3788" s="179"/>
      <c r="WIZ3788" s="179"/>
      <c r="WJA3788" s="179"/>
      <c r="WJB3788" s="179"/>
      <c r="WJC3788" s="179"/>
      <c r="WJD3788" s="179"/>
      <c r="WJE3788" s="179"/>
      <c r="WJF3788" s="179"/>
      <c r="WJG3788" s="179"/>
      <c r="WJH3788" s="179"/>
      <c r="WJI3788" s="179"/>
      <c r="WJJ3788" s="179"/>
      <c r="WJK3788" s="179"/>
      <c r="WJL3788" s="179"/>
      <c r="WJM3788" s="179"/>
      <c r="WJN3788" s="179"/>
      <c r="WJO3788" s="179"/>
      <c r="WJP3788" s="179"/>
      <c r="WJQ3788" s="179"/>
      <c r="WJR3788" s="179"/>
      <c r="WJS3788" s="179"/>
      <c r="WJT3788" s="179"/>
      <c r="WJU3788" s="179"/>
      <c r="WJV3788" s="179"/>
      <c r="WJW3788" s="179"/>
      <c r="WJX3788" s="179"/>
      <c r="WJY3788" s="179"/>
      <c r="WJZ3788" s="179"/>
      <c r="WKA3788" s="179"/>
      <c r="WKB3788" s="179"/>
      <c r="WKC3788" s="179"/>
      <c r="WKD3788" s="179"/>
      <c r="WKE3788" s="179"/>
      <c r="WKF3788" s="179"/>
      <c r="WKG3788" s="179"/>
      <c r="WKH3788" s="179"/>
      <c r="WKI3788" s="179"/>
      <c r="WKJ3788" s="179"/>
      <c r="WKK3788" s="179"/>
      <c r="WKL3788" s="179"/>
      <c r="WKM3788" s="179"/>
      <c r="WKN3788" s="179"/>
      <c r="WKO3788" s="179"/>
      <c r="WKP3788" s="179"/>
      <c r="WKQ3788" s="179"/>
      <c r="WKR3788" s="179"/>
      <c r="WKS3788" s="179"/>
      <c r="WKT3788" s="179"/>
      <c r="WKU3788" s="179"/>
      <c r="WKV3788" s="179"/>
      <c r="WKW3788" s="179"/>
      <c r="WKX3788" s="179"/>
      <c r="WKY3788" s="179"/>
      <c r="WKZ3788" s="179"/>
      <c r="WLA3788" s="179"/>
      <c r="WLB3788" s="179"/>
      <c r="WLC3788" s="179"/>
      <c r="WLD3788" s="179"/>
      <c r="WLE3788" s="179"/>
      <c r="WLF3788" s="179"/>
      <c r="WLG3788" s="179"/>
      <c r="WLH3788" s="179"/>
      <c r="WLI3788" s="179"/>
      <c r="WLJ3788" s="179"/>
      <c r="WLK3788" s="179"/>
      <c r="WLL3788" s="179"/>
      <c r="WLM3788" s="179"/>
      <c r="WLN3788" s="179"/>
      <c r="WLO3788" s="179"/>
      <c r="WLP3788" s="179"/>
      <c r="WLQ3788" s="179"/>
      <c r="WLR3788" s="179"/>
      <c r="WLS3788" s="179"/>
      <c r="WLT3788" s="179"/>
      <c r="WLU3788" s="179"/>
      <c r="WLV3788" s="179"/>
      <c r="WLW3788" s="179"/>
      <c r="WLX3788" s="179"/>
      <c r="WLY3788" s="179"/>
      <c r="WLZ3788" s="179"/>
      <c r="WMA3788" s="179"/>
      <c r="WMB3788" s="179"/>
      <c r="WMC3788" s="179"/>
      <c r="WMD3788" s="179"/>
      <c r="WME3788" s="179"/>
      <c r="WMF3788" s="179"/>
      <c r="WMG3788" s="179"/>
      <c r="WMH3788" s="179"/>
      <c r="WMI3788" s="179"/>
      <c r="WMJ3788" s="179"/>
      <c r="WMK3788" s="179"/>
      <c r="WML3788" s="179"/>
      <c r="WMM3788" s="179"/>
      <c r="WMN3788" s="179"/>
      <c r="WMO3788" s="179"/>
      <c r="WMP3788" s="179"/>
      <c r="WMQ3788" s="179"/>
      <c r="WMR3788" s="179"/>
      <c r="WMS3788" s="179"/>
      <c r="WMT3788" s="179"/>
      <c r="WMU3788" s="179"/>
      <c r="WMV3788" s="179"/>
      <c r="WMW3788" s="179"/>
      <c r="WMX3788" s="179"/>
      <c r="WMY3788" s="179"/>
      <c r="WMZ3788" s="179"/>
      <c r="WNA3788" s="179"/>
      <c r="WNB3788" s="179"/>
      <c r="WNC3788" s="179"/>
      <c r="WND3788" s="179"/>
      <c r="WNE3788" s="179"/>
      <c r="WNF3788" s="179"/>
      <c r="WNG3788" s="179"/>
      <c r="WNH3788" s="179"/>
      <c r="WNI3788" s="179"/>
      <c r="WNJ3788" s="179"/>
      <c r="WNK3788" s="179"/>
      <c r="WNL3788" s="179"/>
      <c r="WNM3788" s="179"/>
      <c r="WNN3788" s="179"/>
      <c r="WNO3788" s="179"/>
      <c r="WNP3788" s="179"/>
      <c r="WNQ3788" s="179"/>
      <c r="WNR3788" s="179"/>
      <c r="WNS3788" s="179"/>
      <c r="WNT3788" s="179"/>
      <c r="WNU3788" s="179"/>
      <c r="WNV3788" s="179"/>
      <c r="WNW3788" s="179"/>
      <c r="WNX3788" s="179"/>
      <c r="WNY3788" s="179"/>
      <c r="WNZ3788" s="179"/>
      <c r="WOA3788" s="179"/>
      <c r="WOB3788" s="179"/>
      <c r="WOC3788" s="179"/>
      <c r="WOD3788" s="179"/>
      <c r="WOE3788" s="179"/>
      <c r="WOF3788" s="179"/>
      <c r="WOG3788" s="179"/>
      <c r="WOH3788" s="179"/>
      <c r="WOI3788" s="179"/>
      <c r="WOJ3788" s="179"/>
      <c r="WOK3788" s="179"/>
      <c r="WOL3788" s="179"/>
      <c r="WOM3788" s="179"/>
      <c r="WON3788" s="179"/>
      <c r="WOO3788" s="179"/>
      <c r="WOP3788" s="179"/>
      <c r="WOQ3788" s="179"/>
      <c r="WOR3788" s="179"/>
      <c r="WOS3788" s="179"/>
      <c r="WOT3788" s="179"/>
      <c r="WOU3788" s="179"/>
      <c r="WOV3788" s="179"/>
      <c r="WOW3788" s="179"/>
      <c r="WOX3788" s="179"/>
      <c r="WOY3788" s="179"/>
      <c r="WOZ3788" s="179"/>
      <c r="WPA3788" s="179"/>
      <c r="WPB3788" s="179"/>
      <c r="WPC3788" s="179"/>
      <c r="WPD3788" s="179"/>
      <c r="WPE3788" s="179"/>
      <c r="WPF3788" s="179"/>
      <c r="WPG3788" s="179"/>
      <c r="WPH3788" s="179"/>
      <c r="WPI3788" s="179"/>
      <c r="WPJ3788" s="179"/>
      <c r="WPK3788" s="179"/>
      <c r="WPL3788" s="179"/>
      <c r="WPM3788" s="179"/>
      <c r="WPN3788" s="179"/>
      <c r="WPO3788" s="179"/>
      <c r="WPP3788" s="179"/>
      <c r="WPQ3788" s="179"/>
      <c r="WPR3788" s="179"/>
      <c r="WPS3788" s="179"/>
      <c r="WPT3788" s="179"/>
      <c r="WPU3788" s="179"/>
      <c r="WPV3788" s="179"/>
      <c r="WPW3788" s="179"/>
      <c r="WPX3788" s="179"/>
      <c r="WPY3788" s="179"/>
      <c r="WPZ3788" s="179"/>
      <c r="WQA3788" s="179"/>
      <c r="WQB3788" s="179"/>
      <c r="WQC3788" s="179"/>
      <c r="WQD3788" s="179"/>
      <c r="WQE3788" s="179"/>
      <c r="WQF3788" s="179"/>
      <c r="WQG3788" s="179"/>
      <c r="WQH3788" s="179"/>
      <c r="WQI3788" s="179"/>
      <c r="WQJ3788" s="179"/>
      <c r="WQK3788" s="179"/>
      <c r="WQL3788" s="179"/>
      <c r="WQM3788" s="179"/>
      <c r="WQN3788" s="179"/>
      <c r="WQO3788" s="179"/>
      <c r="WQP3788" s="179"/>
      <c r="WQQ3788" s="179"/>
      <c r="WQR3788" s="179"/>
      <c r="WQS3788" s="179"/>
      <c r="WQT3788" s="179"/>
      <c r="WQU3788" s="179"/>
      <c r="WQV3788" s="179"/>
      <c r="WQW3788" s="179"/>
      <c r="WQX3788" s="179"/>
      <c r="WQY3788" s="179"/>
      <c r="WQZ3788" s="179"/>
      <c r="WRA3788" s="179"/>
      <c r="WRB3788" s="179"/>
      <c r="WRC3788" s="179"/>
      <c r="WRD3788" s="179"/>
      <c r="WRE3788" s="179"/>
      <c r="WRF3788" s="179"/>
      <c r="WRG3788" s="179"/>
      <c r="WRH3788" s="179"/>
      <c r="WRI3788" s="179"/>
      <c r="WRJ3788" s="179"/>
      <c r="WRK3788" s="179"/>
      <c r="WRL3788" s="179"/>
      <c r="WRM3788" s="179"/>
      <c r="WRN3788" s="179"/>
      <c r="WRO3788" s="179"/>
      <c r="WRP3788" s="179"/>
      <c r="WRQ3788" s="179"/>
      <c r="WRR3788" s="179"/>
      <c r="WRS3788" s="179"/>
      <c r="WRT3788" s="179"/>
      <c r="WRU3788" s="179"/>
      <c r="WRV3788" s="179"/>
      <c r="WRW3788" s="179"/>
      <c r="WRX3788" s="179"/>
      <c r="WRY3788" s="179"/>
      <c r="WRZ3788" s="179"/>
      <c r="WSA3788" s="179"/>
      <c r="WSB3788" s="179"/>
      <c r="WSC3788" s="179"/>
      <c r="WSD3788" s="179"/>
      <c r="WSE3788" s="179"/>
      <c r="WSF3788" s="179"/>
      <c r="WSG3788" s="179"/>
      <c r="WSH3788" s="179"/>
      <c r="WSI3788" s="179"/>
      <c r="WSJ3788" s="179"/>
      <c r="WSK3788" s="179"/>
      <c r="WSL3788" s="179"/>
      <c r="WSM3788" s="179"/>
      <c r="WSN3788" s="179"/>
      <c r="WSO3788" s="179"/>
      <c r="WSP3788" s="179"/>
      <c r="WSQ3788" s="179"/>
      <c r="WSR3788" s="179"/>
      <c r="WSS3788" s="179"/>
      <c r="WST3788" s="179"/>
      <c r="WSU3788" s="179"/>
      <c r="WSV3788" s="179"/>
      <c r="WSW3788" s="179"/>
      <c r="WSX3788" s="179"/>
      <c r="WSY3788" s="179"/>
      <c r="WSZ3788" s="179"/>
      <c r="WTA3788" s="179"/>
      <c r="WTB3788" s="179"/>
      <c r="WTC3788" s="179"/>
      <c r="WTD3788" s="179"/>
      <c r="WTE3788" s="179"/>
      <c r="WTF3788" s="179"/>
      <c r="WTG3788" s="179"/>
      <c r="WTH3788" s="179"/>
      <c r="WTI3788" s="179"/>
      <c r="WTJ3788" s="179"/>
      <c r="WTK3788" s="179"/>
      <c r="WTL3788" s="179"/>
      <c r="WTM3788" s="179"/>
      <c r="WTN3788" s="179"/>
      <c r="WTO3788" s="179"/>
      <c r="WTP3788" s="179"/>
      <c r="WTQ3788" s="179"/>
      <c r="WTR3788" s="179"/>
      <c r="WTS3788" s="179"/>
      <c r="WTT3788" s="179"/>
      <c r="WTU3788" s="179"/>
      <c r="WTV3788" s="179"/>
      <c r="WTW3788" s="179"/>
      <c r="WTX3788" s="179"/>
      <c r="WTY3788" s="179"/>
      <c r="WTZ3788" s="179"/>
      <c r="WUA3788" s="179"/>
      <c r="WUB3788" s="179"/>
      <c r="WUC3788" s="179"/>
      <c r="WUD3788" s="179"/>
      <c r="WUE3788" s="179"/>
      <c r="WUF3788" s="179"/>
      <c r="WUG3788" s="179"/>
      <c r="WUH3788" s="179"/>
      <c r="WUI3788" s="179"/>
      <c r="WUJ3788" s="179"/>
      <c r="WUK3788" s="179"/>
      <c r="WUL3788" s="179"/>
      <c r="WUM3788" s="179"/>
      <c r="WUN3788" s="179"/>
      <c r="WUO3788" s="179"/>
      <c r="WUP3788" s="179"/>
      <c r="WUQ3788" s="179"/>
      <c r="WUR3788" s="179"/>
      <c r="WUS3788" s="179"/>
      <c r="WUT3788" s="179"/>
      <c r="WUU3788" s="179"/>
      <c r="WUV3788" s="179"/>
      <c r="WUW3788" s="179"/>
      <c r="WUX3788" s="179"/>
      <c r="WUY3788" s="179"/>
      <c r="WUZ3788" s="179"/>
      <c r="WVA3788" s="179"/>
      <c r="WVB3788" s="179"/>
      <c r="WVC3788" s="179"/>
      <c r="WVD3788" s="179"/>
      <c r="WVE3788" s="179"/>
      <c r="WVF3788" s="179"/>
      <c r="WVG3788" s="179"/>
      <c r="WVH3788" s="179"/>
      <c r="WVI3788" s="179"/>
      <c r="WVJ3788" s="179"/>
      <c r="WVK3788" s="179"/>
      <c r="WVL3788" s="179"/>
      <c r="WVM3788" s="179"/>
      <c r="WVN3788" s="179"/>
      <c r="WVO3788" s="179"/>
      <c r="WVP3788" s="179"/>
      <c r="WVQ3788" s="179"/>
      <c r="WVR3788" s="179"/>
      <c r="WVS3788" s="179"/>
      <c r="WVT3788" s="179"/>
      <c r="WVU3788" s="179"/>
      <c r="WVV3788" s="179"/>
      <c r="WVW3788" s="179"/>
      <c r="WVX3788" s="179"/>
      <c r="WVY3788" s="179"/>
      <c r="WVZ3788" s="179"/>
      <c r="WWA3788" s="179"/>
      <c r="WWB3788" s="179"/>
      <c r="WWC3788" s="179"/>
      <c r="WWD3788" s="179"/>
      <c r="WWE3788" s="179"/>
      <c r="WWF3788" s="179"/>
      <c r="WWG3788" s="179"/>
      <c r="WWH3788" s="179"/>
      <c r="WWI3788" s="179"/>
      <c r="WWJ3788" s="179"/>
      <c r="WWK3788" s="179"/>
      <c r="WWL3788" s="179"/>
      <c r="WWM3788" s="179"/>
      <c r="WWN3788" s="179"/>
      <c r="WWO3788" s="179"/>
      <c r="WWP3788" s="179"/>
      <c r="WWQ3788" s="179"/>
      <c r="WWR3788" s="179"/>
      <c r="WWS3788" s="179"/>
      <c r="WWT3788" s="179"/>
      <c r="WWU3788" s="179"/>
      <c r="WWV3788" s="179"/>
      <c r="WWW3788" s="179"/>
      <c r="WWX3788" s="179"/>
      <c r="WWY3788" s="179"/>
      <c r="WWZ3788" s="179"/>
      <c r="WXA3788" s="179"/>
      <c r="WXB3788" s="179"/>
      <c r="WXC3788" s="179"/>
      <c r="WXD3788" s="179"/>
      <c r="WXE3788" s="179"/>
      <c r="WXF3788" s="179"/>
      <c r="WXG3788" s="179"/>
      <c r="WXH3788" s="179"/>
      <c r="WXI3788" s="179"/>
      <c r="WXJ3788" s="179"/>
      <c r="WXK3788" s="179"/>
      <c r="WXL3788" s="179"/>
      <c r="WXM3788" s="179"/>
      <c r="WXN3788" s="179"/>
      <c r="WXO3788" s="179"/>
      <c r="WXP3788" s="179"/>
      <c r="WXQ3788" s="179"/>
      <c r="WXR3788" s="179"/>
      <c r="WXS3788" s="179"/>
      <c r="WXT3788" s="179"/>
      <c r="WXU3788" s="179"/>
      <c r="WXV3788" s="179"/>
      <c r="WXW3788" s="179"/>
      <c r="WXX3788" s="179"/>
      <c r="WXY3788" s="179"/>
      <c r="WXZ3788" s="179"/>
      <c r="WYA3788" s="179"/>
      <c r="WYB3788" s="179"/>
      <c r="WYC3788" s="179"/>
      <c r="WYD3788" s="179"/>
      <c r="WYE3788" s="179"/>
      <c r="WYF3788" s="179"/>
      <c r="WYG3788" s="179"/>
      <c r="WYH3788" s="179"/>
      <c r="WYI3788" s="179"/>
      <c r="WYJ3788" s="179"/>
      <c r="WYK3788" s="179"/>
      <c r="WYL3788" s="179"/>
      <c r="WYM3788" s="179"/>
      <c r="WYN3788" s="179"/>
      <c r="WYO3788" s="179"/>
      <c r="WYP3788" s="179"/>
      <c r="WYQ3788" s="179"/>
      <c r="WYR3788" s="179"/>
      <c r="WYS3788" s="179"/>
      <c r="WYT3788" s="179"/>
      <c r="WYU3788" s="179"/>
      <c r="WYV3788" s="179"/>
      <c r="WYW3788" s="179"/>
      <c r="WYX3788" s="179"/>
      <c r="WYY3788" s="179"/>
      <c r="WYZ3788" s="179"/>
      <c r="WZA3788" s="179"/>
      <c r="WZB3788" s="179"/>
      <c r="WZC3788" s="179"/>
      <c r="WZD3788" s="179"/>
      <c r="WZE3788" s="179"/>
      <c r="WZF3788" s="179"/>
      <c r="WZG3788" s="179"/>
      <c r="WZH3788" s="179"/>
      <c r="WZI3788" s="179"/>
      <c r="WZJ3788" s="179"/>
      <c r="WZK3788" s="179"/>
      <c r="WZL3788" s="179"/>
      <c r="WZM3788" s="179"/>
      <c r="WZN3788" s="179"/>
      <c r="WZO3788" s="179"/>
      <c r="WZP3788" s="179"/>
      <c r="WZQ3788" s="179"/>
      <c r="WZR3788" s="179"/>
      <c r="WZS3788" s="179"/>
      <c r="WZT3788" s="179"/>
      <c r="WZU3788" s="179"/>
      <c r="WZV3788" s="179"/>
      <c r="WZW3788" s="179"/>
      <c r="WZX3788" s="179"/>
      <c r="WZY3788" s="179"/>
      <c r="WZZ3788" s="179"/>
      <c r="XAA3788" s="179"/>
      <c r="XAB3788" s="179"/>
      <c r="XAC3788" s="179"/>
      <c r="XAD3788" s="179"/>
      <c r="XAE3788" s="179"/>
      <c r="XAF3788" s="179"/>
      <c r="XAG3788" s="179"/>
      <c r="XAH3788" s="179"/>
      <c r="XAI3788" s="179"/>
      <c r="XAJ3788" s="179"/>
      <c r="XAK3788" s="179"/>
      <c r="XAL3788" s="179"/>
      <c r="XAM3788" s="179"/>
      <c r="XAN3788" s="179"/>
      <c r="XAO3788" s="179"/>
      <c r="XAP3788" s="179"/>
      <c r="XAQ3788" s="179"/>
      <c r="XAR3788" s="179"/>
      <c r="XAS3788" s="179"/>
      <c r="XAT3788" s="179"/>
      <c r="XAU3788" s="179"/>
      <c r="XAV3788" s="179"/>
      <c r="XAW3788" s="179"/>
      <c r="XAX3788" s="179"/>
      <c r="XAY3788" s="179"/>
      <c r="XAZ3788" s="179"/>
      <c r="XBA3788" s="179"/>
      <c r="XBB3788" s="179"/>
      <c r="XBC3788" s="179"/>
      <c r="XBD3788" s="179"/>
      <c r="XBE3788" s="179"/>
      <c r="XBF3788" s="179"/>
      <c r="XBG3788" s="179"/>
      <c r="XBH3788" s="179"/>
      <c r="XBI3788" s="179"/>
      <c r="XBJ3788" s="179"/>
      <c r="XBK3788" s="179"/>
      <c r="XBL3788" s="179"/>
      <c r="XBM3788" s="179"/>
      <c r="XBN3788" s="179"/>
      <c r="XBO3788" s="179"/>
      <c r="XBP3788" s="179"/>
      <c r="XBQ3788" s="179"/>
      <c r="XBR3788" s="179"/>
      <c r="XBS3788" s="179"/>
      <c r="XBT3788" s="179"/>
      <c r="XBU3788" s="179"/>
      <c r="XBV3788" s="179"/>
      <c r="XBW3788" s="179"/>
      <c r="XBX3788" s="179"/>
      <c r="XBY3788" s="179"/>
      <c r="XBZ3788" s="179"/>
      <c r="XCA3788" s="179"/>
      <c r="XCB3788" s="179"/>
      <c r="XCC3788" s="179"/>
      <c r="XCD3788" s="179"/>
      <c r="XCE3788" s="179"/>
      <c r="XCF3788" s="179"/>
      <c r="XCG3788" s="179"/>
      <c r="XCH3788" s="179"/>
      <c r="XCI3788" s="179"/>
      <c r="XCJ3788" s="179"/>
      <c r="XCK3788" s="179"/>
      <c r="XCL3788" s="179"/>
      <c r="XCM3788" s="179"/>
      <c r="XCN3788" s="179"/>
      <c r="XCO3788" s="179"/>
      <c r="XCP3788" s="179"/>
      <c r="XCQ3788" s="179"/>
      <c r="XCR3788" s="179"/>
      <c r="XCS3788" s="179"/>
      <c r="XCT3788" s="179"/>
      <c r="XCU3788" s="179"/>
      <c r="XCV3788" s="179"/>
      <c r="XCW3788" s="179"/>
      <c r="XCX3788" s="179"/>
      <c r="XCY3788" s="179"/>
      <c r="XCZ3788" s="179"/>
      <c r="XDA3788" s="179"/>
      <c r="XDB3788" s="179"/>
      <c r="XDC3788" s="179"/>
      <c r="XDD3788" s="179"/>
      <c r="XDE3788" s="179"/>
      <c r="XDF3788" s="179"/>
      <c r="XDG3788" s="179"/>
      <c r="XDH3788" s="179"/>
      <c r="XDI3788" s="179"/>
      <c r="XDJ3788" s="179"/>
      <c r="XDK3788" s="179"/>
      <c r="XDL3788" s="179"/>
      <c r="XDM3788" s="179"/>
      <c r="XDN3788" s="179"/>
      <c r="XDO3788" s="179"/>
      <c r="XDP3788" s="179"/>
      <c r="XDQ3788" s="179"/>
      <c r="XDR3788" s="179"/>
      <c r="XDS3788" s="179"/>
      <c r="XDT3788" s="179"/>
      <c r="XDU3788" s="179"/>
      <c r="XDV3788" s="179"/>
      <c r="XDW3788" s="179"/>
      <c r="XDX3788" s="179"/>
      <c r="XDY3788" s="179"/>
      <c r="XDZ3788" s="179"/>
      <c r="XEA3788" s="179"/>
      <c r="XEB3788" s="179"/>
      <c r="XEC3788" s="179"/>
      <c r="XED3788" s="179"/>
      <c r="XEE3788" s="179"/>
      <c r="XEF3788" s="179"/>
      <c r="XEG3788" s="179"/>
      <c r="XEH3788" s="179"/>
      <c r="XEI3788" s="179"/>
      <c r="XEJ3788" s="179"/>
      <c r="XEK3788" s="179"/>
      <c r="XEL3788" s="179"/>
      <c r="XEM3788" s="179"/>
      <c r="XEN3788" s="179"/>
      <c r="XEO3788" s="179"/>
      <c r="XEP3788" s="179"/>
      <c r="XEQ3788" s="179"/>
      <c r="XER3788" s="179"/>
      <c r="XES3788" s="179"/>
      <c r="XET3788" s="179"/>
      <c r="XEU3788" s="179"/>
      <c r="XEV3788" s="179"/>
      <c r="XEW3788" s="179"/>
      <c r="XEX3788" s="179"/>
      <c r="XEY3788" s="179"/>
      <c r="XEZ3788" s="179"/>
      <c r="XFA3788" s="179"/>
      <c r="XFB3788" s="179"/>
      <c r="XFC3788" s="179"/>
    </row>
    <row r="3790" spans="1:16383" x14ac:dyDescent="0.15">
      <c r="B3790" s="57" t="s">
        <v>163</v>
      </c>
      <c r="C3790" s="84">
        <v>299025</v>
      </c>
      <c r="D3790" s="85"/>
      <c r="E3790" s="86"/>
      <c r="F3790" s="58" t="s">
        <v>352</v>
      </c>
      <c r="G3790" s="59">
        <v>20140806</v>
      </c>
    </row>
    <row r="3791" spans="1:16383" x14ac:dyDescent="0.15">
      <c r="B3791" s="60" t="s">
        <v>353</v>
      </c>
      <c r="C3791" s="320" t="s">
        <v>263</v>
      </c>
      <c r="D3791" s="321"/>
      <c r="E3791" s="322"/>
      <c r="F3791" s="61" t="s">
        <v>165</v>
      </c>
      <c r="G3791" s="62" t="s">
        <v>169</v>
      </c>
    </row>
    <row r="3792" spans="1:16383" x14ac:dyDescent="0.15">
      <c r="B3792" s="299" t="s">
        <v>354</v>
      </c>
      <c r="C3792" s="99"/>
      <c r="D3792" s="100"/>
      <c r="E3792" s="100"/>
      <c r="F3792" s="100"/>
      <c r="G3792" s="101"/>
    </row>
    <row r="3793" spans="2:7" ht="14.25" thickBot="1" x14ac:dyDescent="0.2">
      <c r="B3793" s="304"/>
      <c r="C3793" s="102"/>
      <c r="D3793" s="103"/>
      <c r="E3793" s="103"/>
      <c r="F3793" s="103"/>
      <c r="G3793" s="104"/>
    </row>
    <row r="3794" spans="2:7" x14ac:dyDescent="0.15">
      <c r="B3794" s="298" t="s">
        <v>355</v>
      </c>
      <c r="C3794" s="58" t="s">
        <v>356</v>
      </c>
      <c r="D3794" s="58" t="s">
        <v>357</v>
      </c>
      <c r="E3794" s="58" t="s">
        <v>358</v>
      </c>
      <c r="F3794" s="58" t="s">
        <v>359</v>
      </c>
      <c r="G3794" s="64" t="s">
        <v>360</v>
      </c>
    </row>
    <row r="3795" spans="2:7" x14ac:dyDescent="0.15">
      <c r="B3795" s="299"/>
      <c r="C3795" s="65" t="s">
        <v>387</v>
      </c>
      <c r="D3795" s="66">
        <f>VLOOKUP(C3795,基本字段定义!$B$3:$C$3013,2,FALSE)</f>
        <v>599</v>
      </c>
      <c r="E3795" s="67" t="s">
        <v>388</v>
      </c>
      <c r="F3795" s="67"/>
      <c r="G3795" s="68" t="s">
        <v>1650</v>
      </c>
    </row>
    <row r="3796" spans="2:7" x14ac:dyDescent="0.15">
      <c r="B3796" s="299"/>
      <c r="C3796" s="65" t="s">
        <v>759</v>
      </c>
      <c r="D3796" s="66">
        <f>VLOOKUP(C3796,基本字段定义!$B$3:$C$3013,2,FALSE)</f>
        <v>720</v>
      </c>
      <c r="E3796" s="67" t="s">
        <v>388</v>
      </c>
      <c r="F3796" s="67"/>
      <c r="G3796" s="68" t="s">
        <v>760</v>
      </c>
    </row>
    <row r="3797" spans="2:7" x14ac:dyDescent="0.15">
      <c r="B3797" s="299"/>
      <c r="C3797" s="65" t="s">
        <v>393</v>
      </c>
      <c r="D3797" s="66">
        <f>VLOOKUP(C3797,基本字段定义!$B$3:$C$3013,2,FALSE)</f>
        <v>651</v>
      </c>
      <c r="E3797" s="67" t="s">
        <v>363</v>
      </c>
      <c r="F3797" s="67"/>
      <c r="G3797" s="68" t="s">
        <v>1517</v>
      </c>
    </row>
    <row r="3798" spans="2:7" x14ac:dyDescent="0.15">
      <c r="B3798" s="300" t="s">
        <v>361</v>
      </c>
      <c r="C3798" s="91" t="s">
        <v>387</v>
      </c>
      <c r="D3798" s="93">
        <f>VLOOKUP(C3798,基本字段定义!$B$3:$C$3013,2,FALSE)</f>
        <v>599</v>
      </c>
      <c r="E3798" s="92" t="s">
        <v>388</v>
      </c>
      <c r="F3798" s="93"/>
      <c r="G3798" s="94" t="s">
        <v>1650</v>
      </c>
    </row>
    <row r="3799" spans="2:7" x14ac:dyDescent="0.15">
      <c r="B3799" s="301"/>
      <c r="C3799" s="91" t="s">
        <v>759</v>
      </c>
      <c r="D3799" s="93">
        <f>VLOOKUP(C3799,基本字段定义!$B$3:$C$3013,2,FALSE)</f>
        <v>720</v>
      </c>
      <c r="E3799" s="92" t="s">
        <v>388</v>
      </c>
      <c r="F3799" s="93"/>
      <c r="G3799" s="94" t="s">
        <v>760</v>
      </c>
    </row>
    <row r="3800" spans="2:7" x14ac:dyDescent="0.15">
      <c r="B3800" s="301"/>
      <c r="C3800" s="91" t="s">
        <v>1935</v>
      </c>
      <c r="D3800" s="93">
        <f>VLOOKUP(C3800,基本字段定义!$B$3:$C$3013,2,FALSE)</f>
        <v>704</v>
      </c>
      <c r="E3800" s="92" t="s">
        <v>1936</v>
      </c>
      <c r="F3800" s="93"/>
      <c r="G3800" s="94" t="s">
        <v>1937</v>
      </c>
    </row>
    <row r="3801" spans="2:7" x14ac:dyDescent="0.15">
      <c r="B3801" s="301"/>
      <c r="C3801" s="91" t="s">
        <v>1938</v>
      </c>
      <c r="D3801" s="93">
        <f>VLOOKUP(C3801,基本字段定义!$B$3:$C$3013,2,FALSE)</f>
        <v>707</v>
      </c>
      <c r="E3801" s="92" t="s">
        <v>1936</v>
      </c>
      <c r="F3801" s="93"/>
      <c r="G3801" s="94" t="s">
        <v>1939</v>
      </c>
    </row>
    <row r="3802" spans="2:7" x14ac:dyDescent="0.15">
      <c r="B3802" s="301"/>
      <c r="C3802" s="91" t="s">
        <v>697</v>
      </c>
      <c r="D3802" s="93">
        <f>VLOOKUP(C3802,基本字段定义!$B$3:$C$3013,2,FALSE)</f>
        <v>594</v>
      </c>
      <c r="E3802" s="92" t="s">
        <v>1940</v>
      </c>
      <c r="F3802" s="93"/>
      <c r="G3802" s="94" t="s">
        <v>1709</v>
      </c>
    </row>
    <row r="3803" spans="2:7" ht="14.25" thickBot="1" x14ac:dyDescent="0.2">
      <c r="B3803" s="305"/>
      <c r="C3803" s="75" t="s">
        <v>393</v>
      </c>
      <c r="D3803" s="83">
        <f>VLOOKUP(C3803,基本字段定义!$B$3:$C$3013,2,FALSE)</f>
        <v>651</v>
      </c>
      <c r="E3803" s="77" t="s">
        <v>363</v>
      </c>
      <c r="F3803" s="83"/>
      <c r="G3803" s="78" t="s">
        <v>1517</v>
      </c>
    </row>
  </sheetData>
  <mergeCells count="643">
    <mergeCell ref="B59:B60"/>
    <mergeCell ref="C59:G60"/>
    <mergeCell ref="B61:B64"/>
    <mergeCell ref="B65:B68"/>
    <mergeCell ref="C2:E2"/>
    <mergeCell ref="C3:E3"/>
    <mergeCell ref="C14:E14"/>
    <mergeCell ref="C15:E15"/>
    <mergeCell ref="C25:E25"/>
    <mergeCell ref="C26:E26"/>
    <mergeCell ref="C35:E35"/>
    <mergeCell ref="C36:E36"/>
    <mergeCell ref="C46:E46"/>
    <mergeCell ref="C47:E47"/>
    <mergeCell ref="C70:E70"/>
    <mergeCell ref="C71:E71"/>
    <mergeCell ref="C82:E82"/>
    <mergeCell ref="C83:E83"/>
    <mergeCell ref="C123:E123"/>
    <mergeCell ref="C124:E124"/>
    <mergeCell ref="C147:E147"/>
    <mergeCell ref="C148:E148"/>
    <mergeCell ref="C57:E57"/>
    <mergeCell ref="C58:E58"/>
    <mergeCell ref="C159:E159"/>
    <mergeCell ref="C160:E160"/>
    <mergeCell ref="C172:E172"/>
    <mergeCell ref="C173:E173"/>
    <mergeCell ref="C185:E185"/>
    <mergeCell ref="C186:E186"/>
    <mergeCell ref="C211:E211"/>
    <mergeCell ref="C212:E212"/>
    <mergeCell ref="C231:E231"/>
    <mergeCell ref="C161:G162"/>
    <mergeCell ref="C232:E232"/>
    <mergeCell ref="C244:E244"/>
    <mergeCell ref="C245:E245"/>
    <mergeCell ref="C255:E255"/>
    <mergeCell ref="C256:E256"/>
    <mergeCell ref="C273:E273"/>
    <mergeCell ref="C274:E274"/>
    <mergeCell ref="C288:E288"/>
    <mergeCell ref="C289:E289"/>
    <mergeCell ref="C275:G276"/>
    <mergeCell ref="C246:G247"/>
    <mergeCell ref="C387:E387"/>
    <mergeCell ref="C388:E388"/>
    <mergeCell ref="C402:E402"/>
    <mergeCell ref="C403:E403"/>
    <mergeCell ref="C389:G390"/>
    <mergeCell ref="C299:E299"/>
    <mergeCell ref="C300:E300"/>
    <mergeCell ref="C311:E311"/>
    <mergeCell ref="C312:E312"/>
    <mergeCell ref="C324:E324"/>
    <mergeCell ref="C325:E325"/>
    <mergeCell ref="C338:E338"/>
    <mergeCell ref="C339:E339"/>
    <mergeCell ref="C351:E351"/>
    <mergeCell ref="C313:G314"/>
    <mergeCell ref="C301:G302"/>
    <mergeCell ref="C340:G341"/>
    <mergeCell ref="C3742:E3742"/>
    <mergeCell ref="C3755:E3755"/>
    <mergeCell ref="C3768:E3768"/>
    <mergeCell ref="C3791:E3791"/>
    <mergeCell ref="B4:B5"/>
    <mergeCell ref="B6:B7"/>
    <mergeCell ref="B8:B12"/>
    <mergeCell ref="B16:B17"/>
    <mergeCell ref="B18:B19"/>
    <mergeCell ref="B20:B23"/>
    <mergeCell ref="B27:B28"/>
    <mergeCell ref="B29:B30"/>
    <mergeCell ref="B31:B33"/>
    <mergeCell ref="B37:B38"/>
    <mergeCell ref="B39:B40"/>
    <mergeCell ref="B41:B44"/>
    <mergeCell ref="B48:B49"/>
    <mergeCell ref="B50:B51"/>
    <mergeCell ref="B52:B55"/>
    <mergeCell ref="B72:B73"/>
    <mergeCell ref="B74:B76"/>
    <mergeCell ref="C415:E415"/>
    <mergeCell ref="C416:E416"/>
    <mergeCell ref="C438:E438"/>
    <mergeCell ref="B77:B80"/>
    <mergeCell ref="B84:B85"/>
    <mergeCell ref="B89:B92"/>
    <mergeCell ref="B96:B97"/>
    <mergeCell ref="B98:B100"/>
    <mergeCell ref="B101:B104"/>
    <mergeCell ref="B108:B109"/>
    <mergeCell ref="B110:B112"/>
    <mergeCell ref="B86:B88"/>
    <mergeCell ref="B113:B121"/>
    <mergeCell ref="B125:B126"/>
    <mergeCell ref="B127:B133"/>
    <mergeCell ref="B134:B145"/>
    <mergeCell ref="B149:B150"/>
    <mergeCell ref="B151:B154"/>
    <mergeCell ref="B155:B157"/>
    <mergeCell ref="B161:B162"/>
    <mergeCell ref="B163:B167"/>
    <mergeCell ref="B168:B170"/>
    <mergeCell ref="B174:B175"/>
    <mergeCell ref="B176:B180"/>
    <mergeCell ref="B181:B183"/>
    <mergeCell ref="B187:B188"/>
    <mergeCell ref="B189:B191"/>
    <mergeCell ref="B192:B209"/>
    <mergeCell ref="B213:B214"/>
    <mergeCell ref="B215:B226"/>
    <mergeCell ref="B227:B229"/>
    <mergeCell ref="B233:B234"/>
    <mergeCell ref="B235:B239"/>
    <mergeCell ref="B240:B242"/>
    <mergeCell ref="B246:B247"/>
    <mergeCell ref="B248:B249"/>
    <mergeCell ref="B250:B253"/>
    <mergeCell ref="B257:B258"/>
    <mergeCell ref="B259:B268"/>
    <mergeCell ref="B269:B271"/>
    <mergeCell ref="B275:B276"/>
    <mergeCell ref="B277:B283"/>
    <mergeCell ref="B284:B286"/>
    <mergeCell ref="B290:B291"/>
    <mergeCell ref="B292:B294"/>
    <mergeCell ref="B295:B297"/>
    <mergeCell ref="B301:B302"/>
    <mergeCell ref="B303:B305"/>
    <mergeCell ref="B306:B309"/>
    <mergeCell ref="B313:B314"/>
    <mergeCell ref="B315:B319"/>
    <mergeCell ref="B320:B322"/>
    <mergeCell ref="B326:B327"/>
    <mergeCell ref="B328:B333"/>
    <mergeCell ref="B334:B336"/>
    <mergeCell ref="B340:B341"/>
    <mergeCell ref="B342:B346"/>
    <mergeCell ref="B347:B349"/>
    <mergeCell ref="B353:B354"/>
    <mergeCell ref="B355:B359"/>
    <mergeCell ref="B360:B362"/>
    <mergeCell ref="B366:B367"/>
    <mergeCell ref="B368:B370"/>
    <mergeCell ref="B371:B373"/>
    <mergeCell ref="B377:B378"/>
    <mergeCell ref="B379:B381"/>
    <mergeCell ref="B382:B385"/>
    <mergeCell ref="B389:B390"/>
    <mergeCell ref="B391:B397"/>
    <mergeCell ref="B398:B400"/>
    <mergeCell ref="B404:B405"/>
    <mergeCell ref="B406:B410"/>
    <mergeCell ref="B411:B413"/>
    <mergeCell ref="B417:B418"/>
    <mergeCell ref="B419:B422"/>
    <mergeCell ref="B423:B436"/>
    <mergeCell ref="B440:B441"/>
    <mergeCell ref="B442:B444"/>
    <mergeCell ref="B445:B459"/>
    <mergeCell ref="B463:B464"/>
    <mergeCell ref="B465:B471"/>
    <mergeCell ref="B472:B475"/>
    <mergeCell ref="B479:B480"/>
    <mergeCell ref="B481:B489"/>
    <mergeCell ref="B490:B493"/>
    <mergeCell ref="B497:B498"/>
    <mergeCell ref="B499:B507"/>
    <mergeCell ref="B508:B510"/>
    <mergeCell ref="B514:B515"/>
    <mergeCell ref="B516:B521"/>
    <mergeCell ref="B522:B534"/>
    <mergeCell ref="B538:B539"/>
    <mergeCell ref="B540:B543"/>
    <mergeCell ref="B544:B548"/>
    <mergeCell ref="B552:B553"/>
    <mergeCell ref="B554:B562"/>
    <mergeCell ref="B563:B566"/>
    <mergeCell ref="B570:B571"/>
    <mergeCell ref="B572:B580"/>
    <mergeCell ref="B581:B584"/>
    <mergeCell ref="B588:B589"/>
    <mergeCell ref="B590:B597"/>
    <mergeCell ref="B598:B601"/>
    <mergeCell ref="B605:B606"/>
    <mergeCell ref="B607:B616"/>
    <mergeCell ref="B617:B619"/>
    <mergeCell ref="B623:B624"/>
    <mergeCell ref="B625:B633"/>
    <mergeCell ref="B634:B636"/>
    <mergeCell ref="B640:B641"/>
    <mergeCell ref="B642:B644"/>
    <mergeCell ref="B645:B657"/>
    <mergeCell ref="B661:B662"/>
    <mergeCell ref="B675:B676"/>
    <mergeCell ref="B677:B681"/>
    <mergeCell ref="B682:B689"/>
    <mergeCell ref="B693:B694"/>
    <mergeCell ref="B695:B697"/>
    <mergeCell ref="B698:B738"/>
    <mergeCell ref="B742:B743"/>
    <mergeCell ref="B744:B746"/>
    <mergeCell ref="B747:B753"/>
    <mergeCell ref="B757:B758"/>
    <mergeCell ref="B759:B762"/>
    <mergeCell ref="B763:B772"/>
    <mergeCell ref="B776:B777"/>
    <mergeCell ref="B778:B781"/>
    <mergeCell ref="B782:B793"/>
    <mergeCell ref="B797:B798"/>
    <mergeCell ref="B799:B800"/>
    <mergeCell ref="B801:B809"/>
    <mergeCell ref="B813:B814"/>
    <mergeCell ref="B815:B818"/>
    <mergeCell ref="B819:B829"/>
    <mergeCell ref="B833:B834"/>
    <mergeCell ref="B835:B840"/>
    <mergeCell ref="B841:B843"/>
    <mergeCell ref="B847:B848"/>
    <mergeCell ref="B849:B851"/>
    <mergeCell ref="B852:B857"/>
    <mergeCell ref="B861:B862"/>
    <mergeCell ref="B863:B865"/>
    <mergeCell ref="B866:B872"/>
    <mergeCell ref="B876:B877"/>
    <mergeCell ref="B878:B880"/>
    <mergeCell ref="B881:B887"/>
    <mergeCell ref="B891:B892"/>
    <mergeCell ref="B893:B898"/>
    <mergeCell ref="B899:B929"/>
    <mergeCell ref="B933:B934"/>
    <mergeCell ref="B935:B941"/>
    <mergeCell ref="B942:B946"/>
    <mergeCell ref="B950:B951"/>
    <mergeCell ref="B952:B958"/>
    <mergeCell ref="B959:B961"/>
    <mergeCell ref="B965:B966"/>
    <mergeCell ref="B967:B970"/>
    <mergeCell ref="B971:B973"/>
    <mergeCell ref="B977:B978"/>
    <mergeCell ref="B979:B986"/>
    <mergeCell ref="B987:B990"/>
    <mergeCell ref="B994:B995"/>
    <mergeCell ref="B996:B1015"/>
    <mergeCell ref="B1016:B1019"/>
    <mergeCell ref="B1023:B1024"/>
    <mergeCell ref="B1025:B1029"/>
    <mergeCell ref="B1030:B1032"/>
    <mergeCell ref="B1036:B1037"/>
    <mergeCell ref="B1038:B1045"/>
    <mergeCell ref="B1046:B1049"/>
    <mergeCell ref="B1053:B1054"/>
    <mergeCell ref="B1055:B1074"/>
    <mergeCell ref="B1075:B1078"/>
    <mergeCell ref="B1082:B1083"/>
    <mergeCell ref="B1084:B1088"/>
    <mergeCell ref="B1089:B1091"/>
    <mergeCell ref="B1095:B1096"/>
    <mergeCell ref="B1097:B1103"/>
    <mergeCell ref="B1104:B1109"/>
    <mergeCell ref="B1113:B1114"/>
    <mergeCell ref="B1115:B1121"/>
    <mergeCell ref="B1122:B1125"/>
    <mergeCell ref="B1129:B1130"/>
    <mergeCell ref="B1131:B1142"/>
    <mergeCell ref="B1143:B1166"/>
    <mergeCell ref="B1170:B1171"/>
    <mergeCell ref="B1172:B1176"/>
    <mergeCell ref="B1177:B1203"/>
    <mergeCell ref="B1207:B1208"/>
    <mergeCell ref="B1209:B1216"/>
    <mergeCell ref="B1217:B1229"/>
    <mergeCell ref="B1233:B1234"/>
    <mergeCell ref="B1235:B1239"/>
    <mergeCell ref="B1240:B1256"/>
    <mergeCell ref="B1260:B1261"/>
    <mergeCell ref="B1262:B1267"/>
    <mergeCell ref="B1268:B1275"/>
    <mergeCell ref="B1279:B1280"/>
    <mergeCell ref="B1281:B1282"/>
    <mergeCell ref="B1283:B1297"/>
    <mergeCell ref="B1301:B1302"/>
    <mergeCell ref="B1303:B1308"/>
    <mergeCell ref="B1309:B1311"/>
    <mergeCell ref="B1315:B1316"/>
    <mergeCell ref="B1317:B1324"/>
    <mergeCell ref="B1325:B1328"/>
    <mergeCell ref="B1332:B1333"/>
    <mergeCell ref="B1334:B1338"/>
    <mergeCell ref="B1339:B1341"/>
    <mergeCell ref="B1345:B1346"/>
    <mergeCell ref="B1347:B1352"/>
    <mergeCell ref="B1353:B1367"/>
    <mergeCell ref="B1371:B1372"/>
    <mergeCell ref="B1373:B1378"/>
    <mergeCell ref="B1379:B1393"/>
    <mergeCell ref="B1397:B1398"/>
    <mergeCell ref="B1399:B1404"/>
    <mergeCell ref="B1405:B1424"/>
    <mergeCell ref="B1428:B1429"/>
    <mergeCell ref="B1430:B1433"/>
    <mergeCell ref="B1434:B1443"/>
    <mergeCell ref="B1447:B1448"/>
    <mergeCell ref="B1449:B1451"/>
    <mergeCell ref="B1452:B1459"/>
    <mergeCell ref="B1463:B1464"/>
    <mergeCell ref="B1465:B1481"/>
    <mergeCell ref="B1482:B1485"/>
    <mergeCell ref="B1489:B1490"/>
    <mergeCell ref="B1491:B1503"/>
    <mergeCell ref="B1504:B1507"/>
    <mergeCell ref="B1511:B1512"/>
    <mergeCell ref="B1513:B1525"/>
    <mergeCell ref="B1526:B1529"/>
    <mergeCell ref="B1533:B1534"/>
    <mergeCell ref="B1535:B1548"/>
    <mergeCell ref="B1549:B1552"/>
    <mergeCell ref="B1556:B1557"/>
    <mergeCell ref="B1558:B1565"/>
    <mergeCell ref="B1566:B1598"/>
    <mergeCell ref="B1602:B1603"/>
    <mergeCell ref="B1604:B1605"/>
    <mergeCell ref="B1606:B1612"/>
    <mergeCell ref="B1616:B1617"/>
    <mergeCell ref="B1618:B1621"/>
    <mergeCell ref="B1622:B1635"/>
    <mergeCell ref="B1639:B1642"/>
    <mergeCell ref="B1643:B1653"/>
    <mergeCell ref="B1654:B1657"/>
    <mergeCell ref="B1661:B1662"/>
    <mergeCell ref="B1663:B1664"/>
    <mergeCell ref="B1665:B1668"/>
    <mergeCell ref="B1672:B1673"/>
    <mergeCell ref="B1674:B1677"/>
    <mergeCell ref="B1678:B1689"/>
    <mergeCell ref="B1693:B1694"/>
    <mergeCell ref="B1695:B1696"/>
    <mergeCell ref="B1697:B1700"/>
    <mergeCell ref="B1704:B1705"/>
    <mergeCell ref="B1706:B1709"/>
    <mergeCell ref="B1710:B1713"/>
    <mergeCell ref="B1717:B1718"/>
    <mergeCell ref="B1719:B1722"/>
    <mergeCell ref="B1723:B1725"/>
    <mergeCell ref="B1729:B1730"/>
    <mergeCell ref="B1731:B1733"/>
    <mergeCell ref="B1734:B1736"/>
    <mergeCell ref="B1740:B1741"/>
    <mergeCell ref="B1742:B1744"/>
    <mergeCell ref="B1745:B1755"/>
    <mergeCell ref="B1759:B1760"/>
    <mergeCell ref="B1761:B1769"/>
    <mergeCell ref="B1770:B1773"/>
    <mergeCell ref="B1777:B1778"/>
    <mergeCell ref="B1779:B1785"/>
    <mergeCell ref="B1786:B1789"/>
    <mergeCell ref="B1793:B1794"/>
    <mergeCell ref="B1795:B1804"/>
    <mergeCell ref="B1805:B1808"/>
    <mergeCell ref="B1812:B1813"/>
    <mergeCell ref="B1814:B1816"/>
    <mergeCell ref="B1817:B1819"/>
    <mergeCell ref="B1823:B1824"/>
    <mergeCell ref="B1825:B1828"/>
    <mergeCell ref="B1829:B1846"/>
    <mergeCell ref="B1850:B1851"/>
    <mergeCell ref="B1852:B1853"/>
    <mergeCell ref="B1854:B1858"/>
    <mergeCell ref="B1862:B1863"/>
    <mergeCell ref="B1864:B1868"/>
    <mergeCell ref="B1869:B1879"/>
    <mergeCell ref="B1883:B1884"/>
    <mergeCell ref="B1885:B1894"/>
    <mergeCell ref="B1895:B1897"/>
    <mergeCell ref="B1901:B1902"/>
    <mergeCell ref="B1903:B1906"/>
    <mergeCell ref="B1907:B1909"/>
    <mergeCell ref="B1913:B1914"/>
    <mergeCell ref="B1915:B1918"/>
    <mergeCell ref="B1919:B1933"/>
    <mergeCell ref="B1937:B1938"/>
    <mergeCell ref="B1939:B1954"/>
    <mergeCell ref="B1955:B1957"/>
    <mergeCell ref="B1961:B1962"/>
    <mergeCell ref="B1963:B1965"/>
    <mergeCell ref="B1966:B1968"/>
    <mergeCell ref="B1972:B1973"/>
    <mergeCell ref="B1974:B1975"/>
    <mergeCell ref="B1976:B1978"/>
    <mergeCell ref="B1982:B1983"/>
    <mergeCell ref="B1984:B1985"/>
    <mergeCell ref="B1986:B1992"/>
    <mergeCell ref="B1996:B1997"/>
    <mergeCell ref="B1998:B1999"/>
    <mergeCell ref="B2000:B2012"/>
    <mergeCell ref="B2016:B2017"/>
    <mergeCell ref="B2018:B2024"/>
    <mergeCell ref="B2025:B2027"/>
    <mergeCell ref="B2031:B2032"/>
    <mergeCell ref="B2033:B2036"/>
    <mergeCell ref="B2037:B2039"/>
    <mergeCell ref="B2043:B2044"/>
    <mergeCell ref="B2045:B2046"/>
    <mergeCell ref="B2047:B2053"/>
    <mergeCell ref="B2057:B2058"/>
    <mergeCell ref="B2059:B2065"/>
    <mergeCell ref="B2066:B2084"/>
    <mergeCell ref="B2088:B2089"/>
    <mergeCell ref="B2090:B2097"/>
    <mergeCell ref="B2098:B2105"/>
    <mergeCell ref="B2109:B2110"/>
    <mergeCell ref="B2111:B2113"/>
    <mergeCell ref="B2114:B2169"/>
    <mergeCell ref="B2173:B2174"/>
    <mergeCell ref="B2175:B2184"/>
    <mergeCell ref="B2185:B2188"/>
    <mergeCell ref="B2192:B2193"/>
    <mergeCell ref="B2194:B2201"/>
    <mergeCell ref="B2202:B2205"/>
    <mergeCell ref="B2209:B2210"/>
    <mergeCell ref="B2211:B2217"/>
    <mergeCell ref="B2218:B2221"/>
    <mergeCell ref="B2225:B2226"/>
    <mergeCell ref="B2227:B2233"/>
    <mergeCell ref="B2234:B2237"/>
    <mergeCell ref="B2241:B2242"/>
    <mergeCell ref="B2243:B2247"/>
    <mergeCell ref="B2248:B2250"/>
    <mergeCell ref="B2254:B2255"/>
    <mergeCell ref="B2256:B2263"/>
    <mergeCell ref="B2264:B2266"/>
    <mergeCell ref="B2270:B2271"/>
    <mergeCell ref="B2272:B2281"/>
    <mergeCell ref="B2282:B2285"/>
    <mergeCell ref="B2289:B2290"/>
    <mergeCell ref="B2291:B2299"/>
    <mergeCell ref="B2300:B2303"/>
    <mergeCell ref="B2307:B2308"/>
    <mergeCell ref="B2309:B2313"/>
    <mergeCell ref="B2314:B2316"/>
    <mergeCell ref="B2320:B2321"/>
    <mergeCell ref="B2322:B2339"/>
    <mergeCell ref="B2340:B2396"/>
    <mergeCell ref="B2400:B2401"/>
    <mergeCell ref="B2402:B2406"/>
    <mergeCell ref="B2407:B2447"/>
    <mergeCell ref="B2451:B2452"/>
    <mergeCell ref="B2453:B2455"/>
    <mergeCell ref="B2456:B2463"/>
    <mergeCell ref="B2467:B2468"/>
    <mergeCell ref="B2469:B2472"/>
    <mergeCell ref="B2473:B2487"/>
    <mergeCell ref="B2491:B2492"/>
    <mergeCell ref="B2493:B2495"/>
    <mergeCell ref="B2496:B2500"/>
    <mergeCell ref="B2504:B2505"/>
    <mergeCell ref="B2506:B2511"/>
    <mergeCell ref="B2512:B2541"/>
    <mergeCell ref="B2545:B2546"/>
    <mergeCell ref="B2547:B2553"/>
    <mergeCell ref="B2554:B2556"/>
    <mergeCell ref="B2560:B2561"/>
    <mergeCell ref="B2562:B2570"/>
    <mergeCell ref="B2571:B2595"/>
    <mergeCell ref="B2599:B2600"/>
    <mergeCell ref="B2601:B2611"/>
    <mergeCell ref="B2612:B2639"/>
    <mergeCell ref="B2643:B2644"/>
    <mergeCell ref="B2645:B2652"/>
    <mergeCell ref="B2653:B2671"/>
    <mergeCell ref="B2675:B2676"/>
    <mergeCell ref="B2677:B2685"/>
    <mergeCell ref="B2686:B2704"/>
    <mergeCell ref="B2708:B2709"/>
    <mergeCell ref="B2710:B2717"/>
    <mergeCell ref="B2718:B2727"/>
    <mergeCell ref="B2731:B2732"/>
    <mergeCell ref="B2733:B2740"/>
    <mergeCell ref="B2741:B2755"/>
    <mergeCell ref="B2759:B2760"/>
    <mergeCell ref="B2761:B2767"/>
    <mergeCell ref="B2768:B2782"/>
    <mergeCell ref="B2786:B2787"/>
    <mergeCell ref="B2788:B2794"/>
    <mergeCell ref="B2795:B2807"/>
    <mergeCell ref="B2811:B2812"/>
    <mergeCell ref="B2813:B2828"/>
    <mergeCell ref="B2829:B2881"/>
    <mergeCell ref="B2885:B2886"/>
    <mergeCell ref="B2887:B2894"/>
    <mergeCell ref="B2895:B2911"/>
    <mergeCell ref="B2915:B2916"/>
    <mergeCell ref="B2917:B2923"/>
    <mergeCell ref="B2924:B2927"/>
    <mergeCell ref="B2931:B2932"/>
    <mergeCell ref="B2933:B2936"/>
    <mergeCell ref="B2937:B2940"/>
    <mergeCell ref="B2944:B2945"/>
    <mergeCell ref="B2946:B2960"/>
    <mergeCell ref="B2961:B2964"/>
    <mergeCell ref="B2968:B2969"/>
    <mergeCell ref="B2970:B2974"/>
    <mergeCell ref="B2975:B2977"/>
    <mergeCell ref="B2981:B2982"/>
    <mergeCell ref="B2983:B2989"/>
    <mergeCell ref="B2990:B2993"/>
    <mergeCell ref="B2997:B2998"/>
    <mergeCell ref="B2999:B3009"/>
    <mergeCell ref="B3010:B3030"/>
    <mergeCell ref="B3034:B3035"/>
    <mergeCell ref="B3036:B3046"/>
    <mergeCell ref="B3047:B3054"/>
    <mergeCell ref="B3058:B3059"/>
    <mergeCell ref="B3060:B3063"/>
    <mergeCell ref="B3064:B3083"/>
    <mergeCell ref="B3087:B3088"/>
    <mergeCell ref="B3089:B3097"/>
    <mergeCell ref="B3098:B3106"/>
    <mergeCell ref="B3110:B3111"/>
    <mergeCell ref="B3112:B3120"/>
    <mergeCell ref="B3121:B3140"/>
    <mergeCell ref="B3144:B3145"/>
    <mergeCell ref="B3146:B3151"/>
    <mergeCell ref="B3152:B3162"/>
    <mergeCell ref="B3166:B3167"/>
    <mergeCell ref="B3168:B3181"/>
    <mergeCell ref="B3182:B3185"/>
    <mergeCell ref="B3189:B3190"/>
    <mergeCell ref="B3191:B3195"/>
    <mergeCell ref="B3196:B3213"/>
    <mergeCell ref="B3217:B3218"/>
    <mergeCell ref="B3219:B3222"/>
    <mergeCell ref="B3223:B3229"/>
    <mergeCell ref="B3233:B3234"/>
    <mergeCell ref="B3235:B3236"/>
    <mergeCell ref="B3237:B3259"/>
    <mergeCell ref="B3263:B3264"/>
    <mergeCell ref="B3265:B3274"/>
    <mergeCell ref="B3275:B3325"/>
    <mergeCell ref="B3329:B3330"/>
    <mergeCell ref="B3331:B3338"/>
    <mergeCell ref="B3339:B3350"/>
    <mergeCell ref="B3354:B3355"/>
    <mergeCell ref="B3356:B3370"/>
    <mergeCell ref="B3371:B3379"/>
    <mergeCell ref="B3383:B3384"/>
    <mergeCell ref="B3385:B3413"/>
    <mergeCell ref="B3414:B3470"/>
    <mergeCell ref="B3474:B3475"/>
    <mergeCell ref="B3476:B3483"/>
    <mergeCell ref="B3484:B3496"/>
    <mergeCell ref="B3500:B3501"/>
    <mergeCell ref="B3575:B3585"/>
    <mergeCell ref="B3589:B3590"/>
    <mergeCell ref="B3591:B3597"/>
    <mergeCell ref="B3598:B3617"/>
    <mergeCell ref="B3621:B3622"/>
    <mergeCell ref="B3623:B3630"/>
    <mergeCell ref="B3631:B3632"/>
    <mergeCell ref="B3636:B3637"/>
    <mergeCell ref="B3502:B3504"/>
    <mergeCell ref="B3505:B3516"/>
    <mergeCell ref="B3520:B3521"/>
    <mergeCell ref="B3522:B3528"/>
    <mergeCell ref="B3529:B3541"/>
    <mergeCell ref="B3545:B3546"/>
    <mergeCell ref="B3547:B3553"/>
    <mergeCell ref="B3554:B3560"/>
    <mergeCell ref="B3564:B3565"/>
    <mergeCell ref="B3798:B3803"/>
    <mergeCell ref="F128:F131"/>
    <mergeCell ref="F219:F225"/>
    <mergeCell ref="C4:G5"/>
    <mergeCell ref="C16:G17"/>
    <mergeCell ref="C27:G28"/>
    <mergeCell ref="C37:G38"/>
    <mergeCell ref="C96:G97"/>
    <mergeCell ref="C125:G126"/>
    <mergeCell ref="C48:G49"/>
    <mergeCell ref="C84:G85"/>
    <mergeCell ref="C72:G73"/>
    <mergeCell ref="C108:G109"/>
    <mergeCell ref="C233:G234"/>
    <mergeCell ref="C257:G258"/>
    <mergeCell ref="C377:G378"/>
    <mergeCell ref="C366:G367"/>
    <mergeCell ref="C1511:G1512"/>
    <mergeCell ref="C1533:G1534"/>
    <mergeCell ref="C290:G291"/>
    <mergeCell ref="B3733:B3735"/>
    <mergeCell ref="B3736:B3739"/>
    <mergeCell ref="B3743:B3744"/>
    <mergeCell ref="B3745:B3747"/>
    <mergeCell ref="C149:G150"/>
    <mergeCell ref="C440:G441"/>
    <mergeCell ref="C417:G418"/>
    <mergeCell ref="C353:G354"/>
    <mergeCell ref="B3771:B3776"/>
    <mergeCell ref="B3777:B3788"/>
    <mergeCell ref="B3792:B3793"/>
    <mergeCell ref="B3794:B3797"/>
    <mergeCell ref="B3748:B3752"/>
    <mergeCell ref="B3756:B3757"/>
    <mergeCell ref="B3758:B3761"/>
    <mergeCell ref="B3762:B3765"/>
    <mergeCell ref="B3769:B3770"/>
    <mergeCell ref="B3638:B3652"/>
    <mergeCell ref="B3653:B3684"/>
    <mergeCell ref="B3688:B3689"/>
    <mergeCell ref="B3690:B3695"/>
    <mergeCell ref="B3696:B3708"/>
    <mergeCell ref="B3712:B3713"/>
    <mergeCell ref="B3714:B3718"/>
    <mergeCell ref="B3719:B3727"/>
    <mergeCell ref="B3731:B3732"/>
    <mergeCell ref="B3566:B3574"/>
    <mergeCell ref="C3589:G3590"/>
    <mergeCell ref="C3636:G3637"/>
    <mergeCell ref="C404:G405"/>
    <mergeCell ref="C479:G480"/>
    <mergeCell ref="C463:G464"/>
    <mergeCell ref="C326:G327"/>
    <mergeCell ref="C213:G214"/>
    <mergeCell ref="C187:G188"/>
    <mergeCell ref="C174:G175"/>
    <mergeCell ref="C3588:E3588"/>
    <mergeCell ref="C3634:E3634"/>
    <mergeCell ref="C3635:E3635"/>
    <mergeCell ref="C439:E439"/>
    <mergeCell ref="C461:E461"/>
    <mergeCell ref="C462:E462"/>
    <mergeCell ref="C477:E477"/>
    <mergeCell ref="C478:E478"/>
    <mergeCell ref="C3587:E3587"/>
    <mergeCell ref="C1937:G1938"/>
    <mergeCell ref="C352:E352"/>
    <mergeCell ref="C364:E364"/>
    <mergeCell ref="C365:E365"/>
    <mergeCell ref="C375:E375"/>
    <mergeCell ref="C376:E376"/>
    <mergeCell ref="C1556:G1557"/>
  </mergeCells>
  <phoneticPr fontId="19" type="noConversion"/>
  <pageMargins left="0.69930555555555596" right="0.69930555555555596" top="0.75" bottom="0.75" header="0.3" footer="0.3"/>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D2339"/>
  <sheetViews>
    <sheetView workbookViewId="0">
      <pane ySplit="2" topLeftCell="A1624" activePane="bottomLeft" state="frozen"/>
      <selection pane="bottomLeft" activeCell="D1641" sqref="D1641"/>
    </sheetView>
  </sheetViews>
  <sheetFormatPr defaultColWidth="9" defaultRowHeight="13.5" x14ac:dyDescent="0.15"/>
  <cols>
    <col min="1" max="1" width="1" style="1" customWidth="1"/>
    <col min="2" max="2" width="21.875" style="1" customWidth="1"/>
    <col min="3" max="3" width="17.625" style="1" customWidth="1"/>
    <col min="4" max="4" width="21.875" style="1" customWidth="1"/>
    <col min="5" max="16384" width="9" style="1"/>
  </cols>
  <sheetData>
    <row r="1" spans="2:4" ht="6.75" customHeight="1" x14ac:dyDescent="0.15"/>
    <row r="2" spans="2:4" x14ac:dyDescent="0.15">
      <c r="B2" s="43" t="s">
        <v>1941</v>
      </c>
      <c r="C2" s="44" t="s">
        <v>1942</v>
      </c>
      <c r="D2" s="45" t="s">
        <v>1943</v>
      </c>
    </row>
    <row r="3" spans="2:4" x14ac:dyDescent="0.15">
      <c r="B3" s="46" t="s">
        <v>627</v>
      </c>
      <c r="C3" s="47">
        <v>501</v>
      </c>
      <c r="D3" s="48" t="s">
        <v>365</v>
      </c>
    </row>
    <row r="4" spans="2:4" x14ac:dyDescent="0.15">
      <c r="B4" s="46" t="s">
        <v>1944</v>
      </c>
      <c r="C4" s="47">
        <v>502</v>
      </c>
      <c r="D4" s="48" t="s">
        <v>365</v>
      </c>
    </row>
    <row r="5" spans="2:4" x14ac:dyDescent="0.15">
      <c r="B5" s="46" t="s">
        <v>1945</v>
      </c>
      <c r="C5" s="47">
        <v>503</v>
      </c>
      <c r="D5" s="48" t="s">
        <v>365</v>
      </c>
    </row>
    <row r="6" spans="2:4" x14ac:dyDescent="0.15">
      <c r="B6" s="46" t="s">
        <v>1946</v>
      </c>
      <c r="C6" s="47">
        <v>504</v>
      </c>
      <c r="D6" s="48" t="s">
        <v>365</v>
      </c>
    </row>
    <row r="7" spans="2:4" x14ac:dyDescent="0.15">
      <c r="B7" s="46" t="s">
        <v>1947</v>
      </c>
      <c r="C7" s="47">
        <v>505</v>
      </c>
      <c r="D7" s="48" t="s">
        <v>365</v>
      </c>
    </row>
    <row r="8" spans="2:4" x14ac:dyDescent="0.15">
      <c r="B8" s="46" t="s">
        <v>1948</v>
      </c>
      <c r="C8" s="47">
        <v>506</v>
      </c>
      <c r="D8" s="48" t="s">
        <v>365</v>
      </c>
    </row>
    <row r="9" spans="2:4" x14ac:dyDescent="0.15">
      <c r="B9" s="46" t="s">
        <v>362</v>
      </c>
      <c r="C9" s="47">
        <v>507</v>
      </c>
      <c r="D9" s="48" t="s">
        <v>365</v>
      </c>
    </row>
    <row r="10" spans="2:4" x14ac:dyDescent="0.15">
      <c r="B10" s="46" t="s">
        <v>364</v>
      </c>
      <c r="C10" s="47">
        <v>508</v>
      </c>
      <c r="D10" s="48" t="s">
        <v>365</v>
      </c>
    </row>
    <row r="11" spans="2:4" x14ac:dyDescent="0.15">
      <c r="B11" s="46" t="s">
        <v>1949</v>
      </c>
      <c r="C11" s="47">
        <v>509</v>
      </c>
      <c r="D11" s="48" t="s">
        <v>365</v>
      </c>
    </row>
    <row r="12" spans="2:4" x14ac:dyDescent="0.15">
      <c r="B12" s="46" t="s">
        <v>1950</v>
      </c>
      <c r="C12" s="47">
        <v>510</v>
      </c>
      <c r="D12" s="48" t="s">
        <v>365</v>
      </c>
    </row>
    <row r="13" spans="2:4" x14ac:dyDescent="0.15">
      <c r="B13" s="46" t="s">
        <v>550</v>
      </c>
      <c r="C13" s="47">
        <v>511</v>
      </c>
      <c r="D13" s="48" t="s">
        <v>365</v>
      </c>
    </row>
    <row r="14" spans="2:4" x14ac:dyDescent="0.15">
      <c r="B14" s="46" t="s">
        <v>1951</v>
      </c>
      <c r="C14" s="47">
        <v>512</v>
      </c>
      <c r="D14" s="48" t="s">
        <v>365</v>
      </c>
    </row>
    <row r="15" spans="2:4" x14ac:dyDescent="0.15">
      <c r="B15" s="46" t="s">
        <v>1952</v>
      </c>
      <c r="C15" s="47">
        <v>513</v>
      </c>
      <c r="D15" s="48" t="s">
        <v>365</v>
      </c>
    </row>
    <row r="16" spans="2:4" x14ac:dyDescent="0.15">
      <c r="B16" s="46" t="s">
        <v>1953</v>
      </c>
      <c r="C16" s="47">
        <v>514</v>
      </c>
      <c r="D16" s="48" t="s">
        <v>365</v>
      </c>
    </row>
    <row r="17" spans="2:4" x14ac:dyDescent="0.15">
      <c r="B17" s="46" t="s">
        <v>1452</v>
      </c>
      <c r="C17" s="47">
        <v>515</v>
      </c>
      <c r="D17" s="48" t="s">
        <v>365</v>
      </c>
    </row>
    <row r="18" spans="2:4" x14ac:dyDescent="0.15">
      <c r="B18" s="46" t="s">
        <v>1954</v>
      </c>
      <c r="C18" s="47">
        <v>516</v>
      </c>
      <c r="D18" s="48" t="s">
        <v>365</v>
      </c>
    </row>
    <row r="19" spans="2:4" x14ac:dyDescent="0.15">
      <c r="B19" s="46" t="s">
        <v>1291</v>
      </c>
      <c r="C19" s="47">
        <v>517</v>
      </c>
      <c r="D19" s="48" t="s">
        <v>365</v>
      </c>
    </row>
    <row r="20" spans="2:4" x14ac:dyDescent="0.15">
      <c r="B20" s="46" t="s">
        <v>1955</v>
      </c>
      <c r="C20" s="47">
        <v>518</v>
      </c>
      <c r="D20" s="48" t="s">
        <v>365</v>
      </c>
    </row>
    <row r="21" spans="2:4" x14ac:dyDescent="0.15">
      <c r="B21" s="46" t="s">
        <v>1956</v>
      </c>
      <c r="C21" s="47">
        <v>519</v>
      </c>
      <c r="D21" s="48" t="s">
        <v>365</v>
      </c>
    </row>
    <row r="22" spans="2:4" x14ac:dyDescent="0.15">
      <c r="B22" s="46" t="s">
        <v>1957</v>
      </c>
      <c r="C22" s="47">
        <v>520</v>
      </c>
      <c r="D22" s="48" t="s">
        <v>365</v>
      </c>
    </row>
    <row r="23" spans="2:4" x14ac:dyDescent="0.15">
      <c r="B23" s="46" t="s">
        <v>1958</v>
      </c>
      <c r="C23" s="47">
        <v>521</v>
      </c>
      <c r="D23" s="48" t="s">
        <v>365</v>
      </c>
    </row>
    <row r="24" spans="2:4" x14ac:dyDescent="0.15">
      <c r="B24" s="46" t="s">
        <v>903</v>
      </c>
      <c r="C24" s="47">
        <v>522</v>
      </c>
      <c r="D24" s="48" t="s">
        <v>365</v>
      </c>
    </row>
    <row r="25" spans="2:4" x14ac:dyDescent="0.15">
      <c r="B25" s="46" t="s">
        <v>1959</v>
      </c>
      <c r="C25" s="47">
        <v>523</v>
      </c>
      <c r="D25" s="48" t="s">
        <v>365</v>
      </c>
    </row>
    <row r="26" spans="2:4" x14ac:dyDescent="0.15">
      <c r="B26" s="46" t="s">
        <v>709</v>
      </c>
      <c r="C26" s="47">
        <v>524</v>
      </c>
      <c r="D26" s="48" t="s">
        <v>365</v>
      </c>
    </row>
    <row r="27" spans="2:4" x14ac:dyDescent="0.15">
      <c r="B27" s="46" t="s">
        <v>952</v>
      </c>
      <c r="C27" s="47">
        <v>525</v>
      </c>
      <c r="D27" s="48" t="s">
        <v>365</v>
      </c>
    </row>
    <row r="28" spans="2:4" x14ac:dyDescent="0.15">
      <c r="B28" s="46" t="s">
        <v>767</v>
      </c>
      <c r="C28" s="47">
        <v>526</v>
      </c>
      <c r="D28" s="48" t="s">
        <v>365</v>
      </c>
    </row>
    <row r="29" spans="2:4" x14ac:dyDescent="0.15">
      <c r="B29" s="46" t="s">
        <v>970</v>
      </c>
      <c r="C29" s="47">
        <v>527</v>
      </c>
      <c r="D29" s="48" t="s">
        <v>365</v>
      </c>
    </row>
    <row r="30" spans="2:4" x14ac:dyDescent="0.15">
      <c r="B30" s="46" t="s">
        <v>707</v>
      </c>
      <c r="C30" s="47">
        <v>528</v>
      </c>
      <c r="D30" s="48" t="s">
        <v>365</v>
      </c>
    </row>
    <row r="31" spans="2:4" x14ac:dyDescent="0.15">
      <c r="B31" s="46" t="s">
        <v>1960</v>
      </c>
      <c r="C31" s="47">
        <v>529</v>
      </c>
      <c r="D31" s="48" t="s">
        <v>365</v>
      </c>
    </row>
    <row r="32" spans="2:4" x14ac:dyDescent="0.15">
      <c r="B32" s="46" t="s">
        <v>1961</v>
      </c>
      <c r="C32" s="47">
        <v>530</v>
      </c>
      <c r="D32" s="48" t="s">
        <v>365</v>
      </c>
    </row>
    <row r="33" spans="2:4" x14ac:dyDescent="0.15">
      <c r="B33" s="46" t="s">
        <v>405</v>
      </c>
      <c r="C33" s="47">
        <v>531</v>
      </c>
      <c r="D33" s="48" t="s">
        <v>365</v>
      </c>
    </row>
    <row r="34" spans="2:4" x14ac:dyDescent="0.15">
      <c r="B34" s="46" t="s">
        <v>474</v>
      </c>
      <c r="C34" s="47">
        <v>532</v>
      </c>
      <c r="D34" s="48" t="s">
        <v>365</v>
      </c>
    </row>
    <row r="35" spans="2:4" x14ac:dyDescent="0.15">
      <c r="B35" s="46" t="s">
        <v>1891</v>
      </c>
      <c r="C35" s="47">
        <v>533</v>
      </c>
      <c r="D35" s="48" t="s">
        <v>365</v>
      </c>
    </row>
    <row r="36" spans="2:4" x14ac:dyDescent="0.15">
      <c r="B36" s="46" t="s">
        <v>1962</v>
      </c>
      <c r="C36" s="47">
        <v>534</v>
      </c>
      <c r="D36" s="48" t="s">
        <v>365</v>
      </c>
    </row>
    <row r="37" spans="2:4" x14ac:dyDescent="0.15">
      <c r="B37" s="46" t="s">
        <v>1963</v>
      </c>
      <c r="C37" s="47">
        <v>535</v>
      </c>
      <c r="D37" s="48" t="s">
        <v>365</v>
      </c>
    </row>
    <row r="38" spans="2:4" x14ac:dyDescent="0.15">
      <c r="B38" s="46" t="s">
        <v>1964</v>
      </c>
      <c r="C38" s="47">
        <v>536</v>
      </c>
      <c r="D38" s="48" t="s">
        <v>365</v>
      </c>
    </row>
    <row r="39" spans="2:4" x14ac:dyDescent="0.15">
      <c r="B39" s="46" t="s">
        <v>1965</v>
      </c>
      <c r="C39" s="47">
        <v>537</v>
      </c>
      <c r="D39" s="48" t="s">
        <v>365</v>
      </c>
    </row>
    <row r="40" spans="2:4" x14ac:dyDescent="0.15">
      <c r="B40" s="46" t="s">
        <v>1966</v>
      </c>
      <c r="C40" s="47">
        <v>538</v>
      </c>
      <c r="D40" s="48" t="s">
        <v>365</v>
      </c>
    </row>
    <row r="41" spans="2:4" x14ac:dyDescent="0.15">
      <c r="B41" s="46" t="s">
        <v>1967</v>
      </c>
      <c r="C41" s="47">
        <v>539</v>
      </c>
      <c r="D41" s="48" t="s">
        <v>365</v>
      </c>
    </row>
    <row r="42" spans="2:4" x14ac:dyDescent="0.15">
      <c r="B42" s="46" t="s">
        <v>1411</v>
      </c>
      <c r="C42" s="47">
        <v>540</v>
      </c>
      <c r="D42" s="48" t="s">
        <v>365</v>
      </c>
    </row>
    <row r="43" spans="2:4" x14ac:dyDescent="0.15">
      <c r="B43" s="46" t="s">
        <v>833</v>
      </c>
      <c r="C43" s="47">
        <v>541</v>
      </c>
      <c r="D43" s="48" t="s">
        <v>365</v>
      </c>
    </row>
    <row r="44" spans="2:4" x14ac:dyDescent="0.15">
      <c r="B44" s="46" t="s">
        <v>1968</v>
      </c>
      <c r="C44" s="47">
        <v>542</v>
      </c>
      <c r="D44" s="48" t="s">
        <v>365</v>
      </c>
    </row>
    <row r="45" spans="2:4" x14ac:dyDescent="0.15">
      <c r="B45" s="46" t="s">
        <v>829</v>
      </c>
      <c r="C45" s="47">
        <v>543</v>
      </c>
      <c r="D45" s="48" t="s">
        <v>365</v>
      </c>
    </row>
    <row r="46" spans="2:4" x14ac:dyDescent="0.15">
      <c r="B46" s="46" t="s">
        <v>1969</v>
      </c>
      <c r="C46" s="47">
        <v>544</v>
      </c>
      <c r="D46" s="48" t="s">
        <v>365</v>
      </c>
    </row>
    <row r="47" spans="2:4" x14ac:dyDescent="0.15">
      <c r="B47" s="46" t="s">
        <v>831</v>
      </c>
      <c r="C47" s="47">
        <v>545</v>
      </c>
      <c r="D47" s="48" t="s">
        <v>365</v>
      </c>
    </row>
    <row r="48" spans="2:4" x14ac:dyDescent="0.15">
      <c r="B48" s="46" t="s">
        <v>1970</v>
      </c>
      <c r="C48" s="47">
        <v>546</v>
      </c>
      <c r="D48" s="48" t="s">
        <v>365</v>
      </c>
    </row>
    <row r="49" spans="2:4" x14ac:dyDescent="0.15">
      <c r="B49" s="46" t="s">
        <v>1971</v>
      </c>
      <c r="C49" s="47">
        <v>547</v>
      </c>
      <c r="D49" s="48" t="s">
        <v>365</v>
      </c>
    </row>
    <row r="50" spans="2:4" x14ac:dyDescent="0.15">
      <c r="B50" s="46" t="s">
        <v>1972</v>
      </c>
      <c r="C50" s="47">
        <v>548</v>
      </c>
      <c r="D50" s="48" t="s">
        <v>365</v>
      </c>
    </row>
    <row r="51" spans="2:4" x14ac:dyDescent="0.15">
      <c r="B51" s="46" t="s">
        <v>1973</v>
      </c>
      <c r="C51" s="47">
        <v>549</v>
      </c>
      <c r="D51" s="48" t="s">
        <v>365</v>
      </c>
    </row>
    <row r="52" spans="2:4" x14ac:dyDescent="0.15">
      <c r="B52" s="46" t="s">
        <v>472</v>
      </c>
      <c r="C52" s="47">
        <v>550</v>
      </c>
      <c r="D52" s="48" t="s">
        <v>365</v>
      </c>
    </row>
    <row r="53" spans="2:4" x14ac:dyDescent="0.15">
      <c r="B53" s="46" t="s">
        <v>1454</v>
      </c>
      <c r="C53" s="47">
        <v>551</v>
      </c>
      <c r="D53" s="48" t="s">
        <v>365</v>
      </c>
    </row>
    <row r="54" spans="2:4" x14ac:dyDescent="0.15">
      <c r="B54" s="46" t="s">
        <v>478</v>
      </c>
      <c r="C54" s="47">
        <v>552</v>
      </c>
      <c r="D54" s="48" t="s">
        <v>365</v>
      </c>
    </row>
    <row r="55" spans="2:4" x14ac:dyDescent="0.15">
      <c r="B55" s="46" t="s">
        <v>1974</v>
      </c>
      <c r="C55" s="47">
        <v>553</v>
      </c>
      <c r="D55" s="48" t="s">
        <v>365</v>
      </c>
    </row>
    <row r="56" spans="2:4" x14ac:dyDescent="0.15">
      <c r="B56" s="46" t="s">
        <v>1975</v>
      </c>
      <c r="C56" s="47">
        <v>554</v>
      </c>
      <c r="D56" s="48" t="s">
        <v>365</v>
      </c>
    </row>
    <row r="57" spans="2:4" x14ac:dyDescent="0.15">
      <c r="B57" s="46" t="s">
        <v>1976</v>
      </c>
      <c r="C57" s="47">
        <v>555</v>
      </c>
      <c r="D57" s="48" t="s">
        <v>365</v>
      </c>
    </row>
    <row r="58" spans="2:4" x14ac:dyDescent="0.15">
      <c r="B58" s="46" t="s">
        <v>1373</v>
      </c>
      <c r="C58" s="47">
        <v>556</v>
      </c>
      <c r="D58" s="48" t="s">
        <v>365</v>
      </c>
    </row>
    <row r="59" spans="2:4" x14ac:dyDescent="0.15">
      <c r="B59" s="46" t="s">
        <v>1371</v>
      </c>
      <c r="C59" s="47">
        <v>557</v>
      </c>
      <c r="D59" s="48" t="s">
        <v>365</v>
      </c>
    </row>
    <row r="60" spans="2:4" x14ac:dyDescent="0.15">
      <c r="B60" s="46" t="s">
        <v>1763</v>
      </c>
      <c r="C60" s="47">
        <v>558</v>
      </c>
      <c r="D60" s="48" t="s">
        <v>365</v>
      </c>
    </row>
    <row r="61" spans="2:4" x14ac:dyDescent="0.15">
      <c r="B61" s="46" t="s">
        <v>1977</v>
      </c>
      <c r="C61" s="47">
        <v>559</v>
      </c>
      <c r="D61" s="48" t="s">
        <v>365</v>
      </c>
    </row>
    <row r="62" spans="2:4" x14ac:dyDescent="0.15">
      <c r="B62" s="46" t="s">
        <v>1978</v>
      </c>
      <c r="C62" s="47">
        <v>560</v>
      </c>
      <c r="D62" s="48" t="s">
        <v>365</v>
      </c>
    </row>
    <row r="63" spans="2:4" x14ac:dyDescent="0.15">
      <c r="B63" s="46" t="s">
        <v>1979</v>
      </c>
      <c r="C63" s="47">
        <v>561</v>
      </c>
      <c r="D63" s="48" t="s">
        <v>365</v>
      </c>
    </row>
    <row r="64" spans="2:4" x14ac:dyDescent="0.15">
      <c r="B64" s="46" t="s">
        <v>1980</v>
      </c>
      <c r="C64" s="47">
        <v>562</v>
      </c>
      <c r="D64" s="48" t="s">
        <v>365</v>
      </c>
    </row>
    <row r="65" spans="2:4" x14ac:dyDescent="0.15">
      <c r="B65" s="46" t="s">
        <v>1981</v>
      </c>
      <c r="C65" s="47">
        <v>563</v>
      </c>
      <c r="D65" s="48" t="s">
        <v>365</v>
      </c>
    </row>
    <row r="66" spans="2:4" x14ac:dyDescent="0.15">
      <c r="B66" s="46" t="s">
        <v>1774</v>
      </c>
      <c r="C66" s="47">
        <v>564</v>
      </c>
      <c r="D66" s="48" t="s">
        <v>365</v>
      </c>
    </row>
    <row r="67" spans="2:4" x14ac:dyDescent="0.15">
      <c r="B67" s="46" t="s">
        <v>1982</v>
      </c>
      <c r="C67" s="47">
        <v>565</v>
      </c>
      <c r="D67" s="48" t="s">
        <v>365</v>
      </c>
    </row>
    <row r="68" spans="2:4" x14ac:dyDescent="0.15">
      <c r="B68" s="46" t="s">
        <v>370</v>
      </c>
      <c r="C68" s="47">
        <v>566</v>
      </c>
      <c r="D68" s="48" t="s">
        <v>365</v>
      </c>
    </row>
    <row r="69" spans="2:4" x14ac:dyDescent="0.15">
      <c r="B69" s="46" t="s">
        <v>1983</v>
      </c>
      <c r="C69" s="47">
        <v>567</v>
      </c>
      <c r="D69" s="48" t="s">
        <v>365</v>
      </c>
    </row>
    <row r="70" spans="2:4" x14ac:dyDescent="0.15">
      <c r="B70" s="46" t="s">
        <v>843</v>
      </c>
      <c r="C70" s="47">
        <v>568</v>
      </c>
      <c r="D70" s="48" t="s">
        <v>365</v>
      </c>
    </row>
    <row r="71" spans="2:4" x14ac:dyDescent="0.15">
      <c r="B71" s="46" t="s">
        <v>1877</v>
      </c>
      <c r="C71" s="47">
        <v>569</v>
      </c>
      <c r="D71" s="48" t="s">
        <v>365</v>
      </c>
    </row>
    <row r="72" spans="2:4" x14ac:dyDescent="0.15">
      <c r="B72" s="46" t="s">
        <v>461</v>
      </c>
      <c r="C72" s="47">
        <v>570</v>
      </c>
      <c r="D72" s="48" t="s">
        <v>365</v>
      </c>
    </row>
    <row r="73" spans="2:4" x14ac:dyDescent="0.15">
      <c r="B73" s="46" t="s">
        <v>431</v>
      </c>
      <c r="C73" s="47">
        <v>571</v>
      </c>
      <c r="D73" s="48" t="s">
        <v>365</v>
      </c>
    </row>
    <row r="74" spans="2:4" x14ac:dyDescent="0.15">
      <c r="B74" s="46" t="s">
        <v>1984</v>
      </c>
      <c r="C74" s="47">
        <v>572</v>
      </c>
      <c r="D74" s="48" t="s">
        <v>365</v>
      </c>
    </row>
    <row r="75" spans="2:4" x14ac:dyDescent="0.15">
      <c r="B75" s="46" t="s">
        <v>1985</v>
      </c>
      <c r="C75" s="47">
        <v>573</v>
      </c>
      <c r="D75" s="48" t="s">
        <v>365</v>
      </c>
    </row>
    <row r="76" spans="2:4" x14ac:dyDescent="0.15">
      <c r="B76" s="46" t="s">
        <v>1986</v>
      </c>
      <c r="C76" s="47">
        <v>574</v>
      </c>
      <c r="D76" s="48" t="s">
        <v>365</v>
      </c>
    </row>
    <row r="77" spans="2:4" x14ac:dyDescent="0.15">
      <c r="B77" s="46" t="s">
        <v>824</v>
      </c>
      <c r="C77" s="47">
        <v>575</v>
      </c>
      <c r="D77" s="48" t="s">
        <v>365</v>
      </c>
    </row>
    <row r="78" spans="2:4" x14ac:dyDescent="0.15">
      <c r="B78" s="46" t="s">
        <v>1987</v>
      </c>
      <c r="C78" s="47">
        <v>576</v>
      </c>
      <c r="D78" s="48" t="s">
        <v>365</v>
      </c>
    </row>
    <row r="79" spans="2:4" x14ac:dyDescent="0.15">
      <c r="B79" s="46" t="s">
        <v>1988</v>
      </c>
      <c r="C79" s="47">
        <v>577</v>
      </c>
      <c r="D79" s="48" t="s">
        <v>365</v>
      </c>
    </row>
    <row r="80" spans="2:4" x14ac:dyDescent="0.15">
      <c r="B80" s="46" t="s">
        <v>1989</v>
      </c>
      <c r="C80" s="47">
        <v>578</v>
      </c>
      <c r="D80" s="48" t="s">
        <v>365</v>
      </c>
    </row>
    <row r="81" spans="2:4" x14ac:dyDescent="0.15">
      <c r="B81" s="46" t="s">
        <v>1990</v>
      </c>
      <c r="C81" s="47">
        <v>579</v>
      </c>
      <c r="D81" s="48" t="s">
        <v>365</v>
      </c>
    </row>
    <row r="82" spans="2:4" x14ac:dyDescent="0.15">
      <c r="B82" s="46" t="s">
        <v>1991</v>
      </c>
      <c r="C82" s="47">
        <v>580</v>
      </c>
      <c r="D82" s="48" t="s">
        <v>365</v>
      </c>
    </row>
    <row r="83" spans="2:4" x14ac:dyDescent="0.15">
      <c r="B83" s="46" t="s">
        <v>1992</v>
      </c>
      <c r="C83" s="47">
        <v>581</v>
      </c>
      <c r="D83" s="48" t="s">
        <v>365</v>
      </c>
    </row>
    <row r="84" spans="2:4" x14ac:dyDescent="0.15">
      <c r="B84" s="46" t="s">
        <v>1993</v>
      </c>
      <c r="C84" s="47">
        <v>582</v>
      </c>
      <c r="D84" s="48" t="s">
        <v>365</v>
      </c>
    </row>
    <row r="85" spans="2:4" x14ac:dyDescent="0.15">
      <c r="B85" s="46" t="s">
        <v>1994</v>
      </c>
      <c r="C85" s="47">
        <v>583</v>
      </c>
      <c r="D85" s="48" t="s">
        <v>365</v>
      </c>
    </row>
    <row r="86" spans="2:4" x14ac:dyDescent="0.15">
      <c r="B86" s="46" t="s">
        <v>1995</v>
      </c>
      <c r="C86" s="47">
        <v>584</v>
      </c>
      <c r="D86" s="48" t="s">
        <v>365</v>
      </c>
    </row>
    <row r="87" spans="2:4" x14ac:dyDescent="0.15">
      <c r="B87" s="46" t="s">
        <v>1996</v>
      </c>
      <c r="C87" s="47">
        <v>585</v>
      </c>
      <c r="D87" s="48" t="s">
        <v>365</v>
      </c>
    </row>
    <row r="88" spans="2:4" x14ac:dyDescent="0.15">
      <c r="B88" s="46" t="s">
        <v>1997</v>
      </c>
      <c r="C88" s="47">
        <v>586</v>
      </c>
      <c r="D88" s="48" t="s">
        <v>365</v>
      </c>
    </row>
    <row r="89" spans="2:4" x14ac:dyDescent="0.15">
      <c r="B89" s="46" t="s">
        <v>695</v>
      </c>
      <c r="C89" s="47">
        <v>587</v>
      </c>
      <c r="D89" s="48" t="s">
        <v>365</v>
      </c>
    </row>
    <row r="90" spans="2:4" x14ac:dyDescent="0.15">
      <c r="B90" s="46" t="s">
        <v>1998</v>
      </c>
      <c r="C90" s="47">
        <v>588</v>
      </c>
      <c r="D90" s="48" t="s">
        <v>365</v>
      </c>
    </row>
    <row r="91" spans="2:4" x14ac:dyDescent="0.15">
      <c r="B91" s="46" t="s">
        <v>1999</v>
      </c>
      <c r="C91" s="47">
        <v>589</v>
      </c>
      <c r="D91" s="48" t="s">
        <v>365</v>
      </c>
    </row>
    <row r="92" spans="2:4" x14ac:dyDescent="0.15">
      <c r="B92" s="46" t="s">
        <v>512</v>
      </c>
      <c r="C92" s="47">
        <v>590</v>
      </c>
      <c r="D92" s="48" t="s">
        <v>365</v>
      </c>
    </row>
    <row r="93" spans="2:4" x14ac:dyDescent="0.15">
      <c r="B93" s="46" t="s">
        <v>687</v>
      </c>
      <c r="C93" s="47">
        <v>591</v>
      </c>
      <c r="D93" s="48" t="s">
        <v>365</v>
      </c>
    </row>
    <row r="94" spans="2:4" x14ac:dyDescent="0.15">
      <c r="B94" s="46" t="s">
        <v>2000</v>
      </c>
      <c r="C94" s="47">
        <v>592</v>
      </c>
      <c r="D94" s="48" t="s">
        <v>365</v>
      </c>
    </row>
    <row r="95" spans="2:4" x14ac:dyDescent="0.15">
      <c r="B95" s="46" t="s">
        <v>2001</v>
      </c>
      <c r="C95" s="47">
        <v>593</v>
      </c>
      <c r="D95" s="48" t="s">
        <v>365</v>
      </c>
    </row>
    <row r="96" spans="2:4" x14ac:dyDescent="0.15">
      <c r="B96" s="46" t="s">
        <v>697</v>
      </c>
      <c r="C96" s="47">
        <v>594</v>
      </c>
      <c r="D96" s="48" t="s">
        <v>365</v>
      </c>
    </row>
    <row r="97" spans="2:4" x14ac:dyDescent="0.15">
      <c r="B97" s="46" t="s">
        <v>875</v>
      </c>
      <c r="C97" s="47">
        <v>595</v>
      </c>
      <c r="D97" s="48" t="s">
        <v>365</v>
      </c>
    </row>
    <row r="98" spans="2:4" x14ac:dyDescent="0.15">
      <c r="B98" s="46" t="s">
        <v>2002</v>
      </c>
      <c r="C98" s="47">
        <v>596</v>
      </c>
      <c r="D98" s="48" t="s">
        <v>365</v>
      </c>
    </row>
    <row r="99" spans="2:4" x14ac:dyDescent="0.15">
      <c r="B99" s="46" t="s">
        <v>2003</v>
      </c>
      <c r="C99" s="47">
        <v>597</v>
      </c>
      <c r="D99" s="48" t="s">
        <v>365</v>
      </c>
    </row>
    <row r="100" spans="2:4" x14ac:dyDescent="0.15">
      <c r="B100" s="46" t="s">
        <v>437</v>
      </c>
      <c r="C100" s="47">
        <v>598</v>
      </c>
      <c r="D100" s="48" t="s">
        <v>365</v>
      </c>
    </row>
    <row r="101" spans="2:4" x14ac:dyDescent="0.15">
      <c r="B101" s="46" t="s">
        <v>387</v>
      </c>
      <c r="C101" s="47">
        <v>599</v>
      </c>
      <c r="D101" s="48" t="s">
        <v>365</v>
      </c>
    </row>
    <row r="102" spans="2:4" x14ac:dyDescent="0.15">
      <c r="B102" s="46" t="s">
        <v>2004</v>
      </c>
      <c r="C102" s="47">
        <v>600</v>
      </c>
      <c r="D102" s="48" t="s">
        <v>365</v>
      </c>
    </row>
    <row r="103" spans="2:4" x14ac:dyDescent="0.15">
      <c r="B103" s="46" t="s">
        <v>2005</v>
      </c>
      <c r="C103" s="47">
        <v>601</v>
      </c>
      <c r="D103" s="48" t="s">
        <v>365</v>
      </c>
    </row>
    <row r="104" spans="2:4" x14ac:dyDescent="0.15">
      <c r="B104" s="46" t="s">
        <v>2006</v>
      </c>
      <c r="C104" s="47">
        <v>602</v>
      </c>
      <c r="D104" s="48" t="s">
        <v>365</v>
      </c>
    </row>
    <row r="105" spans="2:4" x14ac:dyDescent="0.15">
      <c r="B105" s="46" t="s">
        <v>849</v>
      </c>
      <c r="C105" s="47">
        <v>603</v>
      </c>
      <c r="D105" s="48" t="s">
        <v>365</v>
      </c>
    </row>
    <row r="106" spans="2:4" x14ac:dyDescent="0.15">
      <c r="B106" s="46" t="s">
        <v>2007</v>
      </c>
      <c r="C106" s="47">
        <v>604</v>
      </c>
      <c r="D106" s="48" t="s">
        <v>365</v>
      </c>
    </row>
    <row r="107" spans="2:4" x14ac:dyDescent="0.15">
      <c r="B107" s="46" t="s">
        <v>428</v>
      </c>
      <c r="C107" s="47">
        <v>605</v>
      </c>
      <c r="D107" s="48" t="s">
        <v>365</v>
      </c>
    </row>
    <row r="108" spans="2:4" x14ac:dyDescent="0.15">
      <c r="B108" s="46" t="s">
        <v>2008</v>
      </c>
      <c r="C108" s="47">
        <v>606</v>
      </c>
      <c r="D108" s="48" t="s">
        <v>365</v>
      </c>
    </row>
    <row r="109" spans="2:4" x14ac:dyDescent="0.15">
      <c r="B109" s="46" t="s">
        <v>2009</v>
      </c>
      <c r="C109" s="47">
        <v>607</v>
      </c>
      <c r="D109" s="48" t="s">
        <v>365</v>
      </c>
    </row>
    <row r="110" spans="2:4" x14ac:dyDescent="0.15">
      <c r="B110" s="46" t="s">
        <v>2010</v>
      </c>
      <c r="C110" s="47">
        <v>608</v>
      </c>
      <c r="D110" s="48" t="s">
        <v>365</v>
      </c>
    </row>
    <row r="111" spans="2:4" x14ac:dyDescent="0.15">
      <c r="B111" s="46" t="s">
        <v>2011</v>
      </c>
      <c r="C111" s="47">
        <v>609</v>
      </c>
      <c r="D111" s="48" t="s">
        <v>365</v>
      </c>
    </row>
    <row r="112" spans="2:4" x14ac:dyDescent="0.15">
      <c r="B112" s="46" t="s">
        <v>443</v>
      </c>
      <c r="C112" s="47">
        <v>610</v>
      </c>
      <c r="D112" s="48" t="s">
        <v>365</v>
      </c>
    </row>
    <row r="113" spans="2:4" x14ac:dyDescent="0.15">
      <c r="B113" s="46" t="s">
        <v>769</v>
      </c>
      <c r="C113" s="47">
        <v>611</v>
      </c>
      <c r="D113" s="48" t="s">
        <v>365</v>
      </c>
    </row>
    <row r="114" spans="2:4" x14ac:dyDescent="0.15">
      <c r="B114" s="46" t="s">
        <v>2012</v>
      </c>
      <c r="C114" s="47">
        <v>612</v>
      </c>
      <c r="D114" s="48" t="s">
        <v>365</v>
      </c>
    </row>
    <row r="115" spans="2:4" x14ac:dyDescent="0.15">
      <c r="B115" s="46" t="s">
        <v>446</v>
      </c>
      <c r="C115" s="47">
        <v>613</v>
      </c>
      <c r="D115" s="48" t="s">
        <v>365</v>
      </c>
    </row>
    <row r="116" spans="2:4" x14ac:dyDescent="0.15">
      <c r="B116" s="46" t="s">
        <v>2013</v>
      </c>
      <c r="C116" s="47">
        <v>614</v>
      </c>
      <c r="D116" s="48" t="s">
        <v>365</v>
      </c>
    </row>
    <row r="117" spans="2:4" x14ac:dyDescent="0.15">
      <c r="B117" s="46" t="s">
        <v>839</v>
      </c>
      <c r="C117" s="47">
        <v>615</v>
      </c>
      <c r="D117" s="48" t="s">
        <v>365</v>
      </c>
    </row>
    <row r="118" spans="2:4" x14ac:dyDescent="0.15">
      <c r="B118" s="46" t="s">
        <v>2014</v>
      </c>
      <c r="C118" s="47">
        <v>616</v>
      </c>
      <c r="D118" s="48" t="s">
        <v>365</v>
      </c>
    </row>
    <row r="119" spans="2:4" x14ac:dyDescent="0.15">
      <c r="B119" s="46" t="s">
        <v>569</v>
      </c>
      <c r="C119" s="47">
        <v>617</v>
      </c>
      <c r="D119" s="48" t="s">
        <v>365</v>
      </c>
    </row>
    <row r="120" spans="2:4" x14ac:dyDescent="0.15">
      <c r="B120" s="46" t="s">
        <v>510</v>
      </c>
      <c r="C120" s="47">
        <v>618</v>
      </c>
      <c r="D120" s="48" t="s">
        <v>365</v>
      </c>
    </row>
    <row r="121" spans="2:4" x14ac:dyDescent="0.15">
      <c r="B121" s="46" t="s">
        <v>567</v>
      </c>
      <c r="C121" s="47">
        <v>619</v>
      </c>
      <c r="D121" s="48" t="s">
        <v>365</v>
      </c>
    </row>
    <row r="122" spans="2:4" x14ac:dyDescent="0.15">
      <c r="B122" s="46" t="s">
        <v>1423</v>
      </c>
      <c r="C122" s="47">
        <v>620</v>
      </c>
      <c r="D122" s="48" t="s">
        <v>365</v>
      </c>
    </row>
    <row r="123" spans="2:4" x14ac:dyDescent="0.15">
      <c r="B123" s="46" t="s">
        <v>1301</v>
      </c>
      <c r="C123" s="47">
        <v>621</v>
      </c>
      <c r="D123" s="48" t="s">
        <v>365</v>
      </c>
    </row>
    <row r="124" spans="2:4" x14ac:dyDescent="0.15">
      <c r="B124" s="46" t="s">
        <v>1520</v>
      </c>
      <c r="C124" s="47">
        <v>622</v>
      </c>
      <c r="D124" s="48" t="s">
        <v>365</v>
      </c>
    </row>
    <row r="125" spans="2:4" x14ac:dyDescent="0.15">
      <c r="B125" s="46" t="s">
        <v>2015</v>
      </c>
      <c r="C125" s="47">
        <v>623</v>
      </c>
      <c r="D125" s="48" t="s">
        <v>365</v>
      </c>
    </row>
    <row r="126" spans="2:4" x14ac:dyDescent="0.15">
      <c r="B126" s="46" t="s">
        <v>2016</v>
      </c>
      <c r="C126" s="47">
        <v>624</v>
      </c>
      <c r="D126" s="48" t="s">
        <v>365</v>
      </c>
    </row>
    <row r="127" spans="2:4" x14ac:dyDescent="0.15">
      <c r="B127" s="46" t="s">
        <v>1655</v>
      </c>
      <c r="C127" s="47">
        <v>625</v>
      </c>
      <c r="D127" s="48" t="s">
        <v>365</v>
      </c>
    </row>
    <row r="128" spans="2:4" x14ac:dyDescent="0.15">
      <c r="B128" s="46" t="s">
        <v>2017</v>
      </c>
      <c r="C128" s="47">
        <v>626</v>
      </c>
      <c r="D128" s="48" t="s">
        <v>365</v>
      </c>
    </row>
    <row r="129" spans="2:4" x14ac:dyDescent="0.15">
      <c r="B129" s="46" t="s">
        <v>2018</v>
      </c>
      <c r="C129" s="47">
        <v>627</v>
      </c>
      <c r="D129" s="48" t="s">
        <v>365</v>
      </c>
    </row>
    <row r="130" spans="2:4" x14ac:dyDescent="0.15">
      <c r="B130" s="46" t="s">
        <v>2019</v>
      </c>
      <c r="C130" s="47">
        <v>628</v>
      </c>
      <c r="D130" s="48" t="s">
        <v>365</v>
      </c>
    </row>
    <row r="131" spans="2:4" x14ac:dyDescent="0.15">
      <c r="B131" s="46" t="s">
        <v>2020</v>
      </c>
      <c r="C131" s="47">
        <v>629</v>
      </c>
      <c r="D131" s="48" t="s">
        <v>365</v>
      </c>
    </row>
    <row r="132" spans="2:4" x14ac:dyDescent="0.15">
      <c r="B132" s="46" t="s">
        <v>2021</v>
      </c>
      <c r="C132" s="47">
        <v>630</v>
      </c>
      <c r="D132" s="48" t="s">
        <v>365</v>
      </c>
    </row>
    <row r="133" spans="2:4" x14ac:dyDescent="0.15">
      <c r="B133" s="46" t="s">
        <v>453</v>
      </c>
      <c r="C133" s="47">
        <v>631</v>
      </c>
      <c r="D133" s="48" t="s">
        <v>365</v>
      </c>
    </row>
    <row r="134" spans="2:4" x14ac:dyDescent="0.15">
      <c r="B134" s="46" t="s">
        <v>1706</v>
      </c>
      <c r="C134" s="47">
        <v>632</v>
      </c>
      <c r="D134" s="48" t="s">
        <v>365</v>
      </c>
    </row>
    <row r="135" spans="2:4" x14ac:dyDescent="0.15">
      <c r="B135" s="46" t="s">
        <v>2022</v>
      </c>
      <c r="C135" s="47">
        <v>633</v>
      </c>
      <c r="D135" s="48" t="s">
        <v>365</v>
      </c>
    </row>
    <row r="136" spans="2:4" x14ac:dyDescent="0.15">
      <c r="B136" s="46" t="s">
        <v>1653</v>
      </c>
      <c r="C136" s="47">
        <v>634</v>
      </c>
      <c r="D136" s="48" t="s">
        <v>365</v>
      </c>
    </row>
    <row r="137" spans="2:4" x14ac:dyDescent="0.15">
      <c r="B137" s="46" t="s">
        <v>2023</v>
      </c>
      <c r="C137" s="47">
        <v>635</v>
      </c>
      <c r="D137" s="48" t="s">
        <v>365</v>
      </c>
    </row>
    <row r="138" spans="2:4" x14ac:dyDescent="0.15">
      <c r="B138" s="46" t="s">
        <v>855</v>
      </c>
      <c r="C138" s="47">
        <v>636</v>
      </c>
      <c r="D138" s="48" t="s">
        <v>365</v>
      </c>
    </row>
    <row r="139" spans="2:4" x14ac:dyDescent="0.15">
      <c r="B139" s="46" t="s">
        <v>2024</v>
      </c>
      <c r="C139" s="47">
        <v>637</v>
      </c>
      <c r="D139" s="48" t="s">
        <v>365</v>
      </c>
    </row>
    <row r="140" spans="2:4" x14ac:dyDescent="0.15">
      <c r="B140" s="46" t="s">
        <v>1931</v>
      </c>
      <c r="C140" s="47">
        <v>638</v>
      </c>
      <c r="D140" s="48" t="s">
        <v>365</v>
      </c>
    </row>
    <row r="141" spans="2:4" x14ac:dyDescent="0.15">
      <c r="B141" s="46" t="s">
        <v>2025</v>
      </c>
      <c r="C141" s="47">
        <v>639</v>
      </c>
      <c r="D141" s="48" t="s">
        <v>365</v>
      </c>
    </row>
    <row r="142" spans="2:4" x14ac:dyDescent="0.15">
      <c r="B142" s="46" t="s">
        <v>455</v>
      </c>
      <c r="C142" s="47">
        <v>640</v>
      </c>
      <c r="D142" s="48" t="s">
        <v>365</v>
      </c>
    </row>
    <row r="143" spans="2:4" x14ac:dyDescent="0.15">
      <c r="B143" s="46" t="s">
        <v>956</v>
      </c>
      <c r="C143" s="47">
        <v>641</v>
      </c>
      <c r="D143" s="48" t="s">
        <v>365</v>
      </c>
    </row>
    <row r="144" spans="2:4" x14ac:dyDescent="0.15">
      <c r="B144" s="46" t="s">
        <v>1142</v>
      </c>
      <c r="C144" s="47">
        <v>642</v>
      </c>
      <c r="D144" s="48" t="s">
        <v>365</v>
      </c>
    </row>
    <row r="145" spans="2:4" x14ac:dyDescent="0.15">
      <c r="B145" s="46" t="s">
        <v>1704</v>
      </c>
      <c r="C145" s="47">
        <v>643</v>
      </c>
      <c r="D145" s="48" t="s">
        <v>365</v>
      </c>
    </row>
    <row r="146" spans="2:4" x14ac:dyDescent="0.15">
      <c r="B146" s="46" t="s">
        <v>2026</v>
      </c>
      <c r="C146" s="47">
        <v>644</v>
      </c>
      <c r="D146" s="48" t="s">
        <v>365</v>
      </c>
    </row>
    <row r="147" spans="2:4" x14ac:dyDescent="0.15">
      <c r="B147" s="46" t="s">
        <v>546</v>
      </c>
      <c r="C147" s="47">
        <v>645</v>
      </c>
      <c r="D147" s="48" t="s">
        <v>365</v>
      </c>
    </row>
    <row r="148" spans="2:4" x14ac:dyDescent="0.15">
      <c r="B148" s="46" t="s">
        <v>968</v>
      </c>
      <c r="C148" s="47">
        <v>646</v>
      </c>
      <c r="D148" s="48" t="s">
        <v>365</v>
      </c>
    </row>
    <row r="149" spans="2:4" x14ac:dyDescent="0.15">
      <c r="B149" s="46" t="s">
        <v>954</v>
      </c>
      <c r="C149" s="47">
        <v>647</v>
      </c>
      <c r="D149" s="48" t="s">
        <v>365</v>
      </c>
    </row>
    <row r="150" spans="2:4" x14ac:dyDescent="0.15">
      <c r="B150" s="46" t="s">
        <v>2027</v>
      </c>
      <c r="C150" s="47">
        <v>648</v>
      </c>
      <c r="D150" s="48" t="s">
        <v>365</v>
      </c>
    </row>
    <row r="151" spans="2:4" x14ac:dyDescent="0.15">
      <c r="B151" s="46" t="s">
        <v>2028</v>
      </c>
      <c r="C151" s="47">
        <v>649</v>
      </c>
      <c r="D151" s="48" t="s">
        <v>365</v>
      </c>
    </row>
    <row r="152" spans="2:4" x14ac:dyDescent="0.15">
      <c r="B152" s="46" t="s">
        <v>2029</v>
      </c>
      <c r="C152" s="47">
        <v>650</v>
      </c>
      <c r="D152" s="48" t="s">
        <v>365</v>
      </c>
    </row>
    <row r="153" spans="2:4" x14ac:dyDescent="0.15">
      <c r="B153" s="46" t="s">
        <v>393</v>
      </c>
      <c r="C153" s="47">
        <v>651</v>
      </c>
      <c r="D153" s="48" t="s">
        <v>365</v>
      </c>
    </row>
    <row r="154" spans="2:4" x14ac:dyDescent="0.15">
      <c r="B154" s="46" t="s">
        <v>1204</v>
      </c>
      <c r="C154" s="47">
        <v>652</v>
      </c>
      <c r="D154" s="48" t="s">
        <v>365</v>
      </c>
    </row>
    <row r="155" spans="2:4" x14ac:dyDescent="0.15">
      <c r="B155" s="46" t="s">
        <v>1332</v>
      </c>
      <c r="C155" s="47">
        <v>653</v>
      </c>
      <c r="D155" s="48" t="s">
        <v>365</v>
      </c>
    </row>
    <row r="156" spans="2:4" x14ac:dyDescent="0.15">
      <c r="B156" s="46" t="s">
        <v>2030</v>
      </c>
      <c r="C156" s="47">
        <v>654</v>
      </c>
      <c r="D156" s="48" t="s">
        <v>365</v>
      </c>
    </row>
    <row r="157" spans="2:4" x14ac:dyDescent="0.15">
      <c r="B157" s="46" t="s">
        <v>2031</v>
      </c>
      <c r="C157" s="47">
        <v>655</v>
      </c>
      <c r="D157" s="48" t="s">
        <v>365</v>
      </c>
    </row>
    <row r="158" spans="2:4" x14ac:dyDescent="0.15">
      <c r="B158" s="46" t="s">
        <v>2032</v>
      </c>
      <c r="C158" s="47">
        <v>656</v>
      </c>
      <c r="D158" s="48" t="s">
        <v>365</v>
      </c>
    </row>
    <row r="159" spans="2:4" x14ac:dyDescent="0.15">
      <c r="B159" s="46" t="s">
        <v>2033</v>
      </c>
      <c r="C159" s="47">
        <v>657</v>
      </c>
      <c r="D159" s="48" t="s">
        <v>365</v>
      </c>
    </row>
    <row r="160" spans="2:4" x14ac:dyDescent="0.15">
      <c r="B160" s="46" t="s">
        <v>2034</v>
      </c>
      <c r="C160" s="47">
        <v>658</v>
      </c>
      <c r="D160" s="48" t="s">
        <v>365</v>
      </c>
    </row>
    <row r="161" spans="2:4" x14ac:dyDescent="0.15">
      <c r="B161" s="46" t="s">
        <v>2035</v>
      </c>
      <c r="C161" s="47">
        <v>659</v>
      </c>
      <c r="D161" s="48" t="s">
        <v>365</v>
      </c>
    </row>
    <row r="162" spans="2:4" x14ac:dyDescent="0.15">
      <c r="B162" s="46" t="s">
        <v>2036</v>
      </c>
      <c r="C162" s="47">
        <v>660</v>
      </c>
      <c r="D162" s="48" t="s">
        <v>365</v>
      </c>
    </row>
    <row r="163" spans="2:4" x14ac:dyDescent="0.15">
      <c r="B163" s="46" t="s">
        <v>2037</v>
      </c>
      <c r="C163" s="47">
        <v>661</v>
      </c>
      <c r="D163" s="48" t="s">
        <v>365</v>
      </c>
    </row>
    <row r="164" spans="2:4" x14ac:dyDescent="0.15">
      <c r="B164" s="46" t="s">
        <v>2038</v>
      </c>
      <c r="C164" s="47">
        <v>662</v>
      </c>
      <c r="D164" s="48" t="s">
        <v>365</v>
      </c>
    </row>
    <row r="165" spans="2:4" x14ac:dyDescent="0.15">
      <c r="B165" s="46" t="s">
        <v>2039</v>
      </c>
      <c r="C165" s="47">
        <v>663</v>
      </c>
      <c r="D165" s="48" t="s">
        <v>365</v>
      </c>
    </row>
    <row r="166" spans="2:4" x14ac:dyDescent="0.15">
      <c r="B166" s="46" t="s">
        <v>2040</v>
      </c>
      <c r="C166" s="47">
        <v>664</v>
      </c>
      <c r="D166" s="48" t="s">
        <v>365</v>
      </c>
    </row>
    <row r="167" spans="2:4" x14ac:dyDescent="0.15">
      <c r="B167" s="46" t="s">
        <v>1226</v>
      </c>
      <c r="C167" s="47">
        <v>665</v>
      </c>
      <c r="D167" s="48" t="s">
        <v>365</v>
      </c>
    </row>
    <row r="168" spans="2:4" x14ac:dyDescent="0.15">
      <c r="B168" s="46" t="s">
        <v>2041</v>
      </c>
      <c r="C168" s="47">
        <v>666</v>
      </c>
      <c r="D168" s="48" t="s">
        <v>365</v>
      </c>
    </row>
    <row r="169" spans="2:4" x14ac:dyDescent="0.15">
      <c r="B169" s="46" t="s">
        <v>2042</v>
      </c>
      <c r="C169" s="47">
        <v>667</v>
      </c>
      <c r="D169" s="48" t="s">
        <v>365</v>
      </c>
    </row>
    <row r="170" spans="2:4" x14ac:dyDescent="0.15">
      <c r="B170" s="46" t="s">
        <v>2043</v>
      </c>
      <c r="C170" s="47">
        <v>668</v>
      </c>
      <c r="D170" s="48" t="s">
        <v>365</v>
      </c>
    </row>
    <row r="171" spans="2:4" x14ac:dyDescent="0.15">
      <c r="B171" s="46" t="s">
        <v>2044</v>
      </c>
      <c r="C171" s="47">
        <v>669</v>
      </c>
      <c r="D171" s="48" t="s">
        <v>365</v>
      </c>
    </row>
    <row r="172" spans="2:4" x14ac:dyDescent="0.15">
      <c r="B172" s="46" t="s">
        <v>2045</v>
      </c>
      <c r="C172" s="47">
        <v>670</v>
      </c>
      <c r="D172" s="48" t="s">
        <v>365</v>
      </c>
    </row>
    <row r="173" spans="2:4" x14ac:dyDescent="0.15">
      <c r="B173" s="46" t="s">
        <v>866</v>
      </c>
      <c r="C173" s="47">
        <v>671</v>
      </c>
      <c r="D173" s="48" t="s">
        <v>365</v>
      </c>
    </row>
    <row r="174" spans="2:4" x14ac:dyDescent="0.15">
      <c r="B174" s="46" t="s">
        <v>2046</v>
      </c>
      <c r="C174" s="47">
        <v>672</v>
      </c>
      <c r="D174" s="48" t="s">
        <v>365</v>
      </c>
    </row>
    <row r="175" spans="2:4" x14ac:dyDescent="0.15">
      <c r="B175" s="46" t="s">
        <v>1593</v>
      </c>
      <c r="C175" s="47">
        <v>673</v>
      </c>
      <c r="D175" s="48" t="s">
        <v>365</v>
      </c>
    </row>
    <row r="176" spans="2:4" x14ac:dyDescent="0.15">
      <c r="B176" s="46" t="s">
        <v>1524</v>
      </c>
      <c r="C176" s="47">
        <v>674</v>
      </c>
      <c r="D176" s="48" t="s">
        <v>365</v>
      </c>
    </row>
    <row r="177" spans="2:4" x14ac:dyDescent="0.15">
      <c r="B177" s="46" t="s">
        <v>2047</v>
      </c>
      <c r="C177" s="47">
        <v>675</v>
      </c>
      <c r="D177" s="48" t="s">
        <v>365</v>
      </c>
    </row>
    <row r="178" spans="2:4" x14ac:dyDescent="0.15">
      <c r="B178" s="46" t="s">
        <v>2048</v>
      </c>
      <c r="C178" s="47">
        <v>676</v>
      </c>
      <c r="D178" s="48" t="s">
        <v>365</v>
      </c>
    </row>
    <row r="179" spans="2:4" x14ac:dyDescent="0.15">
      <c r="B179" s="46" t="s">
        <v>815</v>
      </c>
      <c r="C179" s="47">
        <v>677</v>
      </c>
      <c r="D179" s="48" t="s">
        <v>365</v>
      </c>
    </row>
    <row r="180" spans="2:4" x14ac:dyDescent="0.15">
      <c r="B180" s="46" t="s">
        <v>817</v>
      </c>
      <c r="C180" s="47">
        <v>678</v>
      </c>
      <c r="D180" s="48" t="s">
        <v>365</v>
      </c>
    </row>
    <row r="181" spans="2:4" x14ac:dyDescent="0.15">
      <c r="B181" s="46" t="s">
        <v>2049</v>
      </c>
      <c r="C181" s="47">
        <v>679</v>
      </c>
      <c r="D181" s="48" t="s">
        <v>365</v>
      </c>
    </row>
    <row r="182" spans="2:4" x14ac:dyDescent="0.15">
      <c r="B182" s="46" t="s">
        <v>463</v>
      </c>
      <c r="C182" s="47">
        <v>680</v>
      </c>
      <c r="D182" s="48" t="s">
        <v>365</v>
      </c>
    </row>
    <row r="183" spans="2:4" x14ac:dyDescent="0.15">
      <c r="B183" s="46" t="s">
        <v>916</v>
      </c>
      <c r="C183" s="47">
        <v>681</v>
      </c>
      <c r="D183" s="48" t="s">
        <v>365</v>
      </c>
    </row>
    <row r="184" spans="2:4" x14ac:dyDescent="0.15">
      <c r="B184" s="46" t="s">
        <v>812</v>
      </c>
      <c r="C184" s="47">
        <v>682</v>
      </c>
      <c r="D184" s="48" t="s">
        <v>365</v>
      </c>
    </row>
    <row r="185" spans="2:4" x14ac:dyDescent="0.15">
      <c r="B185" s="46" t="s">
        <v>806</v>
      </c>
      <c r="C185" s="47">
        <v>683</v>
      </c>
      <c r="D185" s="48" t="s">
        <v>365</v>
      </c>
    </row>
    <row r="186" spans="2:4" x14ac:dyDescent="0.15">
      <c r="B186" s="46" t="s">
        <v>810</v>
      </c>
      <c r="C186" s="47">
        <v>684</v>
      </c>
      <c r="D186" s="48" t="s">
        <v>365</v>
      </c>
    </row>
    <row r="187" spans="2:4" x14ac:dyDescent="0.15">
      <c r="B187" s="46" t="s">
        <v>2050</v>
      </c>
      <c r="C187" s="47">
        <v>685</v>
      </c>
      <c r="D187" s="48" t="s">
        <v>365</v>
      </c>
    </row>
    <row r="188" spans="2:4" x14ac:dyDescent="0.15">
      <c r="B188" s="46" t="s">
        <v>2051</v>
      </c>
      <c r="C188" s="47">
        <v>686</v>
      </c>
      <c r="D188" s="48" t="s">
        <v>365</v>
      </c>
    </row>
    <row r="189" spans="2:4" x14ac:dyDescent="0.15">
      <c r="B189" s="46" t="s">
        <v>2052</v>
      </c>
      <c r="C189" s="47">
        <v>687</v>
      </c>
      <c r="D189" s="48" t="s">
        <v>365</v>
      </c>
    </row>
    <row r="190" spans="2:4" x14ac:dyDescent="0.15">
      <c r="B190" s="46" t="s">
        <v>771</v>
      </c>
      <c r="C190" s="47">
        <v>688</v>
      </c>
      <c r="D190" s="48" t="s">
        <v>365</v>
      </c>
    </row>
    <row r="191" spans="2:4" x14ac:dyDescent="0.15">
      <c r="B191" s="46" t="s">
        <v>2053</v>
      </c>
      <c r="C191" s="47">
        <v>689</v>
      </c>
      <c r="D191" s="48" t="s">
        <v>365</v>
      </c>
    </row>
    <row r="192" spans="2:4" x14ac:dyDescent="0.15">
      <c r="B192" s="46" t="s">
        <v>2054</v>
      </c>
      <c r="C192" s="47">
        <v>690</v>
      </c>
      <c r="D192" s="48" t="s">
        <v>365</v>
      </c>
    </row>
    <row r="193" spans="2:4" x14ac:dyDescent="0.15">
      <c r="B193" s="46" t="s">
        <v>2055</v>
      </c>
      <c r="C193" s="47">
        <v>691</v>
      </c>
      <c r="D193" s="48" t="s">
        <v>365</v>
      </c>
    </row>
    <row r="194" spans="2:4" x14ac:dyDescent="0.15">
      <c r="B194" s="46" t="s">
        <v>582</v>
      </c>
      <c r="C194" s="47">
        <v>692</v>
      </c>
      <c r="D194" s="48" t="s">
        <v>365</v>
      </c>
    </row>
    <row r="195" spans="2:4" x14ac:dyDescent="0.15">
      <c r="B195" s="46" t="s">
        <v>631</v>
      </c>
      <c r="C195" s="47">
        <v>693</v>
      </c>
      <c r="D195" s="48" t="s">
        <v>365</v>
      </c>
    </row>
    <row r="196" spans="2:4" x14ac:dyDescent="0.15">
      <c r="B196" s="46" t="s">
        <v>522</v>
      </c>
      <c r="C196" s="47">
        <v>694</v>
      </c>
      <c r="D196" s="48" t="s">
        <v>365</v>
      </c>
    </row>
    <row r="197" spans="2:4" x14ac:dyDescent="0.15">
      <c r="B197" s="46" t="s">
        <v>654</v>
      </c>
      <c r="C197" s="47">
        <v>695</v>
      </c>
      <c r="D197" s="48" t="s">
        <v>365</v>
      </c>
    </row>
    <row r="198" spans="2:4" x14ac:dyDescent="0.15">
      <c r="B198" s="46" t="s">
        <v>2056</v>
      </c>
      <c r="C198" s="47">
        <v>696</v>
      </c>
      <c r="D198" s="48" t="s">
        <v>365</v>
      </c>
    </row>
    <row r="199" spans="2:4" x14ac:dyDescent="0.15">
      <c r="B199" s="46" t="s">
        <v>399</v>
      </c>
      <c r="C199" s="47">
        <v>697</v>
      </c>
      <c r="D199" s="48" t="s">
        <v>365</v>
      </c>
    </row>
    <row r="200" spans="2:4" x14ac:dyDescent="0.15">
      <c r="B200" s="46" t="s">
        <v>2057</v>
      </c>
      <c r="C200" s="47">
        <v>698</v>
      </c>
      <c r="D200" s="48" t="s">
        <v>365</v>
      </c>
    </row>
    <row r="201" spans="2:4" x14ac:dyDescent="0.15">
      <c r="B201" s="46" t="s">
        <v>2058</v>
      </c>
      <c r="C201" s="47">
        <v>699</v>
      </c>
      <c r="D201" s="48" t="s">
        <v>365</v>
      </c>
    </row>
    <row r="202" spans="2:4" x14ac:dyDescent="0.15">
      <c r="B202" s="46" t="s">
        <v>2059</v>
      </c>
      <c r="C202" s="47">
        <v>700</v>
      </c>
      <c r="D202" s="48" t="s">
        <v>365</v>
      </c>
    </row>
    <row r="203" spans="2:4" x14ac:dyDescent="0.15">
      <c r="B203" s="46" t="s">
        <v>2060</v>
      </c>
      <c r="C203" s="47">
        <v>701</v>
      </c>
      <c r="D203" s="48" t="s">
        <v>365</v>
      </c>
    </row>
    <row r="204" spans="2:4" x14ac:dyDescent="0.15">
      <c r="B204" s="46" t="s">
        <v>501</v>
      </c>
      <c r="C204" s="47">
        <v>702</v>
      </c>
      <c r="D204" s="48" t="s">
        <v>365</v>
      </c>
    </row>
    <row r="205" spans="2:4" x14ac:dyDescent="0.15">
      <c r="B205" s="46" t="s">
        <v>703</v>
      </c>
      <c r="C205" s="47">
        <v>703</v>
      </c>
      <c r="D205" s="48" t="s">
        <v>365</v>
      </c>
    </row>
    <row r="206" spans="2:4" x14ac:dyDescent="0.15">
      <c r="B206" s="46" t="s">
        <v>1935</v>
      </c>
      <c r="C206" s="47">
        <v>704</v>
      </c>
      <c r="D206" s="48" t="s">
        <v>365</v>
      </c>
    </row>
    <row r="207" spans="2:4" x14ac:dyDescent="0.15">
      <c r="B207" s="46" t="s">
        <v>928</v>
      </c>
      <c r="C207" s="47">
        <v>705</v>
      </c>
      <c r="D207" s="48" t="s">
        <v>365</v>
      </c>
    </row>
    <row r="208" spans="2:4" x14ac:dyDescent="0.15">
      <c r="B208" s="46" t="s">
        <v>705</v>
      </c>
      <c r="C208" s="47">
        <v>706</v>
      </c>
      <c r="D208" s="48" t="s">
        <v>365</v>
      </c>
    </row>
    <row r="209" spans="2:4" x14ac:dyDescent="0.15">
      <c r="B209" s="46" t="s">
        <v>1938</v>
      </c>
      <c r="C209" s="47">
        <v>707</v>
      </c>
      <c r="D209" s="48" t="s">
        <v>365</v>
      </c>
    </row>
    <row r="210" spans="2:4" x14ac:dyDescent="0.15">
      <c r="B210" s="46" t="s">
        <v>2061</v>
      </c>
      <c r="C210" s="47">
        <v>708</v>
      </c>
      <c r="D210" s="48" t="s">
        <v>365</v>
      </c>
    </row>
    <row r="211" spans="2:4" x14ac:dyDescent="0.15">
      <c r="B211" s="46" t="s">
        <v>562</v>
      </c>
      <c r="C211" s="47">
        <v>709</v>
      </c>
      <c r="D211" s="48" t="s">
        <v>365</v>
      </c>
    </row>
    <row r="212" spans="2:4" x14ac:dyDescent="0.15">
      <c r="B212" s="46" t="s">
        <v>560</v>
      </c>
      <c r="C212" s="47">
        <v>710</v>
      </c>
      <c r="D212" s="48" t="s">
        <v>365</v>
      </c>
    </row>
    <row r="213" spans="2:4" x14ac:dyDescent="0.15">
      <c r="B213" s="46" t="s">
        <v>465</v>
      </c>
      <c r="C213" s="47">
        <v>711</v>
      </c>
      <c r="D213" s="48" t="s">
        <v>365</v>
      </c>
    </row>
    <row r="214" spans="2:4" x14ac:dyDescent="0.15">
      <c r="B214" s="46" t="s">
        <v>2062</v>
      </c>
      <c r="C214" s="47">
        <v>712</v>
      </c>
      <c r="D214" s="48" t="s">
        <v>365</v>
      </c>
    </row>
    <row r="215" spans="2:4" x14ac:dyDescent="0.15">
      <c r="B215" s="46" t="s">
        <v>2063</v>
      </c>
      <c r="C215" s="47">
        <v>713</v>
      </c>
      <c r="D215" s="48" t="s">
        <v>365</v>
      </c>
    </row>
    <row r="216" spans="2:4" x14ac:dyDescent="0.15">
      <c r="B216" s="46" t="s">
        <v>452</v>
      </c>
      <c r="C216" s="47">
        <v>714</v>
      </c>
      <c r="D216" s="48" t="s">
        <v>365</v>
      </c>
    </row>
    <row r="217" spans="2:4" x14ac:dyDescent="0.15">
      <c r="B217" s="46" t="s">
        <v>2064</v>
      </c>
      <c r="C217" s="47">
        <v>715</v>
      </c>
      <c r="D217" s="48" t="s">
        <v>365</v>
      </c>
    </row>
    <row r="218" spans="2:4" x14ac:dyDescent="0.15">
      <c r="B218" s="46" t="s">
        <v>548</v>
      </c>
      <c r="C218" s="47">
        <v>716</v>
      </c>
      <c r="D218" s="48" t="s">
        <v>365</v>
      </c>
    </row>
    <row r="219" spans="2:4" x14ac:dyDescent="0.15">
      <c r="B219" s="46" t="s">
        <v>2065</v>
      </c>
      <c r="C219" s="47">
        <v>717</v>
      </c>
      <c r="D219" s="48" t="s">
        <v>365</v>
      </c>
    </row>
    <row r="220" spans="2:4" x14ac:dyDescent="0.15">
      <c r="B220" s="46" t="s">
        <v>2066</v>
      </c>
      <c r="C220" s="47">
        <v>718</v>
      </c>
      <c r="D220" s="48" t="s">
        <v>365</v>
      </c>
    </row>
    <row r="221" spans="2:4" x14ac:dyDescent="0.15">
      <c r="B221" s="46" t="s">
        <v>666</v>
      </c>
      <c r="C221" s="47">
        <v>719</v>
      </c>
      <c r="D221" s="48" t="s">
        <v>365</v>
      </c>
    </row>
    <row r="222" spans="2:4" x14ac:dyDescent="0.15">
      <c r="B222" s="46" t="s">
        <v>759</v>
      </c>
      <c r="C222" s="47">
        <v>720</v>
      </c>
      <c r="D222" s="48" t="s">
        <v>365</v>
      </c>
    </row>
    <row r="223" spans="2:4" x14ac:dyDescent="0.15">
      <c r="B223" s="46" t="s">
        <v>2067</v>
      </c>
      <c r="C223" s="47">
        <v>721</v>
      </c>
      <c r="D223" s="48" t="s">
        <v>365</v>
      </c>
    </row>
    <row r="224" spans="2:4" x14ac:dyDescent="0.15">
      <c r="B224" s="46" t="s">
        <v>685</v>
      </c>
      <c r="C224" s="47">
        <v>722</v>
      </c>
      <c r="D224" s="48" t="s">
        <v>365</v>
      </c>
    </row>
    <row r="225" spans="2:4" x14ac:dyDescent="0.15">
      <c r="B225" s="46" t="s">
        <v>2068</v>
      </c>
      <c r="C225" s="47">
        <v>723</v>
      </c>
      <c r="D225" s="48" t="s">
        <v>365</v>
      </c>
    </row>
    <row r="226" spans="2:4" x14ac:dyDescent="0.15">
      <c r="B226" s="46" t="s">
        <v>796</v>
      </c>
      <c r="C226" s="47">
        <v>724</v>
      </c>
      <c r="D226" s="48" t="s">
        <v>365</v>
      </c>
    </row>
    <row r="227" spans="2:4" x14ac:dyDescent="0.15">
      <c r="B227" s="46" t="s">
        <v>2069</v>
      </c>
      <c r="C227" s="47">
        <v>725</v>
      </c>
      <c r="D227" s="48" t="s">
        <v>365</v>
      </c>
    </row>
    <row r="228" spans="2:4" x14ac:dyDescent="0.15">
      <c r="B228" s="46" t="s">
        <v>693</v>
      </c>
      <c r="C228" s="47">
        <v>726</v>
      </c>
      <c r="D228" s="48" t="s">
        <v>365</v>
      </c>
    </row>
    <row r="229" spans="2:4" x14ac:dyDescent="0.15">
      <c r="B229" s="46" t="s">
        <v>556</v>
      </c>
      <c r="C229" s="47">
        <v>727</v>
      </c>
      <c r="D229" s="48" t="s">
        <v>365</v>
      </c>
    </row>
    <row r="230" spans="2:4" x14ac:dyDescent="0.15">
      <c r="B230" s="46" t="s">
        <v>2070</v>
      </c>
      <c r="C230" s="47">
        <v>728</v>
      </c>
      <c r="D230" s="48" t="s">
        <v>365</v>
      </c>
    </row>
    <row r="231" spans="2:4" x14ac:dyDescent="0.15">
      <c r="B231" s="46" t="s">
        <v>691</v>
      </c>
      <c r="C231" s="47">
        <v>729</v>
      </c>
      <c r="D231" s="48" t="s">
        <v>365</v>
      </c>
    </row>
    <row r="232" spans="2:4" x14ac:dyDescent="0.15">
      <c r="B232" s="46" t="s">
        <v>496</v>
      </c>
      <c r="C232" s="47">
        <v>730</v>
      </c>
      <c r="D232" s="48" t="s">
        <v>365</v>
      </c>
    </row>
    <row r="233" spans="2:4" x14ac:dyDescent="0.15">
      <c r="B233" s="46" t="s">
        <v>2071</v>
      </c>
      <c r="C233" s="47">
        <v>731</v>
      </c>
      <c r="D233" s="48" t="s">
        <v>365</v>
      </c>
    </row>
    <row r="234" spans="2:4" x14ac:dyDescent="0.15">
      <c r="B234" s="46" t="s">
        <v>2072</v>
      </c>
      <c r="C234" s="47">
        <v>732</v>
      </c>
      <c r="D234" s="48" t="s">
        <v>365</v>
      </c>
    </row>
    <row r="235" spans="2:4" x14ac:dyDescent="0.15">
      <c r="B235" s="46" t="s">
        <v>636</v>
      </c>
      <c r="C235" s="47">
        <v>733</v>
      </c>
      <c r="D235" s="48" t="s">
        <v>365</v>
      </c>
    </row>
    <row r="236" spans="2:4" x14ac:dyDescent="0.15">
      <c r="B236" s="46" t="s">
        <v>2073</v>
      </c>
      <c r="C236" s="47">
        <v>734</v>
      </c>
      <c r="D236" s="48" t="s">
        <v>365</v>
      </c>
    </row>
    <row r="237" spans="2:4" x14ac:dyDescent="0.15">
      <c r="B237" s="46" t="s">
        <v>2074</v>
      </c>
      <c r="C237" s="47">
        <v>735</v>
      </c>
      <c r="D237" s="48" t="s">
        <v>365</v>
      </c>
    </row>
    <row r="238" spans="2:4" x14ac:dyDescent="0.15">
      <c r="B238" s="46" t="s">
        <v>2075</v>
      </c>
      <c r="C238" s="47">
        <v>736</v>
      </c>
      <c r="D238" s="48" t="s">
        <v>365</v>
      </c>
    </row>
    <row r="239" spans="2:4" x14ac:dyDescent="0.15">
      <c r="B239" s="46" t="s">
        <v>2076</v>
      </c>
      <c r="C239" s="47">
        <v>737</v>
      </c>
      <c r="D239" s="48" t="s">
        <v>365</v>
      </c>
    </row>
    <row r="240" spans="2:4" x14ac:dyDescent="0.15">
      <c r="B240" s="46" t="s">
        <v>2077</v>
      </c>
      <c r="C240" s="47">
        <v>738</v>
      </c>
      <c r="D240" s="48" t="s">
        <v>365</v>
      </c>
    </row>
    <row r="241" spans="2:4" x14ac:dyDescent="0.15">
      <c r="B241" s="46" t="s">
        <v>1798</v>
      </c>
      <c r="C241" s="47">
        <v>739</v>
      </c>
      <c r="D241" s="48" t="s">
        <v>365</v>
      </c>
    </row>
    <row r="242" spans="2:4" x14ac:dyDescent="0.15">
      <c r="B242" s="46" t="s">
        <v>2078</v>
      </c>
      <c r="C242" s="47">
        <v>740</v>
      </c>
      <c r="D242" s="48" t="s">
        <v>365</v>
      </c>
    </row>
    <row r="243" spans="2:4" x14ac:dyDescent="0.15">
      <c r="B243" s="46" t="s">
        <v>2079</v>
      </c>
      <c r="C243" s="47">
        <v>741</v>
      </c>
      <c r="D243" s="48" t="s">
        <v>365</v>
      </c>
    </row>
    <row r="244" spans="2:4" x14ac:dyDescent="0.15">
      <c r="B244" s="46" t="s">
        <v>2080</v>
      </c>
      <c r="C244" s="47">
        <v>742</v>
      </c>
      <c r="D244" s="48" t="s">
        <v>365</v>
      </c>
    </row>
    <row r="245" spans="2:4" x14ac:dyDescent="0.15">
      <c r="B245" s="46" t="s">
        <v>680</v>
      </c>
      <c r="C245" s="47">
        <v>743</v>
      </c>
      <c r="D245" s="48" t="s">
        <v>365</v>
      </c>
    </row>
    <row r="246" spans="2:4" x14ac:dyDescent="0.15">
      <c r="B246" s="46" t="s">
        <v>2081</v>
      </c>
      <c r="C246" s="47">
        <v>744</v>
      </c>
      <c r="D246" s="48" t="s">
        <v>365</v>
      </c>
    </row>
    <row r="247" spans="2:4" x14ac:dyDescent="0.15">
      <c r="B247" s="46" t="s">
        <v>2082</v>
      </c>
      <c r="C247" s="47">
        <v>745</v>
      </c>
      <c r="D247" s="48" t="s">
        <v>365</v>
      </c>
    </row>
    <row r="248" spans="2:4" x14ac:dyDescent="0.15">
      <c r="B248" s="46" t="s">
        <v>593</v>
      </c>
      <c r="C248" s="47">
        <v>746</v>
      </c>
      <c r="D248" s="48" t="s">
        <v>365</v>
      </c>
    </row>
    <row r="249" spans="2:4" x14ac:dyDescent="0.15">
      <c r="B249" s="46" t="s">
        <v>2083</v>
      </c>
      <c r="C249" s="47">
        <v>747</v>
      </c>
      <c r="D249" s="48" t="s">
        <v>365</v>
      </c>
    </row>
    <row r="250" spans="2:4" x14ac:dyDescent="0.15">
      <c r="B250" s="46" t="s">
        <v>869</v>
      </c>
      <c r="C250" s="47">
        <v>748</v>
      </c>
      <c r="D250" s="48" t="s">
        <v>365</v>
      </c>
    </row>
    <row r="251" spans="2:4" x14ac:dyDescent="0.15">
      <c r="B251" s="46" t="s">
        <v>871</v>
      </c>
      <c r="C251" s="47">
        <v>749</v>
      </c>
      <c r="D251" s="48" t="s">
        <v>365</v>
      </c>
    </row>
    <row r="252" spans="2:4" x14ac:dyDescent="0.15">
      <c r="B252" s="46" t="s">
        <v>941</v>
      </c>
      <c r="C252" s="47">
        <v>750</v>
      </c>
      <c r="D252" s="48" t="s">
        <v>365</v>
      </c>
    </row>
    <row r="253" spans="2:4" x14ac:dyDescent="0.15">
      <c r="B253" s="46" t="s">
        <v>943</v>
      </c>
      <c r="C253" s="47">
        <v>751</v>
      </c>
      <c r="D253" s="48" t="s">
        <v>365</v>
      </c>
    </row>
    <row r="254" spans="2:4" x14ac:dyDescent="0.15">
      <c r="B254" s="46" t="s">
        <v>2084</v>
      </c>
      <c r="C254" s="47">
        <v>752</v>
      </c>
      <c r="D254" s="48" t="s">
        <v>365</v>
      </c>
    </row>
    <row r="255" spans="2:4" x14ac:dyDescent="0.15">
      <c r="B255" s="46" t="s">
        <v>945</v>
      </c>
      <c r="C255" s="47">
        <v>753</v>
      </c>
      <c r="D255" s="48" t="s">
        <v>365</v>
      </c>
    </row>
    <row r="256" spans="2:4" x14ac:dyDescent="0.15">
      <c r="B256" s="46" t="s">
        <v>2085</v>
      </c>
      <c r="C256" s="47">
        <v>754</v>
      </c>
      <c r="D256" s="48" t="s">
        <v>365</v>
      </c>
    </row>
    <row r="257" spans="2:4" x14ac:dyDescent="0.15">
      <c r="B257" s="46" t="s">
        <v>933</v>
      </c>
      <c r="C257" s="47">
        <v>755</v>
      </c>
      <c r="D257" s="48" t="s">
        <v>365</v>
      </c>
    </row>
    <row r="258" spans="2:4" x14ac:dyDescent="0.15">
      <c r="B258" s="46" t="s">
        <v>542</v>
      </c>
      <c r="C258" s="47">
        <v>756</v>
      </c>
      <c r="D258" s="48" t="s">
        <v>365</v>
      </c>
    </row>
    <row r="259" spans="2:4" x14ac:dyDescent="0.15">
      <c r="B259" s="46" t="s">
        <v>845</v>
      </c>
      <c r="C259" s="47">
        <v>757</v>
      </c>
      <c r="D259" s="48" t="s">
        <v>365</v>
      </c>
    </row>
    <row r="260" spans="2:4" x14ac:dyDescent="0.15">
      <c r="B260" s="46" t="s">
        <v>847</v>
      </c>
      <c r="C260" s="47">
        <v>758</v>
      </c>
      <c r="D260" s="48" t="s">
        <v>365</v>
      </c>
    </row>
    <row r="261" spans="2:4" x14ac:dyDescent="0.15">
      <c r="B261" s="46" t="s">
        <v>2086</v>
      </c>
      <c r="C261" s="47">
        <v>759</v>
      </c>
      <c r="D261" s="48" t="s">
        <v>365</v>
      </c>
    </row>
    <row r="262" spans="2:4" x14ac:dyDescent="0.15">
      <c r="B262" s="46" t="s">
        <v>573</v>
      </c>
      <c r="C262" s="47">
        <v>760</v>
      </c>
      <c r="D262" s="48" t="s">
        <v>365</v>
      </c>
    </row>
    <row r="263" spans="2:4" x14ac:dyDescent="0.15">
      <c r="B263" s="46" t="s">
        <v>862</v>
      </c>
      <c r="C263" s="47">
        <v>761</v>
      </c>
      <c r="D263" s="48" t="s">
        <v>365</v>
      </c>
    </row>
    <row r="264" spans="2:4" x14ac:dyDescent="0.15">
      <c r="B264" s="46" t="s">
        <v>2087</v>
      </c>
      <c r="C264" s="47">
        <v>762</v>
      </c>
      <c r="D264" s="48" t="s">
        <v>365</v>
      </c>
    </row>
    <row r="265" spans="2:4" x14ac:dyDescent="0.15">
      <c r="B265" s="46" t="s">
        <v>614</v>
      </c>
      <c r="C265" s="47">
        <v>763</v>
      </c>
      <c r="D265" s="48" t="s">
        <v>365</v>
      </c>
    </row>
    <row r="266" spans="2:4" x14ac:dyDescent="0.15">
      <c r="B266" s="46" t="s">
        <v>2088</v>
      </c>
      <c r="C266" s="47">
        <v>764</v>
      </c>
      <c r="D266" s="48" t="s">
        <v>365</v>
      </c>
    </row>
    <row r="267" spans="2:4" x14ac:dyDescent="0.15">
      <c r="B267" s="46" t="s">
        <v>2089</v>
      </c>
      <c r="C267" s="47">
        <v>765</v>
      </c>
      <c r="D267" s="48" t="s">
        <v>365</v>
      </c>
    </row>
    <row r="268" spans="2:4" x14ac:dyDescent="0.15">
      <c r="B268" s="46" t="s">
        <v>1337</v>
      </c>
      <c r="C268" s="47">
        <v>766</v>
      </c>
      <c r="D268" s="48" t="s">
        <v>365</v>
      </c>
    </row>
    <row r="269" spans="2:4" x14ac:dyDescent="0.15">
      <c r="B269" s="46" t="s">
        <v>1339</v>
      </c>
      <c r="C269" s="47">
        <v>767</v>
      </c>
      <c r="D269" s="48" t="s">
        <v>365</v>
      </c>
    </row>
    <row r="270" spans="2:4" x14ac:dyDescent="0.15">
      <c r="B270" s="46" t="s">
        <v>1343</v>
      </c>
      <c r="C270" s="47">
        <v>768</v>
      </c>
      <c r="D270" s="48" t="s">
        <v>365</v>
      </c>
    </row>
    <row r="271" spans="2:4" x14ac:dyDescent="0.15">
      <c r="B271" s="46" t="s">
        <v>1345</v>
      </c>
      <c r="C271" s="47">
        <v>769</v>
      </c>
      <c r="D271" s="48" t="s">
        <v>365</v>
      </c>
    </row>
    <row r="272" spans="2:4" x14ac:dyDescent="0.15">
      <c r="B272" s="46" t="s">
        <v>1320</v>
      </c>
      <c r="C272" s="47">
        <v>770</v>
      </c>
      <c r="D272" s="48" t="s">
        <v>365</v>
      </c>
    </row>
    <row r="273" spans="2:4" x14ac:dyDescent="0.15">
      <c r="B273" s="46" t="s">
        <v>1322</v>
      </c>
      <c r="C273" s="47">
        <v>771</v>
      </c>
      <c r="D273" s="48" t="s">
        <v>365</v>
      </c>
    </row>
    <row r="274" spans="2:4" x14ac:dyDescent="0.15">
      <c r="B274" s="46" t="s">
        <v>978</v>
      </c>
      <c r="C274" s="47">
        <v>772</v>
      </c>
      <c r="D274" s="48" t="s">
        <v>365</v>
      </c>
    </row>
    <row r="275" spans="2:4" x14ac:dyDescent="0.15">
      <c r="B275" s="46" t="s">
        <v>2090</v>
      </c>
      <c r="C275" s="47">
        <v>773</v>
      </c>
      <c r="D275" s="48" t="s">
        <v>365</v>
      </c>
    </row>
    <row r="276" spans="2:4" x14ac:dyDescent="0.15">
      <c r="B276" s="46" t="s">
        <v>1420</v>
      </c>
      <c r="C276" s="47">
        <v>774</v>
      </c>
      <c r="D276" s="48" t="s">
        <v>365</v>
      </c>
    </row>
    <row r="277" spans="2:4" x14ac:dyDescent="0.15">
      <c r="B277" s="46" t="s">
        <v>1347</v>
      </c>
      <c r="C277" s="47">
        <v>775</v>
      </c>
      <c r="D277" s="48" t="s">
        <v>365</v>
      </c>
    </row>
    <row r="278" spans="2:4" x14ac:dyDescent="0.15">
      <c r="B278" s="46" t="s">
        <v>1494</v>
      </c>
      <c r="C278" s="47">
        <v>776</v>
      </c>
      <c r="D278" s="48" t="s">
        <v>365</v>
      </c>
    </row>
    <row r="279" spans="2:4" x14ac:dyDescent="0.15">
      <c r="B279" s="46" t="s">
        <v>2091</v>
      </c>
      <c r="C279" s="47">
        <v>777</v>
      </c>
      <c r="D279" s="48" t="s">
        <v>365</v>
      </c>
    </row>
    <row r="280" spans="2:4" x14ac:dyDescent="0.15">
      <c r="B280" s="46" t="s">
        <v>2092</v>
      </c>
      <c r="C280" s="47">
        <v>778</v>
      </c>
      <c r="D280" s="48" t="s">
        <v>365</v>
      </c>
    </row>
    <row r="281" spans="2:4" x14ac:dyDescent="0.15">
      <c r="B281" s="46" t="s">
        <v>2093</v>
      </c>
      <c r="C281" s="47">
        <v>779</v>
      </c>
      <c r="D281" s="48" t="s">
        <v>365</v>
      </c>
    </row>
    <row r="282" spans="2:4" x14ac:dyDescent="0.15">
      <c r="B282" s="46" t="s">
        <v>2094</v>
      </c>
      <c r="C282" s="47">
        <v>780</v>
      </c>
      <c r="D282" s="48" t="s">
        <v>365</v>
      </c>
    </row>
    <row r="283" spans="2:4" x14ac:dyDescent="0.15">
      <c r="B283" s="46" t="s">
        <v>440</v>
      </c>
      <c r="C283" s="47">
        <v>781</v>
      </c>
      <c r="D283" s="48" t="s">
        <v>365</v>
      </c>
    </row>
    <row r="284" spans="2:4" x14ac:dyDescent="0.15">
      <c r="B284" s="46" t="s">
        <v>2095</v>
      </c>
      <c r="C284" s="47">
        <v>782</v>
      </c>
      <c r="D284" s="48" t="s">
        <v>365</v>
      </c>
    </row>
    <row r="285" spans="2:4" x14ac:dyDescent="0.15">
      <c r="B285" s="46" t="s">
        <v>2096</v>
      </c>
      <c r="C285" s="47">
        <v>783</v>
      </c>
      <c r="D285" s="48" t="s">
        <v>365</v>
      </c>
    </row>
    <row r="286" spans="2:4" x14ac:dyDescent="0.15">
      <c r="B286" s="46" t="s">
        <v>2097</v>
      </c>
      <c r="C286" s="47">
        <v>784</v>
      </c>
      <c r="D286" s="48" t="s">
        <v>365</v>
      </c>
    </row>
    <row r="287" spans="2:4" x14ac:dyDescent="0.15">
      <c r="B287" s="46" t="s">
        <v>2098</v>
      </c>
      <c r="C287" s="47">
        <v>785</v>
      </c>
      <c r="D287" s="48" t="s">
        <v>365</v>
      </c>
    </row>
    <row r="288" spans="2:4" x14ac:dyDescent="0.15">
      <c r="B288" s="46" t="s">
        <v>2099</v>
      </c>
      <c r="C288" s="47">
        <v>786</v>
      </c>
      <c r="D288" s="48" t="s">
        <v>365</v>
      </c>
    </row>
    <row r="289" spans="2:4" x14ac:dyDescent="0.15">
      <c r="B289" s="46" t="s">
        <v>2100</v>
      </c>
      <c r="C289" s="47">
        <v>787</v>
      </c>
      <c r="D289" s="48" t="s">
        <v>365</v>
      </c>
    </row>
    <row r="290" spans="2:4" x14ac:dyDescent="0.15">
      <c r="B290" s="46" t="s">
        <v>781</v>
      </c>
      <c r="C290" s="47">
        <v>788</v>
      </c>
      <c r="D290" s="48" t="s">
        <v>365</v>
      </c>
    </row>
    <row r="291" spans="2:4" x14ac:dyDescent="0.15">
      <c r="B291" s="46" t="s">
        <v>2101</v>
      </c>
      <c r="C291" s="47">
        <v>789</v>
      </c>
      <c r="D291" s="48" t="s">
        <v>365</v>
      </c>
    </row>
    <row r="292" spans="2:4" x14ac:dyDescent="0.15">
      <c r="B292" s="46" t="s">
        <v>2102</v>
      </c>
      <c r="C292" s="47">
        <v>790</v>
      </c>
      <c r="D292" s="48" t="s">
        <v>365</v>
      </c>
    </row>
    <row r="293" spans="2:4" x14ac:dyDescent="0.15">
      <c r="B293" s="46" t="s">
        <v>2103</v>
      </c>
      <c r="C293" s="47">
        <v>791</v>
      </c>
      <c r="D293" s="48" t="s">
        <v>365</v>
      </c>
    </row>
    <row r="294" spans="2:4" x14ac:dyDescent="0.15">
      <c r="B294" s="46" t="s">
        <v>2104</v>
      </c>
      <c r="C294" s="47">
        <v>792</v>
      </c>
      <c r="D294" s="48" t="s">
        <v>365</v>
      </c>
    </row>
    <row r="295" spans="2:4" x14ac:dyDescent="0.15">
      <c r="B295" s="46" t="s">
        <v>525</v>
      </c>
      <c r="C295" s="47">
        <v>793</v>
      </c>
      <c r="D295" s="48" t="s">
        <v>365</v>
      </c>
    </row>
    <row r="296" spans="2:4" x14ac:dyDescent="0.15">
      <c r="B296" s="46" t="s">
        <v>2105</v>
      </c>
      <c r="C296" s="47">
        <v>794</v>
      </c>
      <c r="D296" s="48" t="s">
        <v>365</v>
      </c>
    </row>
    <row r="297" spans="2:4" x14ac:dyDescent="0.15">
      <c r="B297" s="46" t="s">
        <v>1518</v>
      </c>
      <c r="C297" s="47">
        <v>795</v>
      </c>
      <c r="D297" s="48" t="s">
        <v>365</v>
      </c>
    </row>
    <row r="298" spans="2:4" x14ac:dyDescent="0.15">
      <c r="B298" s="46" t="s">
        <v>476</v>
      </c>
      <c r="C298" s="47">
        <v>796</v>
      </c>
      <c r="D298" s="48" t="s">
        <v>365</v>
      </c>
    </row>
    <row r="299" spans="2:4" x14ac:dyDescent="0.15">
      <c r="B299" s="46" t="s">
        <v>601</v>
      </c>
      <c r="C299" s="47">
        <v>797</v>
      </c>
      <c r="D299" s="48" t="s">
        <v>365</v>
      </c>
    </row>
    <row r="300" spans="2:4" x14ac:dyDescent="0.15">
      <c r="B300" s="46" t="s">
        <v>2106</v>
      </c>
      <c r="C300" s="47">
        <v>798</v>
      </c>
      <c r="D300" s="48" t="s">
        <v>365</v>
      </c>
    </row>
    <row r="301" spans="2:4" x14ac:dyDescent="0.15">
      <c r="B301" s="46" t="s">
        <v>1448</v>
      </c>
      <c r="C301" s="47">
        <v>799</v>
      </c>
      <c r="D301" s="48" t="s">
        <v>365</v>
      </c>
    </row>
    <row r="302" spans="2:4" x14ac:dyDescent="0.15">
      <c r="B302" s="46" t="s">
        <v>1661</v>
      </c>
      <c r="C302" s="47">
        <v>800</v>
      </c>
      <c r="D302" s="48" t="s">
        <v>365</v>
      </c>
    </row>
    <row r="303" spans="2:4" x14ac:dyDescent="0.15">
      <c r="B303" s="46" t="s">
        <v>2107</v>
      </c>
      <c r="C303" s="47">
        <v>801</v>
      </c>
      <c r="D303" s="48" t="s">
        <v>365</v>
      </c>
    </row>
    <row r="304" spans="2:4" x14ac:dyDescent="0.15">
      <c r="B304" s="46" t="s">
        <v>1297</v>
      </c>
      <c r="C304" s="47">
        <v>802</v>
      </c>
      <c r="D304" s="48" t="s">
        <v>365</v>
      </c>
    </row>
    <row r="305" spans="2:4" x14ac:dyDescent="0.15">
      <c r="B305" s="46" t="s">
        <v>2108</v>
      </c>
      <c r="C305" s="47">
        <v>803</v>
      </c>
      <c r="D305" s="48" t="s">
        <v>365</v>
      </c>
    </row>
    <row r="306" spans="2:4" x14ac:dyDescent="0.15">
      <c r="B306" s="46" t="s">
        <v>2109</v>
      </c>
      <c r="C306" s="47">
        <v>804</v>
      </c>
      <c r="D306" s="48" t="s">
        <v>365</v>
      </c>
    </row>
    <row r="307" spans="2:4" x14ac:dyDescent="0.15">
      <c r="B307" s="46" t="s">
        <v>1272</v>
      </c>
      <c r="C307" s="47">
        <v>805</v>
      </c>
      <c r="D307" s="48" t="s">
        <v>365</v>
      </c>
    </row>
    <row r="308" spans="2:4" x14ac:dyDescent="0.15">
      <c r="B308" s="46" t="s">
        <v>603</v>
      </c>
      <c r="C308" s="47">
        <v>806</v>
      </c>
      <c r="D308" s="48" t="s">
        <v>365</v>
      </c>
    </row>
    <row r="309" spans="2:4" x14ac:dyDescent="0.15">
      <c r="B309" s="46" t="s">
        <v>2110</v>
      </c>
      <c r="C309" s="47">
        <v>807</v>
      </c>
      <c r="D309" s="48" t="s">
        <v>365</v>
      </c>
    </row>
    <row r="310" spans="2:4" x14ac:dyDescent="0.15">
      <c r="B310" s="46" t="s">
        <v>608</v>
      </c>
      <c r="C310" s="47">
        <v>808</v>
      </c>
      <c r="D310" s="48" t="s">
        <v>365</v>
      </c>
    </row>
    <row r="311" spans="2:4" x14ac:dyDescent="0.15">
      <c r="B311" s="46" t="s">
        <v>2111</v>
      </c>
      <c r="C311" s="47">
        <v>809</v>
      </c>
      <c r="D311" s="48" t="s">
        <v>365</v>
      </c>
    </row>
    <row r="312" spans="2:4" x14ac:dyDescent="0.15">
      <c r="B312" s="46" t="s">
        <v>2112</v>
      </c>
      <c r="C312" s="47">
        <v>810</v>
      </c>
      <c r="D312" s="48" t="s">
        <v>365</v>
      </c>
    </row>
    <row r="313" spans="2:4" x14ac:dyDescent="0.15">
      <c r="B313" s="46" t="s">
        <v>2113</v>
      </c>
      <c r="C313" s="47">
        <v>811</v>
      </c>
      <c r="D313" s="48" t="s">
        <v>365</v>
      </c>
    </row>
    <row r="314" spans="2:4" x14ac:dyDescent="0.15">
      <c r="B314" s="46" t="s">
        <v>533</v>
      </c>
      <c r="C314" s="47">
        <v>812</v>
      </c>
      <c r="D314" s="48" t="s">
        <v>365</v>
      </c>
    </row>
    <row r="315" spans="2:4" x14ac:dyDescent="0.15">
      <c r="B315" s="46" t="s">
        <v>1644</v>
      </c>
      <c r="C315" s="47">
        <v>813</v>
      </c>
      <c r="D315" s="48" t="s">
        <v>365</v>
      </c>
    </row>
    <row r="316" spans="2:4" x14ac:dyDescent="0.15">
      <c r="B316" s="46" t="s">
        <v>2114</v>
      </c>
      <c r="C316" s="47">
        <v>814</v>
      </c>
      <c r="D316" s="48" t="s">
        <v>365</v>
      </c>
    </row>
    <row r="317" spans="2:4" x14ac:dyDescent="0.15">
      <c r="B317" s="46" t="s">
        <v>423</v>
      </c>
      <c r="C317" s="47">
        <v>815</v>
      </c>
      <c r="D317" s="48" t="s">
        <v>365</v>
      </c>
    </row>
    <row r="318" spans="2:4" x14ac:dyDescent="0.15">
      <c r="B318" s="46" t="s">
        <v>2115</v>
      </c>
      <c r="C318" s="47">
        <v>816</v>
      </c>
      <c r="D318" s="48" t="s">
        <v>365</v>
      </c>
    </row>
    <row r="319" spans="2:4" x14ac:dyDescent="0.15">
      <c r="B319" s="46" t="s">
        <v>378</v>
      </c>
      <c r="C319" s="47">
        <v>817</v>
      </c>
      <c r="D319" s="48" t="s">
        <v>365</v>
      </c>
    </row>
    <row r="320" spans="2:4" x14ac:dyDescent="0.15">
      <c r="B320" s="46" t="s">
        <v>2116</v>
      </c>
      <c r="C320" s="47">
        <v>818</v>
      </c>
      <c r="D320" s="48" t="s">
        <v>365</v>
      </c>
    </row>
    <row r="321" spans="2:4" x14ac:dyDescent="0.15">
      <c r="B321" s="46" t="s">
        <v>2117</v>
      </c>
      <c r="C321" s="47">
        <v>819</v>
      </c>
      <c r="D321" s="48" t="s">
        <v>365</v>
      </c>
    </row>
    <row r="322" spans="2:4" x14ac:dyDescent="0.15">
      <c r="B322" s="46" t="s">
        <v>2118</v>
      </c>
      <c r="C322" s="47">
        <v>820</v>
      </c>
      <c r="D322" s="48" t="s">
        <v>365</v>
      </c>
    </row>
    <row r="323" spans="2:4" x14ac:dyDescent="0.15">
      <c r="B323" s="46" t="s">
        <v>2119</v>
      </c>
      <c r="C323" s="47">
        <v>821</v>
      </c>
      <c r="D323" s="48" t="s">
        <v>365</v>
      </c>
    </row>
    <row r="324" spans="2:4" x14ac:dyDescent="0.15">
      <c r="B324" s="46" t="s">
        <v>2120</v>
      </c>
      <c r="C324" s="47">
        <v>822</v>
      </c>
      <c r="D324" s="48" t="s">
        <v>365</v>
      </c>
    </row>
    <row r="325" spans="2:4" x14ac:dyDescent="0.15">
      <c r="B325" s="46" t="s">
        <v>2121</v>
      </c>
      <c r="C325" s="47">
        <v>823</v>
      </c>
      <c r="D325" s="48" t="s">
        <v>365</v>
      </c>
    </row>
    <row r="326" spans="2:4" x14ac:dyDescent="0.15">
      <c r="B326" s="46" t="s">
        <v>2122</v>
      </c>
      <c r="C326" s="47">
        <v>824</v>
      </c>
      <c r="D326" s="48" t="s">
        <v>365</v>
      </c>
    </row>
    <row r="327" spans="2:4" x14ac:dyDescent="0.15">
      <c r="B327" s="46" t="s">
        <v>1159</v>
      </c>
      <c r="C327" s="47">
        <v>825</v>
      </c>
      <c r="D327" s="48" t="s">
        <v>365</v>
      </c>
    </row>
    <row r="328" spans="2:4" x14ac:dyDescent="0.15">
      <c r="B328" s="46" t="s">
        <v>565</v>
      </c>
      <c r="C328" s="47">
        <v>826</v>
      </c>
      <c r="D328" s="48" t="s">
        <v>365</v>
      </c>
    </row>
    <row r="329" spans="2:4" x14ac:dyDescent="0.15">
      <c r="B329" s="46" t="s">
        <v>2123</v>
      </c>
      <c r="C329" s="47">
        <v>827</v>
      </c>
      <c r="D329" s="48" t="s">
        <v>365</v>
      </c>
    </row>
    <row r="330" spans="2:4" x14ac:dyDescent="0.15">
      <c r="B330" s="46" t="s">
        <v>2124</v>
      </c>
      <c r="C330" s="47">
        <v>828</v>
      </c>
      <c r="D330" s="48" t="s">
        <v>365</v>
      </c>
    </row>
    <row r="331" spans="2:4" x14ac:dyDescent="0.15">
      <c r="B331" s="46" t="s">
        <v>2125</v>
      </c>
      <c r="C331" s="47">
        <v>829</v>
      </c>
      <c r="D331" s="48" t="s">
        <v>365</v>
      </c>
    </row>
    <row r="332" spans="2:4" x14ac:dyDescent="0.15">
      <c r="B332" s="46" t="s">
        <v>661</v>
      </c>
      <c r="C332" s="47">
        <v>830</v>
      </c>
      <c r="D332" s="48" t="s">
        <v>365</v>
      </c>
    </row>
    <row r="333" spans="2:4" x14ac:dyDescent="0.15">
      <c r="B333" s="46" t="s">
        <v>2126</v>
      </c>
      <c r="C333" s="47">
        <v>831</v>
      </c>
      <c r="D333" s="48" t="s">
        <v>365</v>
      </c>
    </row>
    <row r="334" spans="2:4" x14ac:dyDescent="0.15">
      <c r="B334" s="46" t="s">
        <v>2127</v>
      </c>
      <c r="C334" s="47">
        <v>832</v>
      </c>
      <c r="D334" s="48" t="s">
        <v>365</v>
      </c>
    </row>
    <row r="335" spans="2:4" x14ac:dyDescent="0.15">
      <c r="B335" s="46" t="s">
        <v>1086</v>
      </c>
      <c r="C335" s="47">
        <v>833</v>
      </c>
      <c r="D335" s="48" t="s">
        <v>365</v>
      </c>
    </row>
    <row r="336" spans="2:4" x14ac:dyDescent="0.15">
      <c r="B336" s="46" t="s">
        <v>384</v>
      </c>
      <c r="C336" s="47">
        <v>834</v>
      </c>
      <c r="D336" s="48" t="s">
        <v>365</v>
      </c>
    </row>
    <row r="337" spans="2:4" x14ac:dyDescent="0.15">
      <c r="B337" s="46" t="s">
        <v>2128</v>
      </c>
      <c r="C337" s="47">
        <v>835</v>
      </c>
      <c r="D337" s="48" t="s">
        <v>365</v>
      </c>
    </row>
    <row r="338" spans="2:4" x14ac:dyDescent="0.15">
      <c r="B338" s="46" t="s">
        <v>2129</v>
      </c>
      <c r="C338" s="47">
        <v>836</v>
      </c>
      <c r="D338" s="48" t="s">
        <v>365</v>
      </c>
    </row>
    <row r="339" spans="2:4" x14ac:dyDescent="0.15">
      <c r="B339" s="46" t="s">
        <v>2130</v>
      </c>
      <c r="C339" s="47">
        <v>837</v>
      </c>
      <c r="D339" s="48" t="s">
        <v>365</v>
      </c>
    </row>
    <row r="340" spans="2:4" x14ac:dyDescent="0.15">
      <c r="B340" s="46" t="s">
        <v>2131</v>
      </c>
      <c r="C340" s="47">
        <v>838</v>
      </c>
      <c r="D340" s="48" t="s">
        <v>365</v>
      </c>
    </row>
    <row r="341" spans="2:4" x14ac:dyDescent="0.15">
      <c r="B341" s="46" t="s">
        <v>380</v>
      </c>
      <c r="C341" s="47">
        <v>839</v>
      </c>
      <c r="D341" s="48" t="s">
        <v>365</v>
      </c>
    </row>
    <row r="342" spans="2:4" x14ac:dyDescent="0.15">
      <c r="B342" s="46" t="s">
        <v>2132</v>
      </c>
      <c r="C342" s="47">
        <v>840</v>
      </c>
      <c r="D342" s="48" t="s">
        <v>365</v>
      </c>
    </row>
    <row r="343" spans="2:4" x14ac:dyDescent="0.15">
      <c r="B343" s="46" t="s">
        <v>1513</v>
      </c>
      <c r="C343" s="47">
        <v>841</v>
      </c>
      <c r="D343" s="48" t="s">
        <v>365</v>
      </c>
    </row>
    <row r="344" spans="2:4" x14ac:dyDescent="0.15">
      <c r="B344" s="46" t="s">
        <v>713</v>
      </c>
      <c r="C344" s="47">
        <v>842</v>
      </c>
      <c r="D344" s="48" t="s">
        <v>365</v>
      </c>
    </row>
    <row r="345" spans="2:4" x14ac:dyDescent="0.15">
      <c r="B345" s="46" t="s">
        <v>733</v>
      </c>
      <c r="C345" s="47">
        <v>843</v>
      </c>
      <c r="D345" s="48" t="s">
        <v>365</v>
      </c>
    </row>
    <row r="346" spans="2:4" x14ac:dyDescent="0.15">
      <c r="B346" s="46" t="s">
        <v>715</v>
      </c>
      <c r="C346" s="47">
        <v>844</v>
      </c>
      <c r="D346" s="48" t="s">
        <v>365</v>
      </c>
    </row>
    <row r="347" spans="2:4" x14ac:dyDescent="0.15">
      <c r="B347" s="46" t="s">
        <v>735</v>
      </c>
      <c r="C347" s="47">
        <v>845</v>
      </c>
      <c r="D347" s="48" t="s">
        <v>365</v>
      </c>
    </row>
    <row r="348" spans="2:4" x14ac:dyDescent="0.15">
      <c r="B348" s="46" t="s">
        <v>717</v>
      </c>
      <c r="C348" s="47">
        <v>846</v>
      </c>
      <c r="D348" s="48" t="s">
        <v>365</v>
      </c>
    </row>
    <row r="349" spans="2:4" x14ac:dyDescent="0.15">
      <c r="B349" s="46" t="s">
        <v>737</v>
      </c>
      <c r="C349" s="47">
        <v>847</v>
      </c>
      <c r="D349" s="48" t="s">
        <v>365</v>
      </c>
    </row>
    <row r="350" spans="2:4" x14ac:dyDescent="0.15">
      <c r="B350" s="46" t="s">
        <v>719</v>
      </c>
      <c r="C350" s="47">
        <v>848</v>
      </c>
      <c r="D350" s="48" t="s">
        <v>365</v>
      </c>
    </row>
    <row r="351" spans="2:4" x14ac:dyDescent="0.15">
      <c r="B351" s="46" t="s">
        <v>739</v>
      </c>
      <c r="C351" s="47">
        <v>849</v>
      </c>
      <c r="D351" s="48" t="s">
        <v>365</v>
      </c>
    </row>
    <row r="352" spans="2:4" x14ac:dyDescent="0.15">
      <c r="B352" s="46" t="s">
        <v>723</v>
      </c>
      <c r="C352" s="47">
        <v>850</v>
      </c>
      <c r="D352" s="48" t="s">
        <v>365</v>
      </c>
    </row>
    <row r="353" spans="2:4" x14ac:dyDescent="0.15">
      <c r="B353" s="46" t="s">
        <v>743</v>
      </c>
      <c r="C353" s="47">
        <v>851</v>
      </c>
      <c r="D353" s="48" t="s">
        <v>365</v>
      </c>
    </row>
    <row r="354" spans="2:4" x14ac:dyDescent="0.15">
      <c r="B354" s="46" t="s">
        <v>725</v>
      </c>
      <c r="C354" s="47">
        <v>852</v>
      </c>
      <c r="D354" s="48" t="s">
        <v>365</v>
      </c>
    </row>
    <row r="355" spans="2:4" x14ac:dyDescent="0.15">
      <c r="B355" s="46" t="s">
        <v>745</v>
      </c>
      <c r="C355" s="47">
        <v>853</v>
      </c>
      <c r="D355" s="48" t="s">
        <v>365</v>
      </c>
    </row>
    <row r="356" spans="2:4" x14ac:dyDescent="0.15">
      <c r="B356" s="46" t="s">
        <v>727</v>
      </c>
      <c r="C356" s="47">
        <v>854</v>
      </c>
      <c r="D356" s="48" t="s">
        <v>365</v>
      </c>
    </row>
    <row r="357" spans="2:4" x14ac:dyDescent="0.15">
      <c r="B357" s="46" t="s">
        <v>747</v>
      </c>
      <c r="C357" s="47">
        <v>855</v>
      </c>
      <c r="D357" s="48" t="s">
        <v>365</v>
      </c>
    </row>
    <row r="358" spans="2:4" x14ac:dyDescent="0.15">
      <c r="B358" s="46" t="s">
        <v>729</v>
      </c>
      <c r="C358" s="47">
        <v>856</v>
      </c>
      <c r="D358" s="48" t="s">
        <v>365</v>
      </c>
    </row>
    <row r="359" spans="2:4" x14ac:dyDescent="0.15">
      <c r="B359" s="46" t="s">
        <v>749</v>
      </c>
      <c r="C359" s="47">
        <v>857</v>
      </c>
      <c r="D359" s="48" t="s">
        <v>365</v>
      </c>
    </row>
    <row r="360" spans="2:4" x14ac:dyDescent="0.15">
      <c r="B360" s="46" t="s">
        <v>1240</v>
      </c>
      <c r="C360" s="47">
        <v>858</v>
      </c>
      <c r="D360" s="48" t="s">
        <v>365</v>
      </c>
    </row>
    <row r="361" spans="2:4" x14ac:dyDescent="0.15">
      <c r="B361" s="46" t="s">
        <v>2133</v>
      </c>
      <c r="C361" s="47">
        <v>859</v>
      </c>
      <c r="D361" s="48" t="s">
        <v>365</v>
      </c>
    </row>
    <row r="362" spans="2:4" x14ac:dyDescent="0.15">
      <c r="B362" s="46" t="s">
        <v>689</v>
      </c>
      <c r="C362" s="47">
        <v>860</v>
      </c>
      <c r="D362" s="48" t="s">
        <v>365</v>
      </c>
    </row>
    <row r="363" spans="2:4" x14ac:dyDescent="0.15">
      <c r="B363" s="46" t="s">
        <v>2134</v>
      </c>
      <c r="C363" s="47">
        <v>861</v>
      </c>
      <c r="D363" s="48" t="s">
        <v>365</v>
      </c>
    </row>
    <row r="364" spans="2:4" x14ac:dyDescent="0.15">
      <c r="B364" s="46" t="s">
        <v>2135</v>
      </c>
      <c r="C364" s="47">
        <v>862</v>
      </c>
      <c r="D364" s="48" t="s">
        <v>365</v>
      </c>
    </row>
    <row r="365" spans="2:4" x14ac:dyDescent="0.15">
      <c r="B365" s="46" t="s">
        <v>1351</v>
      </c>
      <c r="C365" s="47">
        <v>863</v>
      </c>
      <c r="D365" s="48" t="s">
        <v>365</v>
      </c>
    </row>
    <row r="366" spans="2:4" x14ac:dyDescent="0.15">
      <c r="B366" s="46" t="s">
        <v>2136</v>
      </c>
      <c r="C366" s="47">
        <v>864</v>
      </c>
      <c r="D366" s="48" t="s">
        <v>365</v>
      </c>
    </row>
    <row r="367" spans="2:4" x14ac:dyDescent="0.15">
      <c r="B367" s="46" t="s">
        <v>620</v>
      </c>
      <c r="C367" s="47">
        <v>865</v>
      </c>
      <c r="D367" s="48" t="s">
        <v>365</v>
      </c>
    </row>
    <row r="368" spans="2:4" x14ac:dyDescent="0.15">
      <c r="B368" s="46" t="s">
        <v>2137</v>
      </c>
      <c r="C368" s="47">
        <v>866</v>
      </c>
      <c r="D368" s="48" t="s">
        <v>365</v>
      </c>
    </row>
    <row r="369" spans="2:4" x14ac:dyDescent="0.15">
      <c r="B369" s="46" t="s">
        <v>2138</v>
      </c>
      <c r="C369" s="47">
        <v>867</v>
      </c>
      <c r="D369" s="48" t="s">
        <v>365</v>
      </c>
    </row>
    <row r="370" spans="2:4" x14ac:dyDescent="0.15">
      <c r="B370" s="46" t="s">
        <v>2139</v>
      </c>
      <c r="C370" s="47">
        <v>868</v>
      </c>
      <c r="D370" s="48" t="s">
        <v>365</v>
      </c>
    </row>
    <row r="371" spans="2:4" x14ac:dyDescent="0.15">
      <c r="B371" s="46" t="s">
        <v>1270</v>
      </c>
      <c r="C371" s="47">
        <v>869</v>
      </c>
      <c r="D371" s="48" t="s">
        <v>365</v>
      </c>
    </row>
    <row r="372" spans="2:4" x14ac:dyDescent="0.15">
      <c r="B372" s="46" t="s">
        <v>2140</v>
      </c>
      <c r="C372" s="47">
        <v>870</v>
      </c>
      <c r="D372" s="48" t="s">
        <v>365</v>
      </c>
    </row>
    <row r="373" spans="2:4" x14ac:dyDescent="0.15">
      <c r="B373" s="46" t="s">
        <v>1468</v>
      </c>
      <c r="C373" s="47">
        <v>871</v>
      </c>
      <c r="D373" s="48" t="s">
        <v>365</v>
      </c>
    </row>
    <row r="374" spans="2:4" x14ac:dyDescent="0.15">
      <c r="B374" s="46" t="s">
        <v>2141</v>
      </c>
      <c r="C374" s="47">
        <v>872</v>
      </c>
      <c r="D374" s="48" t="s">
        <v>365</v>
      </c>
    </row>
    <row r="375" spans="2:4" x14ac:dyDescent="0.15">
      <c r="B375" s="46" t="s">
        <v>1248</v>
      </c>
      <c r="C375" s="47">
        <v>873</v>
      </c>
      <c r="D375" s="48" t="s">
        <v>365</v>
      </c>
    </row>
    <row r="376" spans="2:4" x14ac:dyDescent="0.15">
      <c r="B376" s="46" t="s">
        <v>1097</v>
      </c>
      <c r="C376" s="47">
        <v>874</v>
      </c>
      <c r="D376" s="48" t="s">
        <v>365</v>
      </c>
    </row>
    <row r="377" spans="2:4" x14ac:dyDescent="0.15">
      <c r="B377" s="46" t="s">
        <v>2142</v>
      </c>
      <c r="C377" s="47">
        <v>875</v>
      </c>
      <c r="D377" s="48" t="s">
        <v>365</v>
      </c>
    </row>
    <row r="378" spans="2:4" x14ac:dyDescent="0.15">
      <c r="B378" s="46" t="s">
        <v>2143</v>
      </c>
      <c r="C378" s="47">
        <v>876</v>
      </c>
      <c r="D378" s="48" t="s">
        <v>365</v>
      </c>
    </row>
    <row r="379" spans="2:4" x14ac:dyDescent="0.15">
      <c r="B379" s="46" t="s">
        <v>2144</v>
      </c>
      <c r="C379" s="47">
        <v>877</v>
      </c>
      <c r="D379" s="48" t="s">
        <v>365</v>
      </c>
    </row>
    <row r="380" spans="2:4" x14ac:dyDescent="0.15">
      <c r="B380" s="46" t="s">
        <v>2145</v>
      </c>
      <c r="C380" s="47">
        <v>878</v>
      </c>
      <c r="D380" s="48" t="s">
        <v>365</v>
      </c>
    </row>
    <row r="381" spans="2:4" x14ac:dyDescent="0.15">
      <c r="B381" s="46" t="s">
        <v>2146</v>
      </c>
      <c r="C381" s="47">
        <v>879</v>
      </c>
      <c r="D381" s="48" t="s">
        <v>365</v>
      </c>
    </row>
    <row r="382" spans="2:4" x14ac:dyDescent="0.15">
      <c r="B382" s="46" t="s">
        <v>659</v>
      </c>
      <c r="C382" s="47">
        <v>880</v>
      </c>
      <c r="D382" s="48" t="s">
        <v>365</v>
      </c>
    </row>
    <row r="383" spans="2:4" x14ac:dyDescent="0.15">
      <c r="B383" s="46" t="s">
        <v>2147</v>
      </c>
      <c r="C383" s="47">
        <v>881</v>
      </c>
      <c r="D383" s="48" t="s">
        <v>365</v>
      </c>
    </row>
    <row r="384" spans="2:4" x14ac:dyDescent="0.15">
      <c r="B384" s="46" t="s">
        <v>2148</v>
      </c>
      <c r="C384" s="47">
        <v>882</v>
      </c>
      <c r="D384" s="48" t="s">
        <v>365</v>
      </c>
    </row>
    <row r="385" spans="2:4" x14ac:dyDescent="0.15">
      <c r="B385" s="46" t="s">
        <v>2149</v>
      </c>
      <c r="C385" s="47">
        <v>883</v>
      </c>
      <c r="D385" s="48" t="s">
        <v>365</v>
      </c>
    </row>
    <row r="386" spans="2:4" x14ac:dyDescent="0.15">
      <c r="B386" s="46" t="s">
        <v>2150</v>
      </c>
      <c r="C386" s="47">
        <v>884</v>
      </c>
      <c r="D386" s="48" t="s">
        <v>365</v>
      </c>
    </row>
    <row r="387" spans="2:4" x14ac:dyDescent="0.15">
      <c r="B387" s="46" t="s">
        <v>2151</v>
      </c>
      <c r="C387" s="47">
        <v>885</v>
      </c>
      <c r="D387" s="48" t="s">
        <v>365</v>
      </c>
    </row>
    <row r="388" spans="2:4" x14ac:dyDescent="0.15">
      <c r="B388" s="46" t="s">
        <v>948</v>
      </c>
      <c r="C388" s="47">
        <v>886</v>
      </c>
      <c r="D388" s="48" t="s">
        <v>365</v>
      </c>
    </row>
    <row r="389" spans="2:4" x14ac:dyDescent="0.15">
      <c r="B389" s="46" t="s">
        <v>879</v>
      </c>
      <c r="C389" s="47">
        <v>887</v>
      </c>
      <c r="D389" s="48" t="s">
        <v>365</v>
      </c>
    </row>
    <row r="390" spans="2:4" x14ac:dyDescent="0.15">
      <c r="B390" s="46" t="s">
        <v>2152</v>
      </c>
      <c r="C390" s="47">
        <v>888</v>
      </c>
      <c r="D390" s="48" t="s">
        <v>365</v>
      </c>
    </row>
    <row r="391" spans="2:4" x14ac:dyDescent="0.15">
      <c r="B391" s="46" t="s">
        <v>1720</v>
      </c>
      <c r="C391" s="47">
        <v>889</v>
      </c>
      <c r="D391" s="48" t="s">
        <v>365</v>
      </c>
    </row>
    <row r="392" spans="2:4" x14ac:dyDescent="0.15">
      <c r="B392" s="46" t="s">
        <v>2153</v>
      </c>
      <c r="C392" s="47">
        <v>890</v>
      </c>
      <c r="D392" s="48" t="s">
        <v>365</v>
      </c>
    </row>
    <row r="393" spans="2:4" x14ac:dyDescent="0.15">
      <c r="B393" s="46" t="s">
        <v>493</v>
      </c>
      <c r="C393" s="47">
        <v>891</v>
      </c>
      <c r="D393" s="48" t="s">
        <v>365</v>
      </c>
    </row>
    <row r="394" spans="2:4" x14ac:dyDescent="0.15">
      <c r="B394" s="46" t="s">
        <v>2154</v>
      </c>
      <c r="C394" s="47">
        <v>892</v>
      </c>
      <c r="D394" s="48" t="s">
        <v>365</v>
      </c>
    </row>
    <row r="395" spans="2:4" x14ac:dyDescent="0.15">
      <c r="B395" s="46" t="s">
        <v>2155</v>
      </c>
      <c r="C395" s="47">
        <v>893</v>
      </c>
      <c r="D395" s="48" t="s">
        <v>365</v>
      </c>
    </row>
    <row r="396" spans="2:4" x14ac:dyDescent="0.15">
      <c r="B396" s="46" t="s">
        <v>2156</v>
      </c>
      <c r="C396" s="47">
        <v>894</v>
      </c>
      <c r="D396" s="48" t="s">
        <v>365</v>
      </c>
    </row>
    <row r="397" spans="2:4" x14ac:dyDescent="0.15">
      <c r="B397" s="46" t="s">
        <v>2157</v>
      </c>
      <c r="C397" s="47">
        <v>895</v>
      </c>
      <c r="D397" s="48" t="s">
        <v>365</v>
      </c>
    </row>
    <row r="398" spans="2:4" x14ac:dyDescent="0.15">
      <c r="B398" s="46" t="s">
        <v>2158</v>
      </c>
      <c r="C398" s="47">
        <v>896</v>
      </c>
      <c r="D398" s="48" t="s">
        <v>365</v>
      </c>
    </row>
    <row r="399" spans="2:4" x14ac:dyDescent="0.15">
      <c r="B399" s="46" t="s">
        <v>2159</v>
      </c>
      <c r="C399" s="47">
        <v>897</v>
      </c>
      <c r="D399" s="48" t="s">
        <v>365</v>
      </c>
    </row>
    <row r="400" spans="2:4" x14ac:dyDescent="0.15">
      <c r="B400" s="46" t="s">
        <v>373</v>
      </c>
      <c r="C400" s="47">
        <v>898</v>
      </c>
      <c r="D400" s="48" t="s">
        <v>365</v>
      </c>
    </row>
    <row r="401" spans="2:4" x14ac:dyDescent="0.15">
      <c r="B401" s="46" t="s">
        <v>375</v>
      </c>
      <c r="C401" s="47">
        <v>899</v>
      </c>
      <c r="D401" s="48" t="s">
        <v>365</v>
      </c>
    </row>
    <row r="402" spans="2:4" x14ac:dyDescent="0.15">
      <c r="B402" s="46" t="s">
        <v>2160</v>
      </c>
      <c r="C402" s="47">
        <v>900</v>
      </c>
      <c r="D402" s="48" t="s">
        <v>365</v>
      </c>
    </row>
    <row r="403" spans="2:4" x14ac:dyDescent="0.15">
      <c r="B403" s="46" t="s">
        <v>516</v>
      </c>
      <c r="C403" s="47">
        <v>901</v>
      </c>
      <c r="D403" s="48" t="s">
        <v>365</v>
      </c>
    </row>
    <row r="404" spans="2:4" x14ac:dyDescent="0.15">
      <c r="B404" s="46" t="s">
        <v>2161</v>
      </c>
      <c r="C404" s="47">
        <v>902</v>
      </c>
      <c r="D404" s="48" t="s">
        <v>365</v>
      </c>
    </row>
    <row r="405" spans="2:4" x14ac:dyDescent="0.15">
      <c r="B405" s="46" t="s">
        <v>2162</v>
      </c>
      <c r="C405" s="47">
        <v>903</v>
      </c>
      <c r="D405" s="48" t="s">
        <v>365</v>
      </c>
    </row>
    <row r="406" spans="2:4" x14ac:dyDescent="0.15">
      <c r="B406" s="46" t="s">
        <v>2163</v>
      </c>
      <c r="C406" s="47">
        <v>904</v>
      </c>
      <c r="D406" s="48" t="s">
        <v>365</v>
      </c>
    </row>
    <row r="407" spans="2:4" x14ac:dyDescent="0.15">
      <c r="B407" s="46" t="s">
        <v>2164</v>
      </c>
      <c r="C407" s="47">
        <v>905</v>
      </c>
      <c r="D407" s="48" t="s">
        <v>365</v>
      </c>
    </row>
    <row r="408" spans="2:4" x14ac:dyDescent="0.15">
      <c r="B408" s="46" t="s">
        <v>2165</v>
      </c>
      <c r="C408" s="47">
        <v>906</v>
      </c>
      <c r="D408" s="48" t="s">
        <v>365</v>
      </c>
    </row>
    <row r="409" spans="2:4" x14ac:dyDescent="0.15">
      <c r="B409" s="46" t="s">
        <v>2166</v>
      </c>
      <c r="C409" s="47">
        <v>907</v>
      </c>
      <c r="D409" s="48" t="s">
        <v>365</v>
      </c>
    </row>
    <row r="410" spans="2:4" x14ac:dyDescent="0.15">
      <c r="B410" s="46" t="s">
        <v>2167</v>
      </c>
      <c r="C410" s="47">
        <v>908</v>
      </c>
      <c r="D410" s="48" t="s">
        <v>365</v>
      </c>
    </row>
    <row r="411" spans="2:4" x14ac:dyDescent="0.15">
      <c r="B411" s="46" t="s">
        <v>2168</v>
      </c>
      <c r="C411" s="47">
        <v>909</v>
      </c>
      <c r="D411" s="48" t="s">
        <v>365</v>
      </c>
    </row>
    <row r="412" spans="2:4" x14ac:dyDescent="0.15">
      <c r="B412" s="46" t="s">
        <v>638</v>
      </c>
      <c r="C412" s="47">
        <v>910</v>
      </c>
      <c r="D412" s="48" t="s">
        <v>365</v>
      </c>
    </row>
    <row r="413" spans="2:4" x14ac:dyDescent="0.15">
      <c r="B413" s="46" t="s">
        <v>2169</v>
      </c>
      <c r="C413" s="47">
        <v>911</v>
      </c>
      <c r="D413" s="48" t="s">
        <v>365</v>
      </c>
    </row>
    <row r="414" spans="2:4" x14ac:dyDescent="0.15">
      <c r="B414" s="46" t="s">
        <v>640</v>
      </c>
      <c r="C414" s="47">
        <v>912</v>
      </c>
      <c r="D414" s="48" t="s">
        <v>365</v>
      </c>
    </row>
    <row r="415" spans="2:4" x14ac:dyDescent="0.15">
      <c r="B415" s="46" t="s">
        <v>2170</v>
      </c>
      <c r="C415" s="47">
        <v>913</v>
      </c>
      <c r="D415" s="48" t="s">
        <v>365</v>
      </c>
    </row>
    <row r="416" spans="2:4" x14ac:dyDescent="0.15">
      <c r="B416" s="46" t="s">
        <v>2171</v>
      </c>
      <c r="C416" s="47">
        <v>914</v>
      </c>
      <c r="D416" s="48" t="s">
        <v>365</v>
      </c>
    </row>
    <row r="417" spans="2:4" x14ac:dyDescent="0.15">
      <c r="B417" s="46" t="s">
        <v>1491</v>
      </c>
      <c r="C417" s="47">
        <v>915</v>
      </c>
      <c r="D417" s="48" t="s">
        <v>365</v>
      </c>
    </row>
    <row r="418" spans="2:4" x14ac:dyDescent="0.15">
      <c r="B418" s="46" t="s">
        <v>2172</v>
      </c>
      <c r="C418" s="47">
        <v>916</v>
      </c>
      <c r="D418" s="48" t="s">
        <v>365</v>
      </c>
    </row>
    <row r="419" spans="2:4" x14ac:dyDescent="0.15">
      <c r="B419" s="46" t="s">
        <v>2173</v>
      </c>
      <c r="C419" s="47">
        <v>917</v>
      </c>
      <c r="D419" s="48" t="s">
        <v>365</v>
      </c>
    </row>
    <row r="420" spans="2:4" x14ac:dyDescent="0.15">
      <c r="B420" s="46" t="s">
        <v>2174</v>
      </c>
      <c r="C420" s="47">
        <v>918</v>
      </c>
      <c r="D420" s="48" t="s">
        <v>365</v>
      </c>
    </row>
    <row r="421" spans="2:4" x14ac:dyDescent="0.15">
      <c r="B421" s="46" t="s">
        <v>2175</v>
      </c>
      <c r="C421" s="47">
        <v>919</v>
      </c>
      <c r="D421" s="48" t="s">
        <v>365</v>
      </c>
    </row>
    <row r="422" spans="2:4" x14ac:dyDescent="0.15">
      <c r="B422" s="46" t="s">
        <v>2176</v>
      </c>
      <c r="C422" s="47">
        <v>920</v>
      </c>
      <c r="D422" s="48" t="s">
        <v>365</v>
      </c>
    </row>
    <row r="423" spans="2:4" x14ac:dyDescent="0.15">
      <c r="B423" s="46" t="s">
        <v>2177</v>
      </c>
      <c r="C423" s="47">
        <v>921</v>
      </c>
      <c r="D423" s="48" t="s">
        <v>365</v>
      </c>
    </row>
    <row r="424" spans="2:4" x14ac:dyDescent="0.15">
      <c r="B424" s="46" t="s">
        <v>921</v>
      </c>
      <c r="C424" s="47">
        <v>922</v>
      </c>
      <c r="D424" s="48" t="s">
        <v>365</v>
      </c>
    </row>
    <row r="425" spans="2:4" x14ac:dyDescent="0.15">
      <c r="B425" s="46" t="s">
        <v>2178</v>
      </c>
      <c r="C425" s="47">
        <v>923</v>
      </c>
      <c r="D425" s="48" t="s">
        <v>365</v>
      </c>
    </row>
    <row r="426" spans="2:4" x14ac:dyDescent="0.15">
      <c r="B426" s="46" t="s">
        <v>1174</v>
      </c>
      <c r="C426" s="47">
        <v>924</v>
      </c>
      <c r="D426" s="48" t="s">
        <v>365</v>
      </c>
    </row>
    <row r="427" spans="2:4" x14ac:dyDescent="0.15">
      <c r="B427" s="46" t="s">
        <v>2179</v>
      </c>
      <c r="C427" s="47">
        <v>925</v>
      </c>
      <c r="D427" s="48" t="s">
        <v>365</v>
      </c>
    </row>
    <row r="428" spans="2:4" x14ac:dyDescent="0.15">
      <c r="B428" s="46" t="s">
        <v>663</v>
      </c>
      <c r="C428" s="47">
        <v>926</v>
      </c>
      <c r="D428" s="48" t="s">
        <v>365</v>
      </c>
    </row>
    <row r="429" spans="2:4" x14ac:dyDescent="0.15">
      <c r="B429" s="46" t="s">
        <v>2180</v>
      </c>
      <c r="C429" s="47">
        <v>927</v>
      </c>
      <c r="D429" s="48" t="s">
        <v>365</v>
      </c>
    </row>
    <row r="430" spans="2:4" x14ac:dyDescent="0.15">
      <c r="B430" s="46" t="s">
        <v>2181</v>
      </c>
      <c r="C430" s="47">
        <v>928</v>
      </c>
      <c r="D430" s="48" t="s">
        <v>365</v>
      </c>
    </row>
    <row r="431" spans="2:4" x14ac:dyDescent="0.15">
      <c r="B431" s="46" t="s">
        <v>558</v>
      </c>
      <c r="C431" s="47">
        <v>929</v>
      </c>
      <c r="D431" s="48" t="s">
        <v>365</v>
      </c>
    </row>
    <row r="432" spans="2:4" x14ac:dyDescent="0.15">
      <c r="B432" s="46" t="s">
        <v>2182</v>
      </c>
      <c r="C432" s="47">
        <v>930</v>
      </c>
      <c r="D432" s="48" t="s">
        <v>365</v>
      </c>
    </row>
    <row r="433" spans="2:4" x14ac:dyDescent="0.15">
      <c r="B433" s="46" t="s">
        <v>2183</v>
      </c>
      <c r="C433" s="47">
        <v>931</v>
      </c>
      <c r="D433" s="48" t="s">
        <v>365</v>
      </c>
    </row>
    <row r="434" spans="2:4" x14ac:dyDescent="0.15">
      <c r="B434" s="46" t="s">
        <v>1460</v>
      </c>
      <c r="C434" s="47">
        <v>932</v>
      </c>
      <c r="D434" s="48" t="s">
        <v>365</v>
      </c>
    </row>
    <row r="435" spans="2:4" x14ac:dyDescent="0.15">
      <c r="B435" s="46" t="s">
        <v>2184</v>
      </c>
      <c r="C435" s="47">
        <v>933</v>
      </c>
      <c r="D435" s="48" t="s">
        <v>365</v>
      </c>
    </row>
    <row r="436" spans="2:4" x14ac:dyDescent="0.15">
      <c r="B436" s="46" t="s">
        <v>1177</v>
      </c>
      <c r="C436" s="47">
        <v>934</v>
      </c>
      <c r="D436" s="48" t="s">
        <v>365</v>
      </c>
    </row>
    <row r="437" spans="2:4" x14ac:dyDescent="0.15">
      <c r="B437" s="46" t="s">
        <v>2185</v>
      </c>
      <c r="C437" s="47">
        <v>935</v>
      </c>
      <c r="D437" s="48" t="s">
        <v>365</v>
      </c>
    </row>
    <row r="438" spans="2:4" x14ac:dyDescent="0.15">
      <c r="B438" s="46" t="s">
        <v>2186</v>
      </c>
      <c r="C438" s="47">
        <v>936</v>
      </c>
      <c r="D438" s="48" t="s">
        <v>365</v>
      </c>
    </row>
    <row r="439" spans="2:4" x14ac:dyDescent="0.15">
      <c r="B439" s="46" t="s">
        <v>2187</v>
      </c>
      <c r="C439" s="47">
        <v>937</v>
      </c>
      <c r="D439" s="48" t="s">
        <v>365</v>
      </c>
    </row>
    <row r="440" spans="2:4" x14ac:dyDescent="0.15">
      <c r="B440" s="46" t="s">
        <v>2188</v>
      </c>
      <c r="C440" s="47">
        <v>938</v>
      </c>
      <c r="D440" s="48" t="s">
        <v>365</v>
      </c>
    </row>
    <row r="441" spans="2:4" x14ac:dyDescent="0.15">
      <c r="B441" s="46" t="s">
        <v>2189</v>
      </c>
      <c r="C441" s="47">
        <v>939</v>
      </c>
      <c r="D441" s="48" t="s">
        <v>365</v>
      </c>
    </row>
    <row r="442" spans="2:4" x14ac:dyDescent="0.15">
      <c r="B442" s="46" t="s">
        <v>2190</v>
      </c>
      <c r="C442" s="47">
        <v>940</v>
      </c>
      <c r="D442" s="48" t="s">
        <v>365</v>
      </c>
    </row>
    <row r="443" spans="2:4" x14ac:dyDescent="0.15">
      <c r="B443" s="46" t="s">
        <v>2191</v>
      </c>
      <c r="C443" s="47">
        <v>941</v>
      </c>
      <c r="D443" s="48" t="s">
        <v>365</v>
      </c>
    </row>
    <row r="444" spans="2:4" x14ac:dyDescent="0.15">
      <c r="B444" s="46" t="s">
        <v>2192</v>
      </c>
      <c r="C444" s="47">
        <v>942</v>
      </c>
      <c r="D444" s="48" t="s">
        <v>365</v>
      </c>
    </row>
    <row r="445" spans="2:4" x14ac:dyDescent="0.15">
      <c r="B445" s="46" t="s">
        <v>2193</v>
      </c>
      <c r="C445" s="47">
        <v>943</v>
      </c>
      <c r="D445" s="48" t="s">
        <v>365</v>
      </c>
    </row>
    <row r="446" spans="2:4" x14ac:dyDescent="0.15">
      <c r="B446" s="46" t="s">
        <v>2194</v>
      </c>
      <c r="C446" s="47">
        <v>944</v>
      </c>
      <c r="D446" s="48" t="s">
        <v>365</v>
      </c>
    </row>
    <row r="447" spans="2:4" x14ac:dyDescent="0.15">
      <c r="B447" s="46" t="s">
        <v>2195</v>
      </c>
      <c r="C447" s="47">
        <v>945</v>
      </c>
      <c r="D447" s="48" t="s">
        <v>365</v>
      </c>
    </row>
    <row r="448" spans="2:4" x14ac:dyDescent="0.15">
      <c r="B448" s="46" t="s">
        <v>2196</v>
      </c>
      <c r="C448" s="47">
        <v>946</v>
      </c>
      <c r="D448" s="48" t="s">
        <v>365</v>
      </c>
    </row>
    <row r="449" spans="2:4" x14ac:dyDescent="0.15">
      <c r="B449" s="46" t="s">
        <v>2197</v>
      </c>
      <c r="C449" s="47">
        <v>947</v>
      </c>
      <c r="D449" s="48" t="s">
        <v>365</v>
      </c>
    </row>
    <row r="450" spans="2:4" x14ac:dyDescent="0.15">
      <c r="B450" s="46" t="s">
        <v>2198</v>
      </c>
      <c r="C450" s="47">
        <v>948</v>
      </c>
      <c r="D450" s="48" t="s">
        <v>365</v>
      </c>
    </row>
    <row r="451" spans="2:4" x14ac:dyDescent="0.15">
      <c r="B451" s="46" t="s">
        <v>2199</v>
      </c>
      <c r="C451" s="47">
        <v>949</v>
      </c>
      <c r="D451" s="48" t="s">
        <v>365</v>
      </c>
    </row>
    <row r="452" spans="2:4" x14ac:dyDescent="0.15">
      <c r="B452" s="46" t="s">
        <v>2200</v>
      </c>
      <c r="C452" s="47">
        <v>950</v>
      </c>
      <c r="D452" s="48" t="s">
        <v>365</v>
      </c>
    </row>
    <row r="453" spans="2:4" x14ac:dyDescent="0.15">
      <c r="B453" s="46" t="s">
        <v>2201</v>
      </c>
      <c r="C453" s="47">
        <v>951</v>
      </c>
      <c r="D453" s="48" t="s">
        <v>365</v>
      </c>
    </row>
    <row r="454" spans="2:4" x14ac:dyDescent="0.15">
      <c r="B454" s="46" t="s">
        <v>2202</v>
      </c>
      <c r="C454" s="47">
        <v>952</v>
      </c>
      <c r="D454" s="48" t="s">
        <v>365</v>
      </c>
    </row>
    <row r="455" spans="2:4" x14ac:dyDescent="0.15">
      <c r="B455" s="46" t="s">
        <v>2203</v>
      </c>
      <c r="C455" s="47">
        <v>953</v>
      </c>
      <c r="D455" s="48" t="s">
        <v>365</v>
      </c>
    </row>
    <row r="456" spans="2:4" x14ac:dyDescent="0.15">
      <c r="B456" s="46" t="s">
        <v>2204</v>
      </c>
      <c r="C456" s="47">
        <v>954</v>
      </c>
      <c r="D456" s="48" t="s">
        <v>365</v>
      </c>
    </row>
    <row r="457" spans="2:4" x14ac:dyDescent="0.15">
      <c r="B457" s="46" t="s">
        <v>2205</v>
      </c>
      <c r="C457" s="47">
        <v>955</v>
      </c>
      <c r="D457" s="48" t="s">
        <v>365</v>
      </c>
    </row>
    <row r="458" spans="2:4" x14ac:dyDescent="0.15">
      <c r="B458" s="46" t="s">
        <v>2206</v>
      </c>
      <c r="C458" s="47">
        <v>956</v>
      </c>
      <c r="D458" s="48" t="s">
        <v>365</v>
      </c>
    </row>
    <row r="459" spans="2:4" x14ac:dyDescent="0.15">
      <c r="B459" s="46" t="s">
        <v>2207</v>
      </c>
      <c r="C459" s="47">
        <v>957</v>
      </c>
      <c r="D459" s="48" t="s">
        <v>365</v>
      </c>
    </row>
    <row r="460" spans="2:4" x14ac:dyDescent="0.15">
      <c r="B460" s="46" t="s">
        <v>2208</v>
      </c>
      <c r="C460" s="47">
        <v>958</v>
      </c>
      <c r="D460" s="48" t="s">
        <v>365</v>
      </c>
    </row>
    <row r="461" spans="2:4" x14ac:dyDescent="0.15">
      <c r="B461" s="46" t="s">
        <v>2209</v>
      </c>
      <c r="C461" s="47">
        <v>959</v>
      </c>
      <c r="D461" s="48" t="s">
        <v>365</v>
      </c>
    </row>
    <row r="462" spans="2:4" x14ac:dyDescent="0.15">
      <c r="B462" s="46" t="s">
        <v>2210</v>
      </c>
      <c r="C462" s="47">
        <v>960</v>
      </c>
      <c r="D462" s="48" t="s">
        <v>365</v>
      </c>
    </row>
    <row r="463" spans="2:4" x14ac:dyDescent="0.15">
      <c r="B463" s="46" t="s">
        <v>701</v>
      </c>
      <c r="C463" s="47">
        <v>961</v>
      </c>
      <c r="D463" s="48" t="s">
        <v>365</v>
      </c>
    </row>
    <row r="464" spans="2:4" x14ac:dyDescent="0.15">
      <c r="B464" s="46" t="s">
        <v>2211</v>
      </c>
      <c r="C464" s="47">
        <v>962</v>
      </c>
      <c r="D464" s="48" t="s">
        <v>365</v>
      </c>
    </row>
    <row r="465" spans="2:4" x14ac:dyDescent="0.15">
      <c r="B465" s="46" t="s">
        <v>2212</v>
      </c>
      <c r="C465" s="47">
        <v>963</v>
      </c>
      <c r="D465" s="48" t="s">
        <v>365</v>
      </c>
    </row>
    <row r="466" spans="2:4" x14ac:dyDescent="0.15">
      <c r="B466" s="46" t="s">
        <v>1835</v>
      </c>
      <c r="C466" s="47">
        <v>964</v>
      </c>
      <c r="D466" s="48" t="s">
        <v>365</v>
      </c>
    </row>
    <row r="467" spans="2:4" x14ac:dyDescent="0.15">
      <c r="B467" s="46" t="s">
        <v>2213</v>
      </c>
      <c r="C467" s="47">
        <v>965</v>
      </c>
      <c r="D467" s="48" t="s">
        <v>365</v>
      </c>
    </row>
    <row r="468" spans="2:4" x14ac:dyDescent="0.15">
      <c r="B468" s="46" t="s">
        <v>2214</v>
      </c>
      <c r="C468" s="47">
        <v>966</v>
      </c>
      <c r="D468" s="48" t="s">
        <v>365</v>
      </c>
    </row>
    <row r="469" spans="2:4" x14ac:dyDescent="0.15">
      <c r="B469" s="46" t="s">
        <v>2215</v>
      </c>
      <c r="C469" s="47">
        <v>967</v>
      </c>
      <c r="D469" s="48" t="s">
        <v>365</v>
      </c>
    </row>
    <row r="470" spans="2:4" x14ac:dyDescent="0.15">
      <c r="B470" s="46" t="s">
        <v>2216</v>
      </c>
      <c r="C470" s="47">
        <v>968</v>
      </c>
      <c r="D470" s="48" t="s">
        <v>365</v>
      </c>
    </row>
    <row r="471" spans="2:4" x14ac:dyDescent="0.15">
      <c r="B471" s="46" t="s">
        <v>2217</v>
      </c>
      <c r="C471" s="47">
        <v>969</v>
      </c>
      <c r="D471" s="48" t="s">
        <v>365</v>
      </c>
    </row>
    <row r="472" spans="2:4" x14ac:dyDescent="0.15">
      <c r="B472" s="46" t="s">
        <v>1875</v>
      </c>
      <c r="C472" s="47">
        <v>970</v>
      </c>
      <c r="D472" s="48" t="s">
        <v>365</v>
      </c>
    </row>
    <row r="473" spans="2:4" x14ac:dyDescent="0.15">
      <c r="B473" s="46" t="s">
        <v>2218</v>
      </c>
      <c r="C473" s="47">
        <v>971</v>
      </c>
      <c r="D473" s="48" t="s">
        <v>365</v>
      </c>
    </row>
    <row r="474" spans="2:4" x14ac:dyDescent="0.15">
      <c r="B474" s="46" t="s">
        <v>2219</v>
      </c>
      <c r="C474" s="47">
        <v>972</v>
      </c>
      <c r="D474" s="48" t="s">
        <v>365</v>
      </c>
    </row>
    <row r="475" spans="2:4" x14ac:dyDescent="0.15">
      <c r="B475" s="46" t="s">
        <v>2220</v>
      </c>
      <c r="C475" s="47">
        <v>973</v>
      </c>
      <c r="D475" s="48" t="s">
        <v>365</v>
      </c>
    </row>
    <row r="476" spans="2:4" x14ac:dyDescent="0.15">
      <c r="B476" s="46" t="s">
        <v>1445</v>
      </c>
      <c r="C476" s="47">
        <v>974</v>
      </c>
      <c r="D476" s="48" t="s">
        <v>365</v>
      </c>
    </row>
    <row r="477" spans="2:4" x14ac:dyDescent="0.15">
      <c r="B477" s="46" t="s">
        <v>2221</v>
      </c>
      <c r="C477" s="47">
        <v>975</v>
      </c>
      <c r="D477" s="48" t="s">
        <v>365</v>
      </c>
    </row>
    <row r="478" spans="2:4" x14ac:dyDescent="0.15">
      <c r="B478" s="46" t="s">
        <v>2222</v>
      </c>
      <c r="C478" s="47">
        <v>976</v>
      </c>
      <c r="D478" s="48" t="s">
        <v>365</v>
      </c>
    </row>
    <row r="479" spans="2:4" x14ac:dyDescent="0.15">
      <c r="B479" s="46" t="s">
        <v>2223</v>
      </c>
      <c r="C479" s="47">
        <v>977</v>
      </c>
      <c r="D479" s="48" t="s">
        <v>365</v>
      </c>
    </row>
    <row r="480" spans="2:4" x14ac:dyDescent="0.15">
      <c r="B480" s="46" t="s">
        <v>2224</v>
      </c>
      <c r="C480" s="47">
        <v>978</v>
      </c>
      <c r="D480" s="48" t="s">
        <v>365</v>
      </c>
    </row>
    <row r="481" spans="2:4" x14ac:dyDescent="0.15">
      <c r="B481" s="46" t="s">
        <v>2225</v>
      </c>
      <c r="C481" s="47">
        <v>979</v>
      </c>
      <c r="D481" s="48" t="s">
        <v>365</v>
      </c>
    </row>
    <row r="482" spans="2:4" x14ac:dyDescent="0.15">
      <c r="B482" s="46" t="s">
        <v>2226</v>
      </c>
      <c r="C482" s="47">
        <v>980</v>
      </c>
      <c r="D482" s="48" t="s">
        <v>365</v>
      </c>
    </row>
    <row r="483" spans="2:4" x14ac:dyDescent="0.15">
      <c r="B483" s="46" t="s">
        <v>518</v>
      </c>
      <c r="C483" s="47">
        <v>981</v>
      </c>
      <c r="D483" s="48" t="s">
        <v>365</v>
      </c>
    </row>
    <row r="484" spans="2:4" x14ac:dyDescent="0.15">
      <c r="B484" s="46" t="s">
        <v>2227</v>
      </c>
      <c r="C484" s="47">
        <v>982</v>
      </c>
      <c r="D484" s="48" t="s">
        <v>365</v>
      </c>
    </row>
    <row r="485" spans="2:4" x14ac:dyDescent="0.15">
      <c r="B485" s="46" t="s">
        <v>2228</v>
      </c>
      <c r="C485" s="47">
        <v>983</v>
      </c>
      <c r="D485" s="48" t="s">
        <v>365</v>
      </c>
    </row>
    <row r="486" spans="2:4" x14ac:dyDescent="0.15">
      <c r="B486" s="46" t="s">
        <v>2229</v>
      </c>
      <c r="C486" s="47">
        <v>984</v>
      </c>
      <c r="D486" s="48" t="s">
        <v>365</v>
      </c>
    </row>
    <row r="487" spans="2:4" x14ac:dyDescent="0.15">
      <c r="B487" s="46" t="s">
        <v>2230</v>
      </c>
      <c r="C487" s="47">
        <v>985</v>
      </c>
      <c r="D487" s="48" t="s">
        <v>365</v>
      </c>
    </row>
    <row r="488" spans="2:4" x14ac:dyDescent="0.15">
      <c r="B488" s="46" t="s">
        <v>2231</v>
      </c>
      <c r="C488" s="47">
        <v>986</v>
      </c>
      <c r="D488" s="48" t="s">
        <v>365</v>
      </c>
    </row>
    <row r="489" spans="2:4" x14ac:dyDescent="0.15">
      <c r="B489" s="46" t="s">
        <v>2232</v>
      </c>
      <c r="C489" s="47">
        <v>987</v>
      </c>
      <c r="D489" s="48" t="s">
        <v>365</v>
      </c>
    </row>
    <row r="490" spans="2:4" x14ac:dyDescent="0.15">
      <c r="B490" s="46" t="s">
        <v>458</v>
      </c>
      <c r="C490" s="47">
        <v>988</v>
      </c>
      <c r="D490" s="48" t="s">
        <v>365</v>
      </c>
    </row>
    <row r="491" spans="2:4" x14ac:dyDescent="0.15">
      <c r="B491" s="46" t="s">
        <v>1324</v>
      </c>
      <c r="C491" s="47">
        <v>989</v>
      </c>
      <c r="D491" s="48" t="s">
        <v>365</v>
      </c>
    </row>
    <row r="492" spans="2:4" x14ac:dyDescent="0.15">
      <c r="B492" s="46" t="s">
        <v>1326</v>
      </c>
      <c r="C492" s="47">
        <v>990</v>
      </c>
      <c r="D492" s="48" t="s">
        <v>365</v>
      </c>
    </row>
    <row r="493" spans="2:4" x14ac:dyDescent="0.15">
      <c r="B493" s="46" t="s">
        <v>1328</v>
      </c>
      <c r="C493" s="47">
        <v>991</v>
      </c>
      <c r="D493" s="48" t="s">
        <v>365</v>
      </c>
    </row>
    <row r="494" spans="2:4" x14ac:dyDescent="0.15">
      <c r="B494" s="46" t="s">
        <v>1330</v>
      </c>
      <c r="C494" s="47">
        <v>992</v>
      </c>
      <c r="D494" s="48" t="s">
        <v>365</v>
      </c>
    </row>
    <row r="495" spans="2:4" x14ac:dyDescent="0.15">
      <c r="B495" s="46" t="s">
        <v>2233</v>
      </c>
      <c r="C495" s="47">
        <v>993</v>
      </c>
      <c r="D495" s="48" t="s">
        <v>365</v>
      </c>
    </row>
    <row r="496" spans="2:4" x14ac:dyDescent="0.15">
      <c r="B496" s="46" t="s">
        <v>2234</v>
      </c>
      <c r="C496" s="47">
        <v>994</v>
      </c>
      <c r="D496" s="48" t="s">
        <v>365</v>
      </c>
    </row>
    <row r="497" spans="2:4" x14ac:dyDescent="0.15">
      <c r="B497" s="46" t="s">
        <v>2235</v>
      </c>
      <c r="C497" s="47">
        <v>995</v>
      </c>
      <c r="D497" s="48" t="s">
        <v>365</v>
      </c>
    </row>
    <row r="498" spans="2:4" x14ac:dyDescent="0.15">
      <c r="B498" s="46" t="s">
        <v>2236</v>
      </c>
      <c r="C498" s="47">
        <v>996</v>
      </c>
      <c r="D498" s="48" t="s">
        <v>365</v>
      </c>
    </row>
    <row r="499" spans="2:4" x14ac:dyDescent="0.15">
      <c r="B499" s="46" t="s">
        <v>2237</v>
      </c>
      <c r="C499" s="47">
        <v>997</v>
      </c>
      <c r="D499" s="48" t="s">
        <v>365</v>
      </c>
    </row>
    <row r="500" spans="2:4" x14ac:dyDescent="0.15">
      <c r="B500" s="46" t="s">
        <v>2238</v>
      </c>
      <c r="C500" s="47">
        <v>998</v>
      </c>
      <c r="D500" s="48" t="s">
        <v>365</v>
      </c>
    </row>
    <row r="501" spans="2:4" x14ac:dyDescent="0.15">
      <c r="B501" s="46" t="s">
        <v>2239</v>
      </c>
      <c r="C501" s="47">
        <v>999</v>
      </c>
      <c r="D501" s="48" t="s">
        <v>365</v>
      </c>
    </row>
    <row r="502" spans="2:4" x14ac:dyDescent="0.15">
      <c r="B502" s="46" t="s">
        <v>1110</v>
      </c>
      <c r="C502" s="47">
        <v>1000</v>
      </c>
      <c r="D502" s="48" t="s">
        <v>365</v>
      </c>
    </row>
    <row r="503" spans="2:4" x14ac:dyDescent="0.15">
      <c r="B503" s="46" t="s">
        <v>2240</v>
      </c>
      <c r="C503" s="47">
        <v>1001</v>
      </c>
      <c r="D503" s="48" t="s">
        <v>365</v>
      </c>
    </row>
    <row r="504" spans="2:4" x14ac:dyDescent="0.15">
      <c r="B504" s="46" t="s">
        <v>2241</v>
      </c>
      <c r="C504" s="47">
        <v>1002</v>
      </c>
      <c r="D504" s="48" t="s">
        <v>365</v>
      </c>
    </row>
    <row r="505" spans="2:4" x14ac:dyDescent="0.15">
      <c r="B505" s="46" t="s">
        <v>2242</v>
      </c>
      <c r="C505" s="47">
        <v>1003</v>
      </c>
      <c r="D505" s="48" t="s">
        <v>365</v>
      </c>
    </row>
    <row r="506" spans="2:4" x14ac:dyDescent="0.15">
      <c r="B506" s="46" t="s">
        <v>2243</v>
      </c>
      <c r="C506" s="47">
        <v>1004</v>
      </c>
      <c r="D506" s="48" t="s">
        <v>365</v>
      </c>
    </row>
    <row r="507" spans="2:4" x14ac:dyDescent="0.15">
      <c r="B507" s="46" t="s">
        <v>2244</v>
      </c>
      <c r="C507" s="47">
        <v>1005</v>
      </c>
      <c r="D507" s="48" t="s">
        <v>365</v>
      </c>
    </row>
    <row r="508" spans="2:4" x14ac:dyDescent="0.15">
      <c r="B508" s="46" t="s">
        <v>2245</v>
      </c>
      <c r="C508" s="47">
        <v>1006</v>
      </c>
      <c r="D508" s="48" t="s">
        <v>365</v>
      </c>
    </row>
    <row r="509" spans="2:4" x14ac:dyDescent="0.15">
      <c r="B509" s="46" t="s">
        <v>2246</v>
      </c>
      <c r="C509" s="47">
        <v>1007</v>
      </c>
      <c r="D509" s="48" t="s">
        <v>365</v>
      </c>
    </row>
    <row r="510" spans="2:4" x14ac:dyDescent="0.15">
      <c r="B510" s="46" t="s">
        <v>2247</v>
      </c>
      <c r="C510" s="47">
        <v>1008</v>
      </c>
      <c r="D510" s="48" t="s">
        <v>365</v>
      </c>
    </row>
    <row r="511" spans="2:4" x14ac:dyDescent="0.15">
      <c r="B511" s="46" t="s">
        <v>2248</v>
      </c>
      <c r="C511" s="47">
        <v>1009</v>
      </c>
      <c r="D511" s="48" t="s">
        <v>365</v>
      </c>
    </row>
    <row r="512" spans="2:4" x14ac:dyDescent="0.15">
      <c r="B512" s="46" t="s">
        <v>2249</v>
      </c>
      <c r="C512" s="47">
        <v>1010</v>
      </c>
      <c r="D512" s="48" t="s">
        <v>365</v>
      </c>
    </row>
    <row r="513" spans="2:4" x14ac:dyDescent="0.15">
      <c r="B513" s="46" t="s">
        <v>959</v>
      </c>
      <c r="C513" s="47">
        <v>1011</v>
      </c>
      <c r="D513" s="48" t="s">
        <v>365</v>
      </c>
    </row>
    <row r="514" spans="2:4" x14ac:dyDescent="0.15">
      <c r="B514" s="46" t="s">
        <v>2250</v>
      </c>
      <c r="C514" s="47">
        <v>1012</v>
      </c>
      <c r="D514" s="48" t="s">
        <v>365</v>
      </c>
    </row>
    <row r="515" spans="2:4" x14ac:dyDescent="0.15">
      <c r="B515" s="46" t="s">
        <v>893</v>
      </c>
      <c r="C515" s="47">
        <v>1013</v>
      </c>
      <c r="D515" s="48" t="s">
        <v>365</v>
      </c>
    </row>
    <row r="516" spans="2:4" x14ac:dyDescent="0.15">
      <c r="B516" s="46" t="s">
        <v>2251</v>
      </c>
      <c r="C516" s="47">
        <v>1014</v>
      </c>
      <c r="D516" s="48" t="s">
        <v>365</v>
      </c>
    </row>
    <row r="517" spans="2:4" x14ac:dyDescent="0.15">
      <c r="B517" s="46" t="s">
        <v>2252</v>
      </c>
      <c r="C517" s="47">
        <v>1015</v>
      </c>
      <c r="D517" s="48" t="s">
        <v>365</v>
      </c>
    </row>
    <row r="518" spans="2:4" x14ac:dyDescent="0.15">
      <c r="B518" s="46" t="s">
        <v>2253</v>
      </c>
      <c r="C518" s="47">
        <v>1016</v>
      </c>
      <c r="D518" s="48" t="s">
        <v>365</v>
      </c>
    </row>
    <row r="519" spans="2:4" x14ac:dyDescent="0.15">
      <c r="B519" s="46" t="s">
        <v>910</v>
      </c>
      <c r="C519" s="47">
        <v>1017</v>
      </c>
      <c r="D519" s="48" t="s">
        <v>365</v>
      </c>
    </row>
    <row r="520" spans="2:4" x14ac:dyDescent="0.15">
      <c r="B520" s="46" t="s">
        <v>2254</v>
      </c>
      <c r="C520" s="47">
        <v>1018</v>
      </c>
      <c r="D520" s="48" t="s">
        <v>365</v>
      </c>
    </row>
    <row r="521" spans="2:4" x14ac:dyDescent="0.15">
      <c r="B521" s="46" t="s">
        <v>2255</v>
      </c>
      <c r="C521" s="47">
        <v>1019</v>
      </c>
      <c r="D521" s="48" t="s">
        <v>365</v>
      </c>
    </row>
    <row r="522" spans="2:4" x14ac:dyDescent="0.15">
      <c r="B522" s="46" t="s">
        <v>2256</v>
      </c>
      <c r="C522" s="47">
        <v>1020</v>
      </c>
      <c r="D522" s="48" t="s">
        <v>365</v>
      </c>
    </row>
    <row r="523" spans="2:4" x14ac:dyDescent="0.15">
      <c r="B523" s="46" t="s">
        <v>2257</v>
      </c>
      <c r="C523" s="47">
        <v>1021</v>
      </c>
      <c r="D523" s="48" t="s">
        <v>365</v>
      </c>
    </row>
    <row r="524" spans="2:4" x14ac:dyDescent="0.15">
      <c r="B524" s="46" t="s">
        <v>401</v>
      </c>
      <c r="C524" s="47">
        <v>1022</v>
      </c>
      <c r="D524" s="48" t="s">
        <v>365</v>
      </c>
    </row>
    <row r="525" spans="2:4" x14ac:dyDescent="0.15">
      <c r="B525" s="46" t="s">
        <v>2258</v>
      </c>
      <c r="C525" s="47">
        <v>1023</v>
      </c>
      <c r="D525" s="48" t="s">
        <v>365</v>
      </c>
    </row>
    <row r="526" spans="2:4" x14ac:dyDescent="0.15">
      <c r="B526" s="46" t="s">
        <v>2259</v>
      </c>
      <c r="C526" s="47">
        <v>1024</v>
      </c>
      <c r="D526" s="48" t="s">
        <v>365</v>
      </c>
    </row>
    <row r="527" spans="2:4" x14ac:dyDescent="0.15">
      <c r="B527" s="46" t="s">
        <v>2260</v>
      </c>
      <c r="C527" s="47">
        <v>1025</v>
      </c>
      <c r="D527" s="48" t="s">
        <v>365</v>
      </c>
    </row>
    <row r="528" spans="2:4" x14ac:dyDescent="0.15">
      <c r="B528" s="46" t="s">
        <v>2261</v>
      </c>
      <c r="C528" s="47">
        <v>1026</v>
      </c>
      <c r="D528" s="48" t="s">
        <v>365</v>
      </c>
    </row>
    <row r="529" spans="2:4" x14ac:dyDescent="0.15">
      <c r="B529" s="46" t="s">
        <v>1848</v>
      </c>
      <c r="C529" s="47">
        <v>1027</v>
      </c>
      <c r="D529" s="48" t="s">
        <v>365</v>
      </c>
    </row>
    <row r="530" spans="2:4" x14ac:dyDescent="0.15">
      <c r="B530" s="46" t="s">
        <v>2262</v>
      </c>
      <c r="C530" s="47">
        <v>1028</v>
      </c>
      <c r="D530" s="48" t="s">
        <v>365</v>
      </c>
    </row>
    <row r="531" spans="2:4" x14ac:dyDescent="0.15">
      <c r="B531" s="46" t="s">
        <v>2263</v>
      </c>
      <c r="C531" s="47">
        <v>1029</v>
      </c>
      <c r="D531" s="48" t="s">
        <v>365</v>
      </c>
    </row>
    <row r="532" spans="2:4" x14ac:dyDescent="0.15">
      <c r="B532" s="46" t="s">
        <v>2264</v>
      </c>
      <c r="C532" s="47">
        <v>1030</v>
      </c>
      <c r="D532" s="48" t="s">
        <v>365</v>
      </c>
    </row>
    <row r="533" spans="2:4" x14ac:dyDescent="0.15">
      <c r="B533" s="46" t="s">
        <v>711</v>
      </c>
      <c r="C533" s="47">
        <v>1031</v>
      </c>
      <c r="D533" s="48" t="s">
        <v>365</v>
      </c>
    </row>
    <row r="534" spans="2:4" x14ac:dyDescent="0.15">
      <c r="B534" s="46" t="s">
        <v>2265</v>
      </c>
      <c r="C534" s="47">
        <v>1032</v>
      </c>
      <c r="D534" s="48" t="s">
        <v>365</v>
      </c>
    </row>
    <row r="535" spans="2:4" x14ac:dyDescent="0.15">
      <c r="B535" s="46" t="s">
        <v>2266</v>
      </c>
      <c r="C535" s="47">
        <v>1033</v>
      </c>
      <c r="D535" s="48" t="s">
        <v>365</v>
      </c>
    </row>
    <row r="536" spans="2:4" x14ac:dyDescent="0.15">
      <c r="B536" s="46" t="s">
        <v>2267</v>
      </c>
      <c r="C536" s="47">
        <v>1034</v>
      </c>
      <c r="D536" s="48" t="s">
        <v>365</v>
      </c>
    </row>
    <row r="537" spans="2:4" x14ac:dyDescent="0.15">
      <c r="B537" s="46" t="s">
        <v>2268</v>
      </c>
      <c r="C537" s="47">
        <v>1035</v>
      </c>
      <c r="D537" s="48" t="s">
        <v>365</v>
      </c>
    </row>
    <row r="538" spans="2:4" x14ac:dyDescent="0.15">
      <c r="B538" s="46" t="s">
        <v>2269</v>
      </c>
      <c r="C538" s="47">
        <v>1036</v>
      </c>
      <c r="D538" s="48" t="s">
        <v>365</v>
      </c>
    </row>
    <row r="539" spans="2:4" x14ac:dyDescent="0.15">
      <c r="B539" s="46" t="s">
        <v>1274</v>
      </c>
      <c r="C539" s="47">
        <v>1037</v>
      </c>
      <c r="D539" s="48" t="s">
        <v>365</v>
      </c>
    </row>
    <row r="540" spans="2:4" x14ac:dyDescent="0.15">
      <c r="B540" s="46" t="s">
        <v>1282</v>
      </c>
      <c r="C540" s="47">
        <v>1038</v>
      </c>
      <c r="D540" s="48" t="s">
        <v>365</v>
      </c>
    </row>
    <row r="541" spans="2:4" x14ac:dyDescent="0.15">
      <c r="B541" s="46" t="s">
        <v>2270</v>
      </c>
      <c r="C541" s="47">
        <v>1039</v>
      </c>
      <c r="D541" s="48" t="s">
        <v>365</v>
      </c>
    </row>
    <row r="542" spans="2:4" x14ac:dyDescent="0.15">
      <c r="B542" s="46" t="s">
        <v>2271</v>
      </c>
      <c r="C542" s="47">
        <v>1040</v>
      </c>
      <c r="D542" s="48" t="s">
        <v>365</v>
      </c>
    </row>
    <row r="543" spans="2:4" x14ac:dyDescent="0.15">
      <c r="B543" s="46" t="s">
        <v>2272</v>
      </c>
      <c r="C543" s="47">
        <v>1041</v>
      </c>
      <c r="D543" s="48" t="s">
        <v>365</v>
      </c>
    </row>
    <row r="544" spans="2:4" x14ac:dyDescent="0.15">
      <c r="B544" s="46" t="s">
        <v>2273</v>
      </c>
      <c r="C544" s="47">
        <v>1042</v>
      </c>
      <c r="D544" s="48" t="s">
        <v>365</v>
      </c>
    </row>
    <row r="545" spans="2:4" x14ac:dyDescent="0.15">
      <c r="B545" s="46" t="s">
        <v>2274</v>
      </c>
      <c r="C545" s="47">
        <v>1043</v>
      </c>
      <c r="D545" s="48" t="s">
        <v>365</v>
      </c>
    </row>
    <row r="546" spans="2:4" x14ac:dyDescent="0.15">
      <c r="B546" s="46" t="s">
        <v>2275</v>
      </c>
      <c r="C546" s="47">
        <v>1044</v>
      </c>
      <c r="D546" s="48" t="s">
        <v>365</v>
      </c>
    </row>
    <row r="547" spans="2:4" x14ac:dyDescent="0.15">
      <c r="B547" s="46" t="s">
        <v>2276</v>
      </c>
      <c r="C547" s="47">
        <v>1045</v>
      </c>
      <c r="D547" s="48" t="s">
        <v>365</v>
      </c>
    </row>
    <row r="548" spans="2:4" x14ac:dyDescent="0.15">
      <c r="B548" s="46" t="s">
        <v>2277</v>
      </c>
      <c r="C548" s="47">
        <v>1046</v>
      </c>
      <c r="D548" s="48" t="s">
        <v>365</v>
      </c>
    </row>
    <row r="549" spans="2:4" x14ac:dyDescent="0.15">
      <c r="B549" s="46" t="s">
        <v>2278</v>
      </c>
      <c r="C549" s="47">
        <v>1047</v>
      </c>
      <c r="D549" s="48" t="s">
        <v>365</v>
      </c>
    </row>
    <row r="550" spans="2:4" x14ac:dyDescent="0.15">
      <c r="B550" s="46" t="s">
        <v>2279</v>
      </c>
      <c r="C550" s="47">
        <v>1048</v>
      </c>
      <c r="D550" s="48" t="s">
        <v>365</v>
      </c>
    </row>
    <row r="551" spans="2:4" x14ac:dyDescent="0.15">
      <c r="B551" s="46" t="s">
        <v>2280</v>
      </c>
      <c r="C551" s="47">
        <v>1049</v>
      </c>
      <c r="D551" s="48" t="s">
        <v>365</v>
      </c>
    </row>
    <row r="552" spans="2:4" x14ac:dyDescent="0.15">
      <c r="B552" s="46" t="s">
        <v>2281</v>
      </c>
      <c r="C552" s="47">
        <v>1050</v>
      </c>
      <c r="D552" s="48" t="s">
        <v>365</v>
      </c>
    </row>
    <row r="553" spans="2:4" x14ac:dyDescent="0.15">
      <c r="B553" s="46" t="s">
        <v>2282</v>
      </c>
      <c r="C553" s="47">
        <v>1051</v>
      </c>
      <c r="D553" s="48" t="s">
        <v>365</v>
      </c>
    </row>
    <row r="554" spans="2:4" x14ac:dyDescent="0.15">
      <c r="B554" s="46" t="s">
        <v>2283</v>
      </c>
      <c r="C554" s="47">
        <v>1052</v>
      </c>
      <c r="D554" s="48" t="s">
        <v>365</v>
      </c>
    </row>
    <row r="555" spans="2:4" x14ac:dyDescent="0.15">
      <c r="B555" s="46" t="s">
        <v>2284</v>
      </c>
      <c r="C555" s="47">
        <v>1053</v>
      </c>
      <c r="D555" s="48" t="s">
        <v>365</v>
      </c>
    </row>
    <row r="556" spans="2:4" x14ac:dyDescent="0.15">
      <c r="B556" s="46" t="s">
        <v>2285</v>
      </c>
      <c r="C556" s="47">
        <v>1054</v>
      </c>
      <c r="D556" s="48" t="s">
        <v>365</v>
      </c>
    </row>
    <row r="557" spans="2:4" x14ac:dyDescent="0.15">
      <c r="B557" s="46" t="s">
        <v>544</v>
      </c>
      <c r="C557" s="47">
        <v>1055</v>
      </c>
      <c r="D557" s="48" t="s">
        <v>365</v>
      </c>
    </row>
    <row r="558" spans="2:4" x14ac:dyDescent="0.15">
      <c r="B558" s="46" t="s">
        <v>2286</v>
      </c>
      <c r="C558" s="47">
        <v>1056</v>
      </c>
      <c r="D558" s="48" t="s">
        <v>365</v>
      </c>
    </row>
    <row r="559" spans="2:4" x14ac:dyDescent="0.15">
      <c r="B559" s="46" t="s">
        <v>877</v>
      </c>
      <c r="C559" s="47">
        <v>1057</v>
      </c>
      <c r="D559" s="48" t="s">
        <v>365</v>
      </c>
    </row>
    <row r="560" spans="2:4" x14ac:dyDescent="0.15">
      <c r="B560" s="46" t="s">
        <v>2287</v>
      </c>
      <c r="C560" s="47">
        <v>1058</v>
      </c>
      <c r="D560" s="48" t="s">
        <v>365</v>
      </c>
    </row>
    <row r="561" spans="2:4" x14ac:dyDescent="0.15">
      <c r="B561" s="46" t="s">
        <v>2288</v>
      </c>
      <c r="C561" s="47">
        <v>1059</v>
      </c>
      <c r="D561" s="48" t="s">
        <v>365</v>
      </c>
    </row>
    <row r="562" spans="2:4" x14ac:dyDescent="0.15">
      <c r="B562" s="46" t="s">
        <v>1697</v>
      </c>
      <c r="C562" s="47">
        <v>1060</v>
      </c>
      <c r="D562" s="48" t="s">
        <v>365</v>
      </c>
    </row>
    <row r="563" spans="2:4" x14ac:dyDescent="0.15">
      <c r="B563" s="46" t="s">
        <v>787</v>
      </c>
      <c r="C563" s="47">
        <v>1061</v>
      </c>
      <c r="D563" s="48" t="s">
        <v>365</v>
      </c>
    </row>
    <row r="564" spans="2:4" x14ac:dyDescent="0.15">
      <c r="B564" s="46" t="s">
        <v>2289</v>
      </c>
      <c r="C564" s="47">
        <v>1062</v>
      </c>
      <c r="D564" s="48" t="s">
        <v>365</v>
      </c>
    </row>
    <row r="565" spans="2:4" x14ac:dyDescent="0.15">
      <c r="B565" s="46" t="s">
        <v>2290</v>
      </c>
      <c r="C565" s="47">
        <v>1063</v>
      </c>
      <c r="D565" s="48" t="s">
        <v>365</v>
      </c>
    </row>
    <row r="566" spans="2:4" x14ac:dyDescent="0.15">
      <c r="B566" s="46" t="s">
        <v>2291</v>
      </c>
      <c r="C566" s="47">
        <v>1064</v>
      </c>
      <c r="D566" s="48" t="s">
        <v>365</v>
      </c>
    </row>
    <row r="567" spans="2:4" x14ac:dyDescent="0.15">
      <c r="B567" s="46" t="s">
        <v>2292</v>
      </c>
      <c r="C567" s="47">
        <v>1065</v>
      </c>
      <c r="D567" s="48" t="s">
        <v>365</v>
      </c>
    </row>
    <row r="568" spans="2:4" x14ac:dyDescent="0.15">
      <c r="B568" s="46" t="s">
        <v>2293</v>
      </c>
      <c r="C568" s="47">
        <v>1066</v>
      </c>
      <c r="D568" s="48" t="s">
        <v>365</v>
      </c>
    </row>
    <row r="569" spans="2:4" x14ac:dyDescent="0.15">
      <c r="B569" s="46" t="s">
        <v>2294</v>
      </c>
      <c r="C569" s="47">
        <v>1067</v>
      </c>
      <c r="D569" s="48" t="s">
        <v>365</v>
      </c>
    </row>
    <row r="570" spans="2:4" x14ac:dyDescent="0.15">
      <c r="B570" s="46" t="s">
        <v>2295</v>
      </c>
      <c r="C570" s="47">
        <v>1068</v>
      </c>
      <c r="D570" s="48" t="s">
        <v>365</v>
      </c>
    </row>
    <row r="571" spans="2:4" x14ac:dyDescent="0.15">
      <c r="B571" s="46" t="s">
        <v>2296</v>
      </c>
      <c r="C571" s="47">
        <v>1069</v>
      </c>
      <c r="D571" s="48" t="s">
        <v>365</v>
      </c>
    </row>
    <row r="572" spans="2:4" x14ac:dyDescent="0.15">
      <c r="B572" s="46" t="s">
        <v>2297</v>
      </c>
      <c r="C572" s="47">
        <v>1070</v>
      </c>
      <c r="D572" s="48" t="s">
        <v>365</v>
      </c>
    </row>
    <row r="573" spans="2:4" x14ac:dyDescent="0.15">
      <c r="B573" s="46" t="s">
        <v>2298</v>
      </c>
      <c r="C573" s="47">
        <v>1071</v>
      </c>
      <c r="D573" s="48" t="s">
        <v>365</v>
      </c>
    </row>
    <row r="574" spans="2:4" x14ac:dyDescent="0.15">
      <c r="B574" s="46" t="s">
        <v>2299</v>
      </c>
      <c r="C574" s="47">
        <v>1072</v>
      </c>
      <c r="D574" s="48" t="s">
        <v>365</v>
      </c>
    </row>
    <row r="575" spans="2:4" x14ac:dyDescent="0.15">
      <c r="B575" s="46" t="s">
        <v>2300</v>
      </c>
      <c r="C575" s="47">
        <v>1073</v>
      </c>
      <c r="D575" s="48" t="s">
        <v>365</v>
      </c>
    </row>
    <row r="576" spans="2:4" x14ac:dyDescent="0.15">
      <c r="B576" s="46" t="s">
        <v>2301</v>
      </c>
      <c r="C576" s="47">
        <v>1074</v>
      </c>
      <c r="D576" s="48" t="s">
        <v>365</v>
      </c>
    </row>
    <row r="577" spans="2:4" x14ac:dyDescent="0.15">
      <c r="B577" s="46" t="s">
        <v>1305</v>
      </c>
      <c r="C577" s="47">
        <v>1075</v>
      </c>
      <c r="D577" s="48" t="s">
        <v>365</v>
      </c>
    </row>
    <row r="578" spans="2:4" x14ac:dyDescent="0.15">
      <c r="B578" s="46" t="s">
        <v>1307</v>
      </c>
      <c r="C578" s="47">
        <v>1076</v>
      </c>
      <c r="D578" s="48" t="s">
        <v>365</v>
      </c>
    </row>
    <row r="579" spans="2:4" x14ac:dyDescent="0.15">
      <c r="B579" s="46" t="s">
        <v>1146</v>
      </c>
      <c r="C579" s="47">
        <v>1077</v>
      </c>
      <c r="D579" s="48" t="s">
        <v>365</v>
      </c>
    </row>
    <row r="580" spans="2:4" x14ac:dyDescent="0.15">
      <c r="B580" s="46" t="s">
        <v>2302</v>
      </c>
      <c r="C580" s="47">
        <v>1078</v>
      </c>
      <c r="D580" s="48" t="s">
        <v>365</v>
      </c>
    </row>
    <row r="581" spans="2:4" x14ac:dyDescent="0.15">
      <c r="B581" s="46" t="s">
        <v>775</v>
      </c>
      <c r="C581" s="47">
        <v>1079</v>
      </c>
      <c r="D581" s="48" t="s">
        <v>365</v>
      </c>
    </row>
    <row r="582" spans="2:4" x14ac:dyDescent="0.15">
      <c r="B582" s="46" t="s">
        <v>1062</v>
      </c>
      <c r="C582" s="47">
        <v>1080</v>
      </c>
      <c r="D582" s="48" t="s">
        <v>365</v>
      </c>
    </row>
    <row r="583" spans="2:4" x14ac:dyDescent="0.15">
      <c r="B583" s="46" t="s">
        <v>2303</v>
      </c>
      <c r="C583" s="47">
        <v>1081</v>
      </c>
      <c r="D583" s="48" t="s">
        <v>365</v>
      </c>
    </row>
    <row r="584" spans="2:4" x14ac:dyDescent="0.15">
      <c r="B584" s="46" t="s">
        <v>2304</v>
      </c>
      <c r="C584" s="47">
        <v>1082</v>
      </c>
      <c r="D584" s="48" t="s">
        <v>365</v>
      </c>
    </row>
    <row r="585" spans="2:4" x14ac:dyDescent="0.15">
      <c r="B585" s="46" t="s">
        <v>1531</v>
      </c>
      <c r="C585" s="47">
        <v>1083</v>
      </c>
      <c r="D585" s="48" t="s">
        <v>365</v>
      </c>
    </row>
    <row r="586" spans="2:4" x14ac:dyDescent="0.15">
      <c r="B586" s="46" t="s">
        <v>2305</v>
      </c>
      <c r="C586" s="47">
        <v>1084</v>
      </c>
      <c r="D586" s="48" t="s">
        <v>365</v>
      </c>
    </row>
    <row r="587" spans="2:4" x14ac:dyDescent="0.15">
      <c r="B587" s="46" t="s">
        <v>2306</v>
      </c>
      <c r="C587" s="47">
        <v>1085</v>
      </c>
      <c r="D587" s="48" t="s">
        <v>365</v>
      </c>
    </row>
    <row r="588" spans="2:4" x14ac:dyDescent="0.15">
      <c r="B588" s="46" t="s">
        <v>2307</v>
      </c>
      <c r="C588" s="47">
        <v>1086</v>
      </c>
      <c r="D588" s="48" t="s">
        <v>365</v>
      </c>
    </row>
    <row r="589" spans="2:4" x14ac:dyDescent="0.15">
      <c r="B589" s="46" t="s">
        <v>2308</v>
      </c>
      <c r="C589" s="47">
        <v>1087</v>
      </c>
      <c r="D589" s="48" t="s">
        <v>365</v>
      </c>
    </row>
    <row r="590" spans="2:4" x14ac:dyDescent="0.15">
      <c r="B590" s="46" t="s">
        <v>2309</v>
      </c>
      <c r="C590" s="47">
        <v>1088</v>
      </c>
      <c r="D590" s="48" t="s">
        <v>365</v>
      </c>
    </row>
    <row r="591" spans="2:4" x14ac:dyDescent="0.15">
      <c r="B591" s="46" t="s">
        <v>2310</v>
      </c>
      <c r="C591" s="47">
        <v>1089</v>
      </c>
      <c r="D591" s="48" t="s">
        <v>365</v>
      </c>
    </row>
    <row r="592" spans="2:4" x14ac:dyDescent="0.15">
      <c r="B592" s="46" t="s">
        <v>2311</v>
      </c>
      <c r="C592" s="47">
        <v>1090</v>
      </c>
      <c r="D592" s="48" t="s">
        <v>365</v>
      </c>
    </row>
    <row r="593" spans="2:4" x14ac:dyDescent="0.15">
      <c r="B593" s="46" t="s">
        <v>2312</v>
      </c>
      <c r="C593" s="47">
        <v>1091</v>
      </c>
      <c r="D593" s="48" t="s">
        <v>365</v>
      </c>
    </row>
    <row r="594" spans="2:4" x14ac:dyDescent="0.15">
      <c r="B594" s="46" t="s">
        <v>2313</v>
      </c>
      <c r="C594" s="47">
        <v>1092</v>
      </c>
      <c r="D594" s="48" t="s">
        <v>365</v>
      </c>
    </row>
    <row r="595" spans="2:4" x14ac:dyDescent="0.15">
      <c r="B595" s="46" t="s">
        <v>2314</v>
      </c>
      <c r="C595" s="47">
        <v>1093</v>
      </c>
      <c r="D595" s="48" t="s">
        <v>365</v>
      </c>
    </row>
    <row r="596" spans="2:4" x14ac:dyDescent="0.15">
      <c r="B596" s="46" t="s">
        <v>2315</v>
      </c>
      <c r="C596" s="47">
        <v>1094</v>
      </c>
      <c r="D596" s="48" t="s">
        <v>365</v>
      </c>
    </row>
    <row r="597" spans="2:4" x14ac:dyDescent="0.15">
      <c r="B597" s="46" t="s">
        <v>2316</v>
      </c>
      <c r="C597" s="47">
        <v>1095</v>
      </c>
      <c r="D597" s="48" t="s">
        <v>365</v>
      </c>
    </row>
    <row r="598" spans="2:4" x14ac:dyDescent="0.15">
      <c r="B598" s="46" t="s">
        <v>2317</v>
      </c>
      <c r="C598" s="47">
        <v>1096</v>
      </c>
      <c r="D598" s="48" t="s">
        <v>365</v>
      </c>
    </row>
    <row r="599" spans="2:4" x14ac:dyDescent="0.15">
      <c r="B599" s="46" t="s">
        <v>2318</v>
      </c>
      <c r="C599" s="47">
        <v>1097</v>
      </c>
      <c r="D599" s="48" t="s">
        <v>365</v>
      </c>
    </row>
    <row r="600" spans="2:4" x14ac:dyDescent="0.15">
      <c r="B600" s="46" t="s">
        <v>860</v>
      </c>
      <c r="C600" s="47">
        <v>1098</v>
      </c>
      <c r="D600" s="48" t="s">
        <v>365</v>
      </c>
    </row>
    <row r="601" spans="2:4" x14ac:dyDescent="0.15">
      <c r="B601" s="46" t="s">
        <v>2319</v>
      </c>
      <c r="C601" s="47">
        <v>1099</v>
      </c>
      <c r="D601" s="48" t="s">
        <v>365</v>
      </c>
    </row>
    <row r="602" spans="2:4" x14ac:dyDescent="0.15">
      <c r="B602" s="46" t="s">
        <v>2320</v>
      </c>
      <c r="C602" s="47">
        <v>1100</v>
      </c>
      <c r="D602" s="48" t="s">
        <v>365</v>
      </c>
    </row>
    <row r="603" spans="2:4" x14ac:dyDescent="0.15">
      <c r="B603" s="46" t="s">
        <v>2321</v>
      </c>
      <c r="C603" s="47">
        <v>1101</v>
      </c>
      <c r="D603" s="48" t="s">
        <v>365</v>
      </c>
    </row>
    <row r="604" spans="2:4" x14ac:dyDescent="0.15">
      <c r="B604" s="46" t="s">
        <v>2322</v>
      </c>
      <c r="C604" s="47">
        <v>1102</v>
      </c>
      <c r="D604" s="48" t="s">
        <v>365</v>
      </c>
    </row>
    <row r="605" spans="2:4" x14ac:dyDescent="0.15">
      <c r="B605" s="46" t="s">
        <v>2323</v>
      </c>
      <c r="C605" s="47">
        <v>1103</v>
      </c>
      <c r="D605" s="48" t="s">
        <v>365</v>
      </c>
    </row>
    <row r="606" spans="2:4" x14ac:dyDescent="0.15">
      <c r="B606" s="46" t="s">
        <v>2324</v>
      </c>
      <c r="C606" s="47">
        <v>1104</v>
      </c>
      <c r="D606" s="48" t="s">
        <v>365</v>
      </c>
    </row>
    <row r="607" spans="2:4" x14ac:dyDescent="0.15">
      <c r="B607" s="46" t="s">
        <v>2325</v>
      </c>
      <c r="C607" s="47">
        <v>1105</v>
      </c>
      <c r="D607" s="48" t="s">
        <v>365</v>
      </c>
    </row>
    <row r="608" spans="2:4" x14ac:dyDescent="0.15">
      <c r="B608" s="46" t="s">
        <v>2326</v>
      </c>
      <c r="C608" s="47">
        <v>1106</v>
      </c>
      <c r="D608" s="48" t="s">
        <v>365</v>
      </c>
    </row>
    <row r="609" spans="2:4" x14ac:dyDescent="0.15">
      <c r="B609" s="46" t="s">
        <v>2327</v>
      </c>
      <c r="C609" s="47">
        <v>1107</v>
      </c>
      <c r="D609" s="48" t="s">
        <v>365</v>
      </c>
    </row>
    <row r="610" spans="2:4" x14ac:dyDescent="0.15">
      <c r="B610" s="46" t="s">
        <v>2328</v>
      </c>
      <c r="C610" s="47">
        <v>1108</v>
      </c>
      <c r="D610" s="48" t="s">
        <v>365</v>
      </c>
    </row>
    <row r="611" spans="2:4" x14ac:dyDescent="0.15">
      <c r="B611" s="46" t="s">
        <v>1172</v>
      </c>
      <c r="C611" s="47">
        <v>1109</v>
      </c>
      <c r="D611" s="48" t="s">
        <v>365</v>
      </c>
    </row>
    <row r="612" spans="2:4" x14ac:dyDescent="0.15">
      <c r="B612" s="46" t="s">
        <v>2329</v>
      </c>
      <c r="C612" s="47">
        <v>1110</v>
      </c>
      <c r="D612" s="48" t="s">
        <v>365</v>
      </c>
    </row>
    <row r="613" spans="2:4" x14ac:dyDescent="0.15">
      <c r="B613" s="46" t="s">
        <v>2330</v>
      </c>
      <c r="C613" s="47">
        <v>1111</v>
      </c>
      <c r="D613" s="48" t="s">
        <v>365</v>
      </c>
    </row>
    <row r="614" spans="2:4" x14ac:dyDescent="0.15">
      <c r="B614" s="46" t="s">
        <v>2331</v>
      </c>
      <c r="C614" s="47">
        <v>1112</v>
      </c>
      <c r="D614" s="48" t="s">
        <v>365</v>
      </c>
    </row>
    <row r="615" spans="2:4" x14ac:dyDescent="0.15">
      <c r="B615" s="46" t="s">
        <v>2332</v>
      </c>
      <c r="C615" s="47">
        <v>1113</v>
      </c>
      <c r="D615" s="48" t="s">
        <v>365</v>
      </c>
    </row>
    <row r="616" spans="2:4" x14ac:dyDescent="0.15">
      <c r="B616" s="46" t="s">
        <v>2333</v>
      </c>
      <c r="C616" s="47">
        <v>1114</v>
      </c>
      <c r="D616" s="48" t="s">
        <v>365</v>
      </c>
    </row>
    <row r="617" spans="2:4" x14ac:dyDescent="0.15">
      <c r="B617" s="46" t="s">
        <v>2334</v>
      </c>
      <c r="C617" s="47">
        <v>1115</v>
      </c>
      <c r="D617" s="48" t="s">
        <v>365</v>
      </c>
    </row>
    <row r="618" spans="2:4" x14ac:dyDescent="0.15">
      <c r="B618" s="46" t="s">
        <v>2335</v>
      </c>
      <c r="C618" s="47">
        <v>1116</v>
      </c>
      <c r="D618" s="48" t="s">
        <v>365</v>
      </c>
    </row>
    <row r="619" spans="2:4" x14ac:dyDescent="0.15">
      <c r="B619" s="46" t="s">
        <v>2336</v>
      </c>
      <c r="C619" s="47">
        <v>1117</v>
      </c>
      <c r="D619" s="48" t="s">
        <v>365</v>
      </c>
    </row>
    <row r="620" spans="2:4" x14ac:dyDescent="0.15">
      <c r="B620" s="46" t="s">
        <v>2337</v>
      </c>
      <c r="C620" s="47">
        <v>1118</v>
      </c>
      <c r="D620" s="48" t="s">
        <v>365</v>
      </c>
    </row>
    <row r="621" spans="2:4" x14ac:dyDescent="0.15">
      <c r="B621" s="46" t="s">
        <v>2338</v>
      </c>
      <c r="C621" s="47">
        <v>1119</v>
      </c>
      <c r="D621" s="48" t="s">
        <v>365</v>
      </c>
    </row>
    <row r="622" spans="2:4" x14ac:dyDescent="0.15">
      <c r="B622" s="46" t="s">
        <v>2339</v>
      </c>
      <c r="C622" s="47">
        <v>1120</v>
      </c>
      <c r="D622" s="48" t="s">
        <v>365</v>
      </c>
    </row>
    <row r="623" spans="2:4" x14ac:dyDescent="0.15">
      <c r="B623" s="46" t="s">
        <v>2340</v>
      </c>
      <c r="C623" s="47">
        <v>1121</v>
      </c>
      <c r="D623" s="48" t="s">
        <v>365</v>
      </c>
    </row>
    <row r="624" spans="2:4" x14ac:dyDescent="0.15">
      <c r="B624" s="46" t="s">
        <v>2341</v>
      </c>
      <c r="C624" s="47">
        <v>1122</v>
      </c>
      <c r="D624" s="48" t="s">
        <v>365</v>
      </c>
    </row>
    <row r="625" spans="2:4" x14ac:dyDescent="0.15">
      <c r="B625" s="46" t="s">
        <v>2342</v>
      </c>
      <c r="C625" s="47">
        <v>1123</v>
      </c>
      <c r="D625" s="48" t="s">
        <v>365</v>
      </c>
    </row>
    <row r="626" spans="2:4" x14ac:dyDescent="0.15">
      <c r="B626" s="46" t="s">
        <v>2343</v>
      </c>
      <c r="C626" s="47">
        <v>1124</v>
      </c>
      <c r="D626" s="48" t="s">
        <v>365</v>
      </c>
    </row>
    <row r="627" spans="2:4" x14ac:dyDescent="0.15">
      <c r="B627" s="46" t="s">
        <v>2344</v>
      </c>
      <c r="C627" s="47">
        <v>1125</v>
      </c>
      <c r="D627" s="48" t="s">
        <v>365</v>
      </c>
    </row>
    <row r="628" spans="2:4" x14ac:dyDescent="0.15">
      <c r="B628" s="46" t="s">
        <v>2345</v>
      </c>
      <c r="C628" s="47">
        <v>1126</v>
      </c>
      <c r="D628" s="48" t="s">
        <v>365</v>
      </c>
    </row>
    <row r="629" spans="2:4" x14ac:dyDescent="0.15">
      <c r="B629" s="46" t="s">
        <v>2346</v>
      </c>
      <c r="C629" s="47">
        <v>1127</v>
      </c>
      <c r="D629" s="48" t="s">
        <v>365</v>
      </c>
    </row>
    <row r="630" spans="2:4" x14ac:dyDescent="0.15">
      <c r="B630" s="46" t="s">
        <v>2347</v>
      </c>
      <c r="C630" s="47">
        <v>1128</v>
      </c>
      <c r="D630" s="48" t="s">
        <v>365</v>
      </c>
    </row>
    <row r="631" spans="2:4" x14ac:dyDescent="0.15">
      <c r="B631" s="46" t="s">
        <v>2348</v>
      </c>
      <c r="C631" s="47">
        <v>1129</v>
      </c>
      <c r="D631" s="48" t="s">
        <v>365</v>
      </c>
    </row>
    <row r="632" spans="2:4" x14ac:dyDescent="0.15">
      <c r="B632" s="46" t="s">
        <v>2349</v>
      </c>
      <c r="C632" s="47">
        <v>1130</v>
      </c>
      <c r="D632" s="48" t="s">
        <v>365</v>
      </c>
    </row>
    <row r="633" spans="2:4" x14ac:dyDescent="0.15">
      <c r="B633" s="46" t="s">
        <v>2350</v>
      </c>
      <c r="C633" s="47">
        <v>1131</v>
      </c>
      <c r="D633" s="48" t="s">
        <v>365</v>
      </c>
    </row>
    <row r="634" spans="2:4" x14ac:dyDescent="0.15">
      <c r="B634" s="46" t="s">
        <v>2351</v>
      </c>
      <c r="C634" s="47">
        <v>1132</v>
      </c>
      <c r="D634" s="48" t="s">
        <v>365</v>
      </c>
    </row>
    <row r="635" spans="2:4" x14ac:dyDescent="0.15">
      <c r="B635" s="46" t="s">
        <v>2352</v>
      </c>
      <c r="C635" s="47">
        <v>1133</v>
      </c>
      <c r="D635" s="48" t="s">
        <v>365</v>
      </c>
    </row>
    <row r="636" spans="2:4" x14ac:dyDescent="0.15">
      <c r="B636" s="46" t="s">
        <v>2353</v>
      </c>
      <c r="C636" s="47">
        <v>1134</v>
      </c>
      <c r="D636" s="48" t="s">
        <v>365</v>
      </c>
    </row>
    <row r="637" spans="2:4" x14ac:dyDescent="0.15">
      <c r="B637" s="46" t="s">
        <v>2354</v>
      </c>
      <c r="C637" s="47">
        <v>1135</v>
      </c>
      <c r="D637" s="48" t="s">
        <v>365</v>
      </c>
    </row>
    <row r="638" spans="2:4" x14ac:dyDescent="0.15">
      <c r="B638" s="46" t="s">
        <v>2355</v>
      </c>
      <c r="C638" s="47">
        <v>1136</v>
      </c>
      <c r="D638" s="48" t="s">
        <v>365</v>
      </c>
    </row>
    <row r="639" spans="2:4" x14ac:dyDescent="0.15">
      <c r="B639" s="46" t="s">
        <v>366</v>
      </c>
      <c r="C639" s="47">
        <v>1137</v>
      </c>
      <c r="D639" s="48" t="s">
        <v>365</v>
      </c>
    </row>
    <row r="640" spans="2:4" x14ac:dyDescent="0.15">
      <c r="B640" s="46" t="s">
        <v>2356</v>
      </c>
      <c r="C640" s="47">
        <v>1138</v>
      </c>
      <c r="D640" s="48" t="s">
        <v>365</v>
      </c>
    </row>
    <row r="641" spans="2:4" x14ac:dyDescent="0.15">
      <c r="B641" s="46" t="s">
        <v>2357</v>
      </c>
      <c r="C641" s="47">
        <v>1139</v>
      </c>
      <c r="D641" s="48" t="s">
        <v>365</v>
      </c>
    </row>
    <row r="642" spans="2:4" x14ac:dyDescent="0.15">
      <c r="B642" s="46" t="s">
        <v>1888</v>
      </c>
      <c r="C642" s="47">
        <v>1140</v>
      </c>
      <c r="D642" s="48" t="s">
        <v>365</v>
      </c>
    </row>
    <row r="643" spans="2:4" x14ac:dyDescent="0.15">
      <c r="B643" s="46" t="s">
        <v>2358</v>
      </c>
      <c r="C643" s="47">
        <v>1141</v>
      </c>
      <c r="D643" s="48" t="s">
        <v>365</v>
      </c>
    </row>
    <row r="644" spans="2:4" x14ac:dyDescent="0.15">
      <c r="B644" s="46" t="s">
        <v>2359</v>
      </c>
      <c r="C644" s="47">
        <v>1142</v>
      </c>
      <c r="D644" s="48" t="s">
        <v>365</v>
      </c>
    </row>
    <row r="645" spans="2:4" x14ac:dyDescent="0.15">
      <c r="B645" s="46" t="s">
        <v>2360</v>
      </c>
      <c r="C645" s="47">
        <v>1143</v>
      </c>
      <c r="D645" s="48" t="s">
        <v>365</v>
      </c>
    </row>
    <row r="646" spans="2:4" x14ac:dyDescent="0.15">
      <c r="B646" s="46" t="s">
        <v>2361</v>
      </c>
      <c r="C646" s="47">
        <v>1144</v>
      </c>
      <c r="D646" s="48" t="s">
        <v>365</v>
      </c>
    </row>
    <row r="647" spans="2:4" x14ac:dyDescent="0.15">
      <c r="B647" s="46" t="s">
        <v>2362</v>
      </c>
      <c r="C647" s="47">
        <v>1145</v>
      </c>
      <c r="D647" s="48" t="s">
        <v>365</v>
      </c>
    </row>
    <row r="648" spans="2:4" x14ac:dyDescent="0.15">
      <c r="B648" s="46" t="s">
        <v>2363</v>
      </c>
      <c r="C648" s="47">
        <v>1146</v>
      </c>
      <c r="D648" s="48" t="s">
        <v>365</v>
      </c>
    </row>
    <row r="649" spans="2:4" x14ac:dyDescent="0.15">
      <c r="B649" s="46" t="s">
        <v>2364</v>
      </c>
      <c r="C649" s="47">
        <v>1147</v>
      </c>
      <c r="D649" s="48" t="s">
        <v>365</v>
      </c>
    </row>
    <row r="650" spans="2:4" x14ac:dyDescent="0.15">
      <c r="B650" s="46" t="s">
        <v>2365</v>
      </c>
      <c r="C650" s="47">
        <v>1148</v>
      </c>
      <c r="D650" s="48" t="s">
        <v>365</v>
      </c>
    </row>
    <row r="651" spans="2:4" x14ac:dyDescent="0.15">
      <c r="B651" s="46" t="s">
        <v>2366</v>
      </c>
      <c r="C651" s="47">
        <v>1149</v>
      </c>
      <c r="D651" s="48" t="s">
        <v>365</v>
      </c>
    </row>
    <row r="652" spans="2:4" x14ac:dyDescent="0.15">
      <c r="B652" s="46" t="s">
        <v>2367</v>
      </c>
      <c r="C652" s="47">
        <v>1150</v>
      </c>
      <c r="D652" s="48" t="s">
        <v>365</v>
      </c>
    </row>
    <row r="653" spans="2:4" x14ac:dyDescent="0.15">
      <c r="B653" s="46" t="s">
        <v>2368</v>
      </c>
      <c r="C653" s="47">
        <v>1151</v>
      </c>
      <c r="D653" s="48" t="s">
        <v>365</v>
      </c>
    </row>
    <row r="654" spans="2:4" x14ac:dyDescent="0.15">
      <c r="B654" s="46" t="s">
        <v>2369</v>
      </c>
      <c r="C654" s="47">
        <v>1152</v>
      </c>
      <c r="D654" s="48" t="s">
        <v>365</v>
      </c>
    </row>
    <row r="655" spans="2:4" x14ac:dyDescent="0.15">
      <c r="B655" s="46" t="s">
        <v>2370</v>
      </c>
      <c r="C655" s="47">
        <v>1153</v>
      </c>
      <c r="D655" s="48" t="s">
        <v>365</v>
      </c>
    </row>
    <row r="656" spans="2:4" x14ac:dyDescent="0.15">
      <c r="B656" s="46" t="s">
        <v>2371</v>
      </c>
      <c r="C656" s="47">
        <v>1154</v>
      </c>
      <c r="D656" s="48" t="s">
        <v>365</v>
      </c>
    </row>
    <row r="657" spans="2:4" x14ac:dyDescent="0.15">
      <c r="B657" s="46" t="s">
        <v>2372</v>
      </c>
      <c r="C657" s="47">
        <v>1155</v>
      </c>
      <c r="D657" s="48" t="s">
        <v>365</v>
      </c>
    </row>
    <row r="658" spans="2:4" x14ac:dyDescent="0.15">
      <c r="B658" s="46" t="s">
        <v>2373</v>
      </c>
      <c r="C658" s="47">
        <v>1156</v>
      </c>
      <c r="D658" s="48" t="s">
        <v>365</v>
      </c>
    </row>
    <row r="659" spans="2:4" x14ac:dyDescent="0.15">
      <c r="B659" s="46" t="s">
        <v>2374</v>
      </c>
      <c r="C659" s="47">
        <v>1157</v>
      </c>
      <c r="D659" s="48" t="s">
        <v>365</v>
      </c>
    </row>
    <row r="660" spans="2:4" x14ac:dyDescent="0.15">
      <c r="B660" s="46" t="s">
        <v>2375</v>
      </c>
      <c r="C660" s="47">
        <v>1158</v>
      </c>
      <c r="D660" s="48" t="s">
        <v>365</v>
      </c>
    </row>
    <row r="661" spans="2:4" x14ac:dyDescent="0.15">
      <c r="B661" s="46" t="s">
        <v>653</v>
      </c>
      <c r="C661" s="47">
        <v>1159</v>
      </c>
      <c r="D661" s="48" t="s">
        <v>365</v>
      </c>
    </row>
    <row r="662" spans="2:4" x14ac:dyDescent="0.15">
      <c r="B662" s="46" t="s">
        <v>1497</v>
      </c>
      <c r="C662" s="47">
        <v>1160</v>
      </c>
      <c r="D662" s="48" t="s">
        <v>365</v>
      </c>
    </row>
    <row r="663" spans="2:4" x14ac:dyDescent="0.15">
      <c r="B663" s="46" t="s">
        <v>2376</v>
      </c>
      <c r="C663" s="47">
        <v>1161</v>
      </c>
      <c r="D663" s="48" t="s">
        <v>365</v>
      </c>
    </row>
    <row r="664" spans="2:4" x14ac:dyDescent="0.15">
      <c r="B664" s="46" t="s">
        <v>2377</v>
      </c>
      <c r="C664" s="47">
        <v>1162</v>
      </c>
      <c r="D664" s="48" t="s">
        <v>365</v>
      </c>
    </row>
    <row r="665" spans="2:4" x14ac:dyDescent="0.15">
      <c r="B665" s="46" t="s">
        <v>2378</v>
      </c>
      <c r="C665" s="47">
        <v>1163</v>
      </c>
      <c r="D665" s="48" t="s">
        <v>365</v>
      </c>
    </row>
    <row r="666" spans="2:4" x14ac:dyDescent="0.15">
      <c r="B666" s="46" t="s">
        <v>2379</v>
      </c>
      <c r="C666" s="47">
        <v>1164</v>
      </c>
      <c r="D666" s="48" t="s">
        <v>365</v>
      </c>
    </row>
    <row r="667" spans="2:4" x14ac:dyDescent="0.15">
      <c r="B667" s="46" t="s">
        <v>2380</v>
      </c>
      <c r="C667" s="47">
        <v>1165</v>
      </c>
      <c r="D667" s="48" t="s">
        <v>365</v>
      </c>
    </row>
    <row r="668" spans="2:4" x14ac:dyDescent="0.15">
      <c r="B668" s="46" t="s">
        <v>2381</v>
      </c>
      <c r="C668" s="47">
        <v>1166</v>
      </c>
      <c r="D668" s="48" t="s">
        <v>365</v>
      </c>
    </row>
    <row r="669" spans="2:4" x14ac:dyDescent="0.15">
      <c r="B669" s="46" t="s">
        <v>2382</v>
      </c>
      <c r="C669" s="47">
        <v>1167</v>
      </c>
      <c r="D669" s="48" t="s">
        <v>365</v>
      </c>
    </row>
    <row r="670" spans="2:4" x14ac:dyDescent="0.15">
      <c r="B670" s="46" t="s">
        <v>2383</v>
      </c>
      <c r="C670" s="47">
        <v>1168</v>
      </c>
      <c r="D670" s="48" t="s">
        <v>365</v>
      </c>
    </row>
    <row r="671" spans="2:4" x14ac:dyDescent="0.15">
      <c r="B671" s="46" t="s">
        <v>1585</v>
      </c>
      <c r="C671" s="47">
        <v>1169</v>
      </c>
      <c r="D671" s="48" t="s">
        <v>365</v>
      </c>
    </row>
    <row r="672" spans="2:4" x14ac:dyDescent="0.15">
      <c r="B672" s="46" t="s">
        <v>2384</v>
      </c>
      <c r="C672" s="47">
        <v>1170</v>
      </c>
      <c r="D672" s="48" t="s">
        <v>365</v>
      </c>
    </row>
    <row r="673" spans="2:4" x14ac:dyDescent="0.15">
      <c r="B673" s="46" t="s">
        <v>2385</v>
      </c>
      <c r="C673" s="47">
        <v>1171</v>
      </c>
      <c r="D673" s="48" t="s">
        <v>365</v>
      </c>
    </row>
    <row r="674" spans="2:4" x14ac:dyDescent="0.15">
      <c r="B674" s="46" t="s">
        <v>2386</v>
      </c>
      <c r="C674" s="47">
        <v>1172</v>
      </c>
      <c r="D674" s="48" t="s">
        <v>365</v>
      </c>
    </row>
    <row r="675" spans="2:4" x14ac:dyDescent="0.15">
      <c r="B675" s="46" t="s">
        <v>1028</v>
      </c>
      <c r="C675" s="47">
        <v>1173</v>
      </c>
      <c r="D675" s="48" t="s">
        <v>365</v>
      </c>
    </row>
    <row r="676" spans="2:4" x14ac:dyDescent="0.15">
      <c r="B676" s="46" t="s">
        <v>2387</v>
      </c>
      <c r="C676" s="47">
        <v>1174</v>
      </c>
      <c r="D676" s="48" t="s">
        <v>365</v>
      </c>
    </row>
    <row r="677" spans="2:4" x14ac:dyDescent="0.15">
      <c r="B677" s="46" t="s">
        <v>2388</v>
      </c>
      <c r="C677" s="47">
        <v>1175</v>
      </c>
      <c r="D677" s="48" t="s">
        <v>365</v>
      </c>
    </row>
    <row r="678" spans="2:4" x14ac:dyDescent="0.15">
      <c r="B678" s="46" t="s">
        <v>1657</v>
      </c>
      <c r="C678" s="47">
        <v>1176</v>
      </c>
      <c r="D678" s="48" t="s">
        <v>365</v>
      </c>
    </row>
    <row r="679" spans="2:4" x14ac:dyDescent="0.15">
      <c r="B679" s="46" t="s">
        <v>2389</v>
      </c>
      <c r="C679" s="47">
        <v>1177</v>
      </c>
      <c r="D679" s="48" t="s">
        <v>365</v>
      </c>
    </row>
    <row r="680" spans="2:4" x14ac:dyDescent="0.15">
      <c r="B680" s="46" t="s">
        <v>1863</v>
      </c>
      <c r="C680" s="47">
        <v>1178</v>
      </c>
      <c r="D680" s="48" t="s">
        <v>365</v>
      </c>
    </row>
    <row r="681" spans="2:4" x14ac:dyDescent="0.15">
      <c r="B681" s="46" t="s">
        <v>837</v>
      </c>
      <c r="C681" s="47">
        <v>1179</v>
      </c>
      <c r="D681" s="48" t="s">
        <v>365</v>
      </c>
    </row>
    <row r="682" spans="2:4" x14ac:dyDescent="0.15">
      <c r="B682" s="46" t="s">
        <v>2390</v>
      </c>
      <c r="C682" s="47">
        <v>1180</v>
      </c>
      <c r="D682" s="48" t="s">
        <v>365</v>
      </c>
    </row>
    <row r="683" spans="2:4" x14ac:dyDescent="0.15">
      <c r="B683" s="46" t="s">
        <v>2391</v>
      </c>
      <c r="C683" s="47">
        <v>1181</v>
      </c>
      <c r="D683" s="48" t="s">
        <v>365</v>
      </c>
    </row>
    <row r="684" spans="2:4" x14ac:dyDescent="0.15">
      <c r="B684" s="46" t="s">
        <v>2392</v>
      </c>
      <c r="C684" s="47">
        <v>1182</v>
      </c>
      <c r="D684" s="48" t="s">
        <v>365</v>
      </c>
    </row>
    <row r="685" spans="2:4" x14ac:dyDescent="0.15">
      <c r="B685" s="46" t="s">
        <v>2393</v>
      </c>
      <c r="C685" s="47">
        <v>1183</v>
      </c>
      <c r="D685" s="48" t="s">
        <v>365</v>
      </c>
    </row>
    <row r="686" spans="2:4" x14ac:dyDescent="0.15">
      <c r="B686" s="46" t="s">
        <v>835</v>
      </c>
      <c r="C686" s="47">
        <v>1184</v>
      </c>
      <c r="D686" s="48" t="s">
        <v>365</v>
      </c>
    </row>
    <row r="687" spans="2:4" x14ac:dyDescent="0.15">
      <c r="B687" s="46" t="s">
        <v>1701</v>
      </c>
      <c r="C687" s="47">
        <v>1185</v>
      </c>
      <c r="D687" s="48" t="s">
        <v>365</v>
      </c>
    </row>
    <row r="688" spans="2:4" x14ac:dyDescent="0.15">
      <c r="B688" s="46" t="s">
        <v>412</v>
      </c>
      <c r="C688" s="47">
        <v>1186</v>
      </c>
      <c r="D688" s="48" t="s">
        <v>365</v>
      </c>
    </row>
    <row r="689" spans="2:4" x14ac:dyDescent="0.15">
      <c r="B689" s="46" t="s">
        <v>415</v>
      </c>
      <c r="C689" s="47">
        <v>1187</v>
      </c>
      <c r="D689" s="48" t="s">
        <v>365</v>
      </c>
    </row>
    <row r="690" spans="2:4" x14ac:dyDescent="0.15">
      <c r="B690" s="46" t="s">
        <v>417</v>
      </c>
      <c r="C690" s="47">
        <v>1188</v>
      </c>
      <c r="D690" s="48" t="s">
        <v>365</v>
      </c>
    </row>
    <row r="691" spans="2:4" x14ac:dyDescent="0.15">
      <c r="B691" s="46" t="s">
        <v>419</v>
      </c>
      <c r="C691" s="47">
        <v>1189</v>
      </c>
      <c r="D691" s="48" t="s">
        <v>365</v>
      </c>
    </row>
    <row r="692" spans="2:4" x14ac:dyDescent="0.15">
      <c r="B692" s="46" t="s">
        <v>421</v>
      </c>
      <c r="C692" s="47">
        <v>1190</v>
      </c>
      <c r="D692" s="48" t="s">
        <v>365</v>
      </c>
    </row>
    <row r="693" spans="2:4" x14ac:dyDescent="0.15">
      <c r="B693" s="46" t="s">
        <v>426</v>
      </c>
      <c r="C693" s="47">
        <v>1191</v>
      </c>
      <c r="D693" s="48" t="s">
        <v>365</v>
      </c>
    </row>
    <row r="694" spans="2:4" x14ac:dyDescent="0.15">
      <c r="B694" s="46" t="s">
        <v>2394</v>
      </c>
      <c r="C694" s="47">
        <v>1192</v>
      </c>
      <c r="D694" s="48" t="s">
        <v>365</v>
      </c>
    </row>
    <row r="695" spans="2:4" x14ac:dyDescent="0.15">
      <c r="B695" s="46" t="s">
        <v>2395</v>
      </c>
      <c r="C695" s="47">
        <v>1193</v>
      </c>
      <c r="D695" s="48" t="s">
        <v>365</v>
      </c>
    </row>
    <row r="696" spans="2:4" x14ac:dyDescent="0.15">
      <c r="B696" s="46" t="s">
        <v>2396</v>
      </c>
      <c r="C696" s="47">
        <v>1194</v>
      </c>
      <c r="D696" s="48" t="s">
        <v>365</v>
      </c>
    </row>
    <row r="697" spans="2:4" x14ac:dyDescent="0.15">
      <c r="B697" s="46" t="s">
        <v>2397</v>
      </c>
      <c r="C697" s="47">
        <v>1195</v>
      </c>
      <c r="D697" s="48" t="s">
        <v>365</v>
      </c>
    </row>
    <row r="698" spans="2:4" x14ac:dyDescent="0.15">
      <c r="B698" s="46" t="s">
        <v>2398</v>
      </c>
      <c r="C698" s="47">
        <v>1196</v>
      </c>
      <c r="D698" s="48" t="s">
        <v>365</v>
      </c>
    </row>
    <row r="699" spans="2:4" x14ac:dyDescent="0.15">
      <c r="B699" s="46" t="s">
        <v>2399</v>
      </c>
      <c r="C699" s="47">
        <v>1197</v>
      </c>
      <c r="D699" s="48" t="s">
        <v>365</v>
      </c>
    </row>
    <row r="700" spans="2:4" x14ac:dyDescent="0.15">
      <c r="B700" s="46" t="s">
        <v>2400</v>
      </c>
      <c r="C700" s="47">
        <v>1198</v>
      </c>
      <c r="D700" s="48" t="s">
        <v>365</v>
      </c>
    </row>
    <row r="701" spans="2:4" x14ac:dyDescent="0.15">
      <c r="B701" s="46" t="s">
        <v>2401</v>
      </c>
      <c r="C701" s="47">
        <v>1199</v>
      </c>
      <c r="D701" s="48" t="s">
        <v>365</v>
      </c>
    </row>
    <row r="702" spans="2:4" x14ac:dyDescent="0.15">
      <c r="B702" s="46" t="s">
        <v>2402</v>
      </c>
      <c r="C702" s="47">
        <v>1200</v>
      </c>
      <c r="D702" s="48" t="s">
        <v>365</v>
      </c>
    </row>
    <row r="703" spans="2:4" x14ac:dyDescent="0.15">
      <c r="B703" s="46" t="s">
        <v>1694</v>
      </c>
      <c r="C703" s="47">
        <v>1201</v>
      </c>
      <c r="D703" s="48" t="s">
        <v>365</v>
      </c>
    </row>
    <row r="704" spans="2:4" x14ac:dyDescent="0.15">
      <c r="B704" s="46" t="s">
        <v>1295</v>
      </c>
      <c r="C704" s="47">
        <v>1202</v>
      </c>
      <c r="D704" s="48" t="s">
        <v>365</v>
      </c>
    </row>
    <row r="705" spans="2:4" x14ac:dyDescent="0.15">
      <c r="B705" s="46" t="s">
        <v>2403</v>
      </c>
      <c r="C705" s="47">
        <v>1203</v>
      </c>
      <c r="D705" s="48" t="s">
        <v>365</v>
      </c>
    </row>
    <row r="706" spans="2:4" x14ac:dyDescent="0.15">
      <c r="B706" s="46" t="s">
        <v>2404</v>
      </c>
      <c r="C706" s="47">
        <v>1204</v>
      </c>
      <c r="D706" s="48" t="s">
        <v>365</v>
      </c>
    </row>
    <row r="707" spans="2:4" x14ac:dyDescent="0.15">
      <c r="B707" s="46" t="s">
        <v>2405</v>
      </c>
      <c r="C707" s="47">
        <v>1205</v>
      </c>
      <c r="D707" s="48" t="s">
        <v>365</v>
      </c>
    </row>
    <row r="708" spans="2:4" x14ac:dyDescent="0.15">
      <c r="B708" s="46" t="s">
        <v>2406</v>
      </c>
      <c r="C708" s="47">
        <v>1206</v>
      </c>
      <c r="D708" s="48" t="s">
        <v>365</v>
      </c>
    </row>
    <row r="709" spans="2:4" x14ac:dyDescent="0.15">
      <c r="B709" s="46" t="s">
        <v>2407</v>
      </c>
      <c r="C709" s="47">
        <v>1207</v>
      </c>
      <c r="D709" s="48" t="s">
        <v>365</v>
      </c>
    </row>
    <row r="710" spans="2:4" x14ac:dyDescent="0.15">
      <c r="B710" s="46" t="s">
        <v>2408</v>
      </c>
      <c r="C710" s="47">
        <v>1208</v>
      </c>
      <c r="D710" s="48" t="s">
        <v>365</v>
      </c>
    </row>
    <row r="711" spans="2:4" x14ac:dyDescent="0.15">
      <c r="B711" s="46" t="s">
        <v>857</v>
      </c>
      <c r="C711" s="47">
        <v>1209</v>
      </c>
      <c r="D711" s="48" t="s">
        <v>365</v>
      </c>
    </row>
    <row r="712" spans="2:4" x14ac:dyDescent="0.15">
      <c r="B712" s="46" t="s">
        <v>864</v>
      </c>
      <c r="C712" s="47">
        <v>1210</v>
      </c>
      <c r="D712" s="48" t="s">
        <v>365</v>
      </c>
    </row>
    <row r="713" spans="2:4" x14ac:dyDescent="0.15">
      <c r="B713" s="46" t="s">
        <v>2409</v>
      </c>
      <c r="C713" s="47">
        <v>1211</v>
      </c>
      <c r="D713" s="48" t="s">
        <v>365</v>
      </c>
    </row>
    <row r="714" spans="2:4" x14ac:dyDescent="0.15">
      <c r="B714" s="46" t="s">
        <v>1853</v>
      </c>
      <c r="C714" s="47">
        <v>1212</v>
      </c>
      <c r="D714" s="48" t="s">
        <v>365</v>
      </c>
    </row>
    <row r="715" spans="2:4" x14ac:dyDescent="0.15">
      <c r="B715" s="46" t="s">
        <v>2410</v>
      </c>
      <c r="C715" s="47">
        <v>1213</v>
      </c>
      <c r="D715" s="48" t="s">
        <v>365</v>
      </c>
    </row>
    <row r="716" spans="2:4" x14ac:dyDescent="0.15">
      <c r="B716" s="46" t="s">
        <v>2411</v>
      </c>
      <c r="C716" s="47">
        <v>1214</v>
      </c>
      <c r="D716" s="48" t="s">
        <v>365</v>
      </c>
    </row>
    <row r="717" spans="2:4" x14ac:dyDescent="0.15">
      <c r="B717" s="46" t="s">
        <v>2412</v>
      </c>
      <c r="C717" s="47">
        <v>1215</v>
      </c>
      <c r="D717" s="48" t="s">
        <v>365</v>
      </c>
    </row>
    <row r="718" spans="2:4" x14ac:dyDescent="0.15">
      <c r="B718" s="46" t="s">
        <v>2413</v>
      </c>
      <c r="C718" s="47">
        <v>1216</v>
      </c>
      <c r="D718" s="48" t="s">
        <v>365</v>
      </c>
    </row>
    <row r="719" spans="2:4" x14ac:dyDescent="0.15">
      <c r="B719" s="46" t="s">
        <v>2414</v>
      </c>
      <c r="C719" s="47">
        <v>1217</v>
      </c>
      <c r="D719" s="48" t="s">
        <v>365</v>
      </c>
    </row>
    <row r="720" spans="2:4" x14ac:dyDescent="0.15">
      <c r="B720" s="46" t="s">
        <v>2415</v>
      </c>
      <c r="C720" s="47">
        <v>1218</v>
      </c>
      <c r="D720" s="48" t="s">
        <v>365</v>
      </c>
    </row>
    <row r="721" spans="2:4" x14ac:dyDescent="0.15">
      <c r="B721" s="46" t="s">
        <v>2416</v>
      </c>
      <c r="C721" s="47">
        <v>1219</v>
      </c>
      <c r="D721" s="48" t="s">
        <v>365</v>
      </c>
    </row>
    <row r="722" spans="2:4" x14ac:dyDescent="0.15">
      <c r="B722" s="46" t="s">
        <v>2417</v>
      </c>
      <c r="C722" s="47">
        <v>1220</v>
      </c>
      <c r="D722" s="48" t="s">
        <v>365</v>
      </c>
    </row>
    <row r="723" spans="2:4" x14ac:dyDescent="0.15">
      <c r="B723" s="46" t="s">
        <v>2418</v>
      </c>
      <c r="C723" s="47">
        <v>1221</v>
      </c>
      <c r="D723" s="48" t="s">
        <v>365</v>
      </c>
    </row>
    <row r="724" spans="2:4" x14ac:dyDescent="0.15">
      <c r="B724" s="46" t="s">
        <v>2419</v>
      </c>
      <c r="C724" s="47">
        <v>1222</v>
      </c>
      <c r="D724" s="48" t="s">
        <v>365</v>
      </c>
    </row>
    <row r="725" spans="2:4" x14ac:dyDescent="0.15">
      <c r="B725" s="46" t="s">
        <v>1059</v>
      </c>
      <c r="C725" s="47">
        <v>1223</v>
      </c>
      <c r="D725" s="48" t="s">
        <v>365</v>
      </c>
    </row>
    <row r="726" spans="2:4" x14ac:dyDescent="0.15">
      <c r="B726" s="46" t="s">
        <v>2420</v>
      </c>
      <c r="C726" s="47">
        <v>1224</v>
      </c>
      <c r="D726" s="48" t="s">
        <v>365</v>
      </c>
    </row>
    <row r="727" spans="2:4" x14ac:dyDescent="0.15">
      <c r="B727" s="46" t="s">
        <v>2421</v>
      </c>
      <c r="C727" s="47">
        <v>1225</v>
      </c>
      <c r="D727" s="48" t="s">
        <v>365</v>
      </c>
    </row>
    <row r="728" spans="2:4" x14ac:dyDescent="0.15">
      <c r="B728" s="46" t="s">
        <v>2422</v>
      </c>
      <c r="C728" s="47">
        <v>1226</v>
      </c>
      <c r="D728" s="48" t="s">
        <v>365</v>
      </c>
    </row>
    <row r="729" spans="2:4" x14ac:dyDescent="0.15">
      <c r="B729" s="46" t="s">
        <v>2423</v>
      </c>
      <c r="C729" s="47">
        <v>1227</v>
      </c>
      <c r="D729" s="48" t="s">
        <v>365</v>
      </c>
    </row>
    <row r="730" spans="2:4" x14ac:dyDescent="0.15">
      <c r="B730" s="46" t="s">
        <v>2424</v>
      </c>
      <c r="C730" s="47">
        <v>1228</v>
      </c>
      <c r="D730" s="48" t="s">
        <v>365</v>
      </c>
    </row>
    <row r="731" spans="2:4" x14ac:dyDescent="0.15">
      <c r="B731" s="46" t="s">
        <v>2425</v>
      </c>
      <c r="C731" s="47">
        <v>1229</v>
      </c>
      <c r="D731" s="48" t="s">
        <v>365</v>
      </c>
    </row>
    <row r="732" spans="2:4" x14ac:dyDescent="0.15">
      <c r="B732" s="46" t="s">
        <v>2426</v>
      </c>
      <c r="C732" s="47">
        <v>1230</v>
      </c>
      <c r="D732" s="48" t="s">
        <v>365</v>
      </c>
    </row>
    <row r="733" spans="2:4" x14ac:dyDescent="0.15">
      <c r="B733" s="46" t="s">
        <v>2427</v>
      </c>
      <c r="C733" s="47">
        <v>1231</v>
      </c>
      <c r="D733" s="48" t="s">
        <v>365</v>
      </c>
    </row>
    <row r="734" spans="2:4" x14ac:dyDescent="0.15">
      <c r="B734" s="46" t="s">
        <v>1646</v>
      </c>
      <c r="C734" s="47">
        <v>1232</v>
      </c>
      <c r="D734" s="48" t="s">
        <v>365</v>
      </c>
    </row>
    <row r="735" spans="2:4" x14ac:dyDescent="0.15">
      <c r="B735" s="46" t="s">
        <v>2428</v>
      </c>
      <c r="C735" s="47">
        <v>1233</v>
      </c>
      <c r="D735" s="48" t="s">
        <v>365</v>
      </c>
    </row>
    <row r="736" spans="2:4" x14ac:dyDescent="0.15">
      <c r="B736" s="46" t="s">
        <v>998</v>
      </c>
      <c r="C736" s="47">
        <v>1234</v>
      </c>
      <c r="D736" s="48" t="s">
        <v>365</v>
      </c>
    </row>
    <row r="737" spans="2:4" x14ac:dyDescent="0.15">
      <c r="B737" s="46" t="s">
        <v>841</v>
      </c>
      <c r="C737" s="47">
        <v>1235</v>
      </c>
      <c r="D737" s="48" t="s">
        <v>365</v>
      </c>
    </row>
    <row r="738" spans="2:4" x14ac:dyDescent="0.15">
      <c r="B738" s="46" t="s">
        <v>2429</v>
      </c>
      <c r="C738" s="47">
        <v>1236</v>
      </c>
      <c r="D738" s="48" t="s">
        <v>365</v>
      </c>
    </row>
    <row r="739" spans="2:4" x14ac:dyDescent="0.15">
      <c r="B739" s="46" t="s">
        <v>1659</v>
      </c>
      <c r="C739" s="47">
        <v>1237</v>
      </c>
      <c r="D739" s="48" t="s">
        <v>365</v>
      </c>
    </row>
    <row r="740" spans="2:4" x14ac:dyDescent="0.15">
      <c r="B740" s="46" t="s">
        <v>2430</v>
      </c>
      <c r="C740" s="47">
        <v>1238</v>
      </c>
      <c r="D740" s="48" t="s">
        <v>365</v>
      </c>
    </row>
    <row r="741" spans="2:4" x14ac:dyDescent="0.15">
      <c r="B741" s="46" t="s">
        <v>2431</v>
      </c>
      <c r="C741" s="47">
        <v>1239</v>
      </c>
      <c r="D741" s="48" t="s">
        <v>365</v>
      </c>
    </row>
    <row r="742" spans="2:4" x14ac:dyDescent="0.15">
      <c r="B742" s="46" t="s">
        <v>1163</v>
      </c>
      <c r="C742" s="47">
        <v>1240</v>
      </c>
      <c r="D742" s="48" t="s">
        <v>365</v>
      </c>
    </row>
    <row r="743" spans="2:4" x14ac:dyDescent="0.15">
      <c r="B743" s="46" t="s">
        <v>1829</v>
      </c>
      <c r="C743" s="47">
        <v>1241</v>
      </c>
      <c r="D743" s="48" t="s">
        <v>365</v>
      </c>
    </row>
    <row r="744" spans="2:4" x14ac:dyDescent="0.15">
      <c r="B744" s="46" t="s">
        <v>2432</v>
      </c>
      <c r="C744" s="47">
        <v>1242</v>
      </c>
      <c r="D744" s="48" t="s">
        <v>365</v>
      </c>
    </row>
    <row r="745" spans="2:4" x14ac:dyDescent="0.15">
      <c r="B745" s="46" t="s">
        <v>2433</v>
      </c>
      <c r="C745" s="47">
        <v>1243</v>
      </c>
      <c r="D745" s="48" t="s">
        <v>365</v>
      </c>
    </row>
    <row r="746" spans="2:4" x14ac:dyDescent="0.15">
      <c r="B746" s="46" t="s">
        <v>2434</v>
      </c>
      <c r="C746" s="47">
        <v>1244</v>
      </c>
      <c r="D746" s="48" t="s">
        <v>365</v>
      </c>
    </row>
    <row r="747" spans="2:4" x14ac:dyDescent="0.15">
      <c r="B747" s="46" t="s">
        <v>2435</v>
      </c>
      <c r="C747" s="47">
        <v>1245</v>
      </c>
      <c r="D747" s="48" t="s">
        <v>365</v>
      </c>
    </row>
    <row r="748" spans="2:4" x14ac:dyDescent="0.15">
      <c r="B748" s="46" t="s">
        <v>1426</v>
      </c>
      <c r="C748" s="47">
        <v>1246</v>
      </c>
      <c r="D748" s="48" t="s">
        <v>365</v>
      </c>
    </row>
    <row r="749" spans="2:4" x14ac:dyDescent="0.15">
      <c r="B749" s="46" t="s">
        <v>2436</v>
      </c>
      <c r="C749" s="47">
        <v>1247</v>
      </c>
      <c r="D749" s="48" t="s">
        <v>365</v>
      </c>
    </row>
    <row r="750" spans="2:4" x14ac:dyDescent="0.15">
      <c r="B750" s="46" t="s">
        <v>1557</v>
      </c>
      <c r="C750" s="47">
        <v>1248</v>
      </c>
      <c r="D750" s="48" t="s">
        <v>365</v>
      </c>
    </row>
    <row r="751" spans="2:4" x14ac:dyDescent="0.15">
      <c r="B751" s="46" t="s">
        <v>2437</v>
      </c>
      <c r="C751" s="47">
        <v>1249</v>
      </c>
      <c r="D751" s="48" t="s">
        <v>365</v>
      </c>
    </row>
    <row r="752" spans="2:4" x14ac:dyDescent="0.15">
      <c r="B752" s="46" t="s">
        <v>2438</v>
      </c>
      <c r="C752" s="47">
        <v>1250</v>
      </c>
      <c r="D752" s="48" t="s">
        <v>365</v>
      </c>
    </row>
    <row r="753" spans="2:4" x14ac:dyDescent="0.15">
      <c r="B753" s="46" t="s">
        <v>901</v>
      </c>
      <c r="C753" s="47">
        <v>1251</v>
      </c>
      <c r="D753" s="48" t="s">
        <v>365</v>
      </c>
    </row>
    <row r="754" spans="2:4" x14ac:dyDescent="0.15">
      <c r="B754" s="46" t="s">
        <v>1582</v>
      </c>
      <c r="C754" s="47">
        <v>1252</v>
      </c>
      <c r="D754" s="48" t="s">
        <v>365</v>
      </c>
    </row>
    <row r="755" spans="2:4" x14ac:dyDescent="0.15">
      <c r="B755" s="46" t="s">
        <v>2439</v>
      </c>
      <c r="C755" s="47">
        <v>1253</v>
      </c>
      <c r="D755" s="48" t="s">
        <v>365</v>
      </c>
    </row>
    <row r="756" spans="2:4" x14ac:dyDescent="0.15">
      <c r="B756" s="46" t="s">
        <v>575</v>
      </c>
      <c r="C756" s="47">
        <v>1254</v>
      </c>
      <c r="D756" s="48" t="s">
        <v>365</v>
      </c>
    </row>
    <row r="757" spans="2:4" x14ac:dyDescent="0.15">
      <c r="B757" s="46" t="s">
        <v>577</v>
      </c>
      <c r="C757" s="47">
        <v>1255</v>
      </c>
      <c r="D757" s="48" t="s">
        <v>365</v>
      </c>
    </row>
    <row r="758" spans="2:4" x14ac:dyDescent="0.15">
      <c r="B758" s="46" t="s">
        <v>2440</v>
      </c>
      <c r="C758" s="47">
        <v>1256</v>
      </c>
      <c r="D758" s="48" t="s">
        <v>365</v>
      </c>
    </row>
    <row r="759" spans="2:4" x14ac:dyDescent="0.15">
      <c r="B759" s="46" t="s">
        <v>382</v>
      </c>
      <c r="C759" s="47">
        <v>1257</v>
      </c>
      <c r="D759" s="48" t="s">
        <v>365</v>
      </c>
    </row>
    <row r="760" spans="2:4" x14ac:dyDescent="0.15">
      <c r="B760" s="46" t="s">
        <v>2441</v>
      </c>
      <c r="C760" s="47">
        <v>1258</v>
      </c>
      <c r="D760" s="48" t="s">
        <v>365</v>
      </c>
    </row>
    <row r="761" spans="2:4" x14ac:dyDescent="0.15">
      <c r="B761" s="46" t="s">
        <v>2442</v>
      </c>
      <c r="C761" s="47">
        <v>1259</v>
      </c>
      <c r="D761" s="48" t="s">
        <v>365</v>
      </c>
    </row>
    <row r="762" spans="2:4" x14ac:dyDescent="0.15">
      <c r="B762" s="46" t="s">
        <v>1783</v>
      </c>
      <c r="C762" s="47">
        <v>1260</v>
      </c>
      <c r="D762" s="48" t="s">
        <v>365</v>
      </c>
    </row>
    <row r="763" spans="2:4" x14ac:dyDescent="0.15">
      <c r="B763" s="46" t="s">
        <v>2443</v>
      </c>
      <c r="C763" s="47">
        <v>1261</v>
      </c>
      <c r="D763" s="48" t="s">
        <v>365</v>
      </c>
    </row>
    <row r="764" spans="2:4" x14ac:dyDescent="0.15">
      <c r="B764" s="46" t="s">
        <v>1189</v>
      </c>
      <c r="C764" s="47">
        <v>1262</v>
      </c>
      <c r="D764" s="48" t="s">
        <v>365</v>
      </c>
    </row>
    <row r="765" spans="2:4" x14ac:dyDescent="0.15">
      <c r="B765" s="46" t="s">
        <v>2444</v>
      </c>
      <c r="C765" s="47">
        <v>1263</v>
      </c>
      <c r="D765" s="48" t="s">
        <v>365</v>
      </c>
    </row>
    <row r="766" spans="2:4" x14ac:dyDescent="0.15">
      <c r="B766" s="46" t="s">
        <v>2445</v>
      </c>
      <c r="C766" s="47">
        <v>1264</v>
      </c>
      <c r="D766" s="48" t="s">
        <v>365</v>
      </c>
    </row>
    <row r="767" spans="2:4" x14ac:dyDescent="0.15">
      <c r="B767" s="46" t="s">
        <v>2446</v>
      </c>
      <c r="C767" s="47">
        <v>1265</v>
      </c>
      <c r="D767" s="48" t="s">
        <v>365</v>
      </c>
    </row>
    <row r="768" spans="2:4" x14ac:dyDescent="0.15">
      <c r="B768" s="46" t="s">
        <v>2447</v>
      </c>
      <c r="C768" s="47">
        <v>1266</v>
      </c>
      <c r="D768" s="48" t="s">
        <v>365</v>
      </c>
    </row>
    <row r="769" spans="2:4" x14ac:dyDescent="0.15">
      <c r="B769" s="46" t="s">
        <v>2448</v>
      </c>
      <c r="C769" s="47">
        <v>1267</v>
      </c>
      <c r="D769" s="48" t="s">
        <v>365</v>
      </c>
    </row>
    <row r="770" spans="2:4" x14ac:dyDescent="0.15">
      <c r="B770" s="46" t="s">
        <v>2449</v>
      </c>
      <c r="C770" s="47">
        <v>1268</v>
      </c>
      <c r="D770" s="48" t="s">
        <v>365</v>
      </c>
    </row>
    <row r="771" spans="2:4" x14ac:dyDescent="0.15">
      <c r="B771" s="46" t="s">
        <v>2450</v>
      </c>
      <c r="C771" s="47">
        <v>1269</v>
      </c>
      <c r="D771" s="48" t="s">
        <v>365</v>
      </c>
    </row>
    <row r="772" spans="2:4" x14ac:dyDescent="0.15">
      <c r="B772" s="46" t="s">
        <v>2451</v>
      </c>
      <c r="C772" s="47">
        <v>1270</v>
      </c>
      <c r="D772" s="48" t="s">
        <v>365</v>
      </c>
    </row>
    <row r="773" spans="2:4" x14ac:dyDescent="0.15">
      <c r="B773" s="46" t="s">
        <v>1631</v>
      </c>
      <c r="C773" s="47">
        <v>1271</v>
      </c>
      <c r="D773" s="48" t="s">
        <v>365</v>
      </c>
    </row>
    <row r="774" spans="2:4" x14ac:dyDescent="0.15">
      <c r="B774" s="46" t="s">
        <v>2452</v>
      </c>
      <c r="C774" s="47">
        <v>1272</v>
      </c>
      <c r="D774" s="48" t="s">
        <v>365</v>
      </c>
    </row>
    <row r="775" spans="2:4" x14ac:dyDescent="0.15">
      <c r="B775" s="46" t="s">
        <v>2453</v>
      </c>
      <c r="C775" s="47">
        <v>1273</v>
      </c>
      <c r="D775" s="48" t="s">
        <v>365</v>
      </c>
    </row>
    <row r="776" spans="2:4" x14ac:dyDescent="0.15">
      <c r="B776" s="46" t="s">
        <v>2454</v>
      </c>
      <c r="C776" s="47">
        <v>1274</v>
      </c>
      <c r="D776" s="48" t="s">
        <v>365</v>
      </c>
    </row>
    <row r="777" spans="2:4" x14ac:dyDescent="0.15">
      <c r="B777" s="46" t="s">
        <v>2455</v>
      </c>
      <c r="C777" s="47">
        <v>1275</v>
      </c>
      <c r="D777" s="48" t="s">
        <v>365</v>
      </c>
    </row>
    <row r="778" spans="2:4" x14ac:dyDescent="0.15">
      <c r="B778" s="46" t="s">
        <v>2456</v>
      </c>
      <c r="C778" s="47">
        <v>1276</v>
      </c>
      <c r="D778" s="48" t="s">
        <v>365</v>
      </c>
    </row>
    <row r="779" spans="2:4" x14ac:dyDescent="0.15">
      <c r="B779" s="46" t="s">
        <v>2457</v>
      </c>
      <c r="C779" s="47">
        <v>1277</v>
      </c>
      <c r="D779" s="48" t="s">
        <v>365</v>
      </c>
    </row>
    <row r="780" spans="2:4" x14ac:dyDescent="0.15">
      <c r="B780" s="46" t="s">
        <v>2458</v>
      </c>
      <c r="C780" s="47">
        <v>1278</v>
      </c>
      <c r="D780" s="48" t="s">
        <v>365</v>
      </c>
    </row>
    <row r="781" spans="2:4" x14ac:dyDescent="0.15">
      <c r="B781" s="46" t="s">
        <v>2459</v>
      </c>
      <c r="C781" s="47">
        <v>1279</v>
      </c>
      <c r="D781" s="48" t="s">
        <v>365</v>
      </c>
    </row>
    <row r="782" spans="2:4" x14ac:dyDescent="0.15">
      <c r="B782" s="46" t="s">
        <v>2460</v>
      </c>
      <c r="C782" s="47">
        <v>1280</v>
      </c>
      <c r="D782" s="48" t="s">
        <v>365</v>
      </c>
    </row>
    <row r="783" spans="2:4" x14ac:dyDescent="0.15">
      <c r="B783" s="46" t="s">
        <v>2461</v>
      </c>
      <c r="C783" s="47">
        <v>1281</v>
      </c>
      <c r="D783" s="48" t="s">
        <v>365</v>
      </c>
    </row>
    <row r="784" spans="2:4" x14ac:dyDescent="0.15">
      <c r="B784" s="46" t="s">
        <v>2462</v>
      </c>
      <c r="C784" s="47">
        <v>1282</v>
      </c>
      <c r="D784" s="48" t="s">
        <v>365</v>
      </c>
    </row>
    <row r="785" spans="2:4" x14ac:dyDescent="0.15">
      <c r="B785" s="46" t="s">
        <v>2463</v>
      </c>
      <c r="C785" s="47">
        <v>1283</v>
      </c>
      <c r="D785" s="48" t="s">
        <v>365</v>
      </c>
    </row>
    <row r="786" spans="2:4" x14ac:dyDescent="0.15">
      <c r="B786" s="46" t="s">
        <v>2464</v>
      </c>
      <c r="C786" s="47">
        <v>1284</v>
      </c>
      <c r="D786" s="48" t="s">
        <v>365</v>
      </c>
    </row>
    <row r="787" spans="2:4" x14ac:dyDescent="0.15">
      <c r="B787" s="46" t="s">
        <v>2465</v>
      </c>
      <c r="C787" s="47">
        <v>1285</v>
      </c>
      <c r="D787" s="48" t="s">
        <v>365</v>
      </c>
    </row>
    <row r="788" spans="2:4" x14ac:dyDescent="0.15">
      <c r="B788" s="46" t="s">
        <v>2466</v>
      </c>
      <c r="C788" s="47">
        <v>1286</v>
      </c>
      <c r="D788" s="48" t="s">
        <v>365</v>
      </c>
    </row>
    <row r="789" spans="2:4" x14ac:dyDescent="0.15">
      <c r="B789" s="46" t="s">
        <v>2467</v>
      </c>
      <c r="C789" s="47">
        <v>1287</v>
      </c>
      <c r="D789" s="48" t="s">
        <v>365</v>
      </c>
    </row>
    <row r="790" spans="2:4" x14ac:dyDescent="0.15">
      <c r="B790" s="46" t="s">
        <v>2468</v>
      </c>
      <c r="C790" s="47">
        <v>1288</v>
      </c>
      <c r="D790" s="48" t="s">
        <v>365</v>
      </c>
    </row>
    <row r="791" spans="2:4" x14ac:dyDescent="0.15">
      <c r="B791" s="46" t="s">
        <v>2469</v>
      </c>
      <c r="C791" s="47">
        <v>1289</v>
      </c>
      <c r="D791" s="48" t="s">
        <v>365</v>
      </c>
    </row>
    <row r="792" spans="2:4" x14ac:dyDescent="0.15">
      <c r="B792" s="46" t="s">
        <v>2470</v>
      </c>
      <c r="C792" s="47">
        <v>1290</v>
      </c>
      <c r="D792" s="48" t="s">
        <v>365</v>
      </c>
    </row>
    <row r="793" spans="2:4" x14ac:dyDescent="0.15">
      <c r="B793" s="46" t="s">
        <v>2471</v>
      </c>
      <c r="C793" s="47">
        <v>1291</v>
      </c>
      <c r="D793" s="48" t="s">
        <v>365</v>
      </c>
    </row>
    <row r="794" spans="2:4" x14ac:dyDescent="0.15">
      <c r="B794" s="46" t="s">
        <v>2472</v>
      </c>
      <c r="C794" s="47">
        <v>1292</v>
      </c>
      <c r="D794" s="48" t="s">
        <v>365</v>
      </c>
    </row>
    <row r="795" spans="2:4" x14ac:dyDescent="0.15">
      <c r="B795" s="46" t="s">
        <v>2473</v>
      </c>
      <c r="C795" s="47">
        <v>1293</v>
      </c>
      <c r="D795" s="48" t="s">
        <v>365</v>
      </c>
    </row>
    <row r="796" spans="2:4" x14ac:dyDescent="0.15">
      <c r="B796" s="46" t="s">
        <v>2474</v>
      </c>
      <c r="C796" s="47">
        <v>1294</v>
      </c>
      <c r="D796" s="48" t="s">
        <v>365</v>
      </c>
    </row>
    <row r="797" spans="2:4" x14ac:dyDescent="0.15">
      <c r="B797" s="46" t="s">
        <v>2475</v>
      </c>
      <c r="C797" s="47">
        <v>1295</v>
      </c>
      <c r="D797" s="48" t="s">
        <v>365</v>
      </c>
    </row>
    <row r="798" spans="2:4" x14ac:dyDescent="0.15">
      <c r="B798" s="46" t="s">
        <v>2476</v>
      </c>
      <c r="C798" s="47">
        <v>1296</v>
      </c>
      <c r="D798" s="48" t="s">
        <v>365</v>
      </c>
    </row>
    <row r="799" spans="2:4" x14ac:dyDescent="0.15">
      <c r="B799" s="46" t="s">
        <v>931</v>
      </c>
      <c r="C799" s="47">
        <v>1297</v>
      </c>
      <c r="D799" s="48" t="s">
        <v>365</v>
      </c>
    </row>
    <row r="800" spans="2:4" x14ac:dyDescent="0.15">
      <c r="B800" s="46" t="s">
        <v>2477</v>
      </c>
      <c r="C800" s="47">
        <v>1298</v>
      </c>
      <c r="D800" s="48" t="s">
        <v>365</v>
      </c>
    </row>
    <row r="801" spans="2:4" x14ac:dyDescent="0.15">
      <c r="B801" s="46" t="s">
        <v>2478</v>
      </c>
      <c r="C801" s="47">
        <v>1299</v>
      </c>
      <c r="D801" s="48" t="s">
        <v>365</v>
      </c>
    </row>
    <row r="802" spans="2:4" x14ac:dyDescent="0.15">
      <c r="B802" s="46" t="s">
        <v>2479</v>
      </c>
      <c r="C802" s="47">
        <v>1300</v>
      </c>
      <c r="D802" s="48" t="s">
        <v>365</v>
      </c>
    </row>
    <row r="803" spans="2:4" x14ac:dyDescent="0.15">
      <c r="B803" s="46" t="s">
        <v>2480</v>
      </c>
      <c r="C803" s="47">
        <v>1301</v>
      </c>
      <c r="D803" s="48" t="s">
        <v>365</v>
      </c>
    </row>
    <row r="804" spans="2:4" x14ac:dyDescent="0.15">
      <c r="B804" s="46" t="s">
        <v>2481</v>
      </c>
      <c r="C804" s="47">
        <v>1302</v>
      </c>
      <c r="D804" s="48" t="s">
        <v>365</v>
      </c>
    </row>
    <row r="805" spans="2:4" x14ac:dyDescent="0.15">
      <c r="B805" s="46" t="s">
        <v>2482</v>
      </c>
      <c r="C805" s="47">
        <v>1303</v>
      </c>
      <c r="D805" s="48" t="s">
        <v>365</v>
      </c>
    </row>
    <row r="806" spans="2:4" x14ac:dyDescent="0.15">
      <c r="B806" s="46" t="s">
        <v>2483</v>
      </c>
      <c r="C806" s="47">
        <v>1304</v>
      </c>
      <c r="D806" s="48" t="s">
        <v>365</v>
      </c>
    </row>
    <row r="807" spans="2:4" x14ac:dyDescent="0.15">
      <c r="B807" s="46" t="s">
        <v>881</v>
      </c>
      <c r="C807" s="47">
        <v>1305</v>
      </c>
      <c r="D807" s="48" t="s">
        <v>365</v>
      </c>
    </row>
    <row r="808" spans="2:4" x14ac:dyDescent="0.15">
      <c r="B808" s="46" t="s">
        <v>883</v>
      </c>
      <c r="C808" s="47">
        <v>1306</v>
      </c>
      <c r="D808" s="48" t="s">
        <v>365</v>
      </c>
    </row>
    <row r="809" spans="2:4" x14ac:dyDescent="0.15">
      <c r="B809" s="46" t="s">
        <v>2484</v>
      </c>
      <c r="C809" s="47">
        <v>1307</v>
      </c>
      <c r="D809" s="48" t="s">
        <v>365</v>
      </c>
    </row>
    <row r="810" spans="2:4" x14ac:dyDescent="0.15">
      <c r="B810" s="46" t="s">
        <v>2485</v>
      </c>
      <c r="C810" s="47">
        <v>1308</v>
      </c>
      <c r="D810" s="48" t="s">
        <v>365</v>
      </c>
    </row>
    <row r="811" spans="2:4" x14ac:dyDescent="0.15">
      <c r="B811" s="46" t="s">
        <v>2486</v>
      </c>
      <c r="C811" s="47">
        <v>1309</v>
      </c>
      <c r="D811" s="48" t="s">
        <v>365</v>
      </c>
    </row>
    <row r="812" spans="2:4" x14ac:dyDescent="0.15">
      <c r="B812" s="46" t="s">
        <v>2487</v>
      </c>
      <c r="C812" s="47">
        <v>1310</v>
      </c>
      <c r="D812" s="48" t="s">
        <v>365</v>
      </c>
    </row>
    <row r="813" spans="2:4" x14ac:dyDescent="0.15">
      <c r="B813" s="46" t="s">
        <v>2488</v>
      </c>
      <c r="C813" s="47">
        <v>1311</v>
      </c>
      <c r="D813" s="48" t="s">
        <v>365</v>
      </c>
    </row>
    <row r="814" spans="2:4" x14ac:dyDescent="0.15">
      <c r="B814" s="46" t="s">
        <v>2489</v>
      </c>
      <c r="C814" s="47">
        <v>1312</v>
      </c>
      <c r="D814" s="48" t="s">
        <v>365</v>
      </c>
    </row>
    <row r="815" spans="2:4" x14ac:dyDescent="0.15">
      <c r="B815" s="46" t="s">
        <v>2490</v>
      </c>
      <c r="C815" s="47">
        <v>1313</v>
      </c>
      <c r="D815" s="48" t="s">
        <v>365</v>
      </c>
    </row>
    <row r="816" spans="2:4" x14ac:dyDescent="0.15">
      <c r="B816" s="46" t="s">
        <v>2491</v>
      </c>
      <c r="C816" s="47">
        <v>1314</v>
      </c>
      <c r="D816" s="48" t="s">
        <v>365</v>
      </c>
    </row>
    <row r="817" spans="2:4" x14ac:dyDescent="0.15">
      <c r="B817" s="46" t="s">
        <v>2492</v>
      </c>
      <c r="C817" s="47">
        <v>1315</v>
      </c>
      <c r="D817" s="48" t="s">
        <v>365</v>
      </c>
    </row>
    <row r="818" spans="2:4" x14ac:dyDescent="0.15">
      <c r="B818" s="46" t="s">
        <v>2493</v>
      </c>
      <c r="C818" s="47">
        <v>1316</v>
      </c>
      <c r="D818" s="48" t="s">
        <v>365</v>
      </c>
    </row>
    <row r="819" spans="2:4" x14ac:dyDescent="0.15">
      <c r="B819" s="46" t="s">
        <v>2494</v>
      </c>
      <c r="C819" s="47">
        <v>1317</v>
      </c>
      <c r="D819" s="48" t="s">
        <v>365</v>
      </c>
    </row>
    <row r="820" spans="2:4" x14ac:dyDescent="0.15">
      <c r="B820" s="46" t="s">
        <v>2495</v>
      </c>
      <c r="C820" s="47">
        <v>1318</v>
      </c>
      <c r="D820" s="48" t="s">
        <v>365</v>
      </c>
    </row>
    <row r="821" spans="2:4" x14ac:dyDescent="0.15">
      <c r="B821" s="46" t="s">
        <v>1316</v>
      </c>
      <c r="C821" s="47">
        <v>1319</v>
      </c>
      <c r="D821" s="48" t="s">
        <v>365</v>
      </c>
    </row>
    <row r="822" spans="2:4" x14ac:dyDescent="0.15">
      <c r="B822" s="46" t="s">
        <v>1318</v>
      </c>
      <c r="C822" s="47">
        <v>1320</v>
      </c>
      <c r="D822" s="48" t="s">
        <v>365</v>
      </c>
    </row>
    <row r="823" spans="2:4" x14ac:dyDescent="0.15">
      <c r="B823" s="46" t="s">
        <v>2496</v>
      </c>
      <c r="C823" s="47">
        <v>1321</v>
      </c>
      <c r="D823" s="48" t="s">
        <v>365</v>
      </c>
    </row>
    <row r="824" spans="2:4" x14ac:dyDescent="0.15">
      <c r="B824" s="46" t="s">
        <v>2497</v>
      </c>
      <c r="C824" s="47">
        <v>1322</v>
      </c>
      <c r="D824" s="48" t="s">
        <v>365</v>
      </c>
    </row>
    <row r="825" spans="2:4" x14ac:dyDescent="0.15">
      <c r="B825" s="46" t="s">
        <v>2498</v>
      </c>
      <c r="C825" s="47">
        <v>1323</v>
      </c>
      <c r="D825" s="48" t="s">
        <v>365</v>
      </c>
    </row>
    <row r="826" spans="2:4" x14ac:dyDescent="0.15">
      <c r="B826" s="46" t="s">
        <v>2499</v>
      </c>
      <c r="C826" s="47">
        <v>1324</v>
      </c>
      <c r="D826" s="48" t="s">
        <v>365</v>
      </c>
    </row>
    <row r="827" spans="2:4" x14ac:dyDescent="0.15">
      <c r="B827" s="46" t="s">
        <v>2500</v>
      </c>
      <c r="C827" s="47">
        <v>1325</v>
      </c>
      <c r="D827" s="48" t="s">
        <v>365</v>
      </c>
    </row>
    <row r="828" spans="2:4" x14ac:dyDescent="0.15">
      <c r="B828" s="46" t="s">
        <v>2501</v>
      </c>
      <c r="C828" s="47">
        <v>1326</v>
      </c>
      <c r="D828" s="48" t="s">
        <v>365</v>
      </c>
    </row>
    <row r="829" spans="2:4" x14ac:dyDescent="0.15">
      <c r="B829" s="46" t="s">
        <v>2502</v>
      </c>
      <c r="C829" s="47">
        <v>1327</v>
      </c>
      <c r="D829" s="48" t="s">
        <v>365</v>
      </c>
    </row>
    <row r="830" spans="2:4" x14ac:dyDescent="0.15">
      <c r="B830" s="46" t="s">
        <v>2503</v>
      </c>
      <c r="C830" s="47">
        <v>1328</v>
      </c>
      <c r="D830" s="48" t="s">
        <v>365</v>
      </c>
    </row>
    <row r="831" spans="2:4" x14ac:dyDescent="0.15">
      <c r="B831" s="46" t="s">
        <v>2504</v>
      </c>
      <c r="C831" s="47">
        <v>1329</v>
      </c>
      <c r="D831" s="48" t="s">
        <v>365</v>
      </c>
    </row>
    <row r="832" spans="2:4" x14ac:dyDescent="0.15">
      <c r="B832" s="46" t="s">
        <v>2505</v>
      </c>
      <c r="C832" s="47">
        <v>1330</v>
      </c>
      <c r="D832" s="48" t="s">
        <v>365</v>
      </c>
    </row>
    <row r="833" spans="2:4" x14ac:dyDescent="0.15">
      <c r="B833" s="46" t="s">
        <v>2506</v>
      </c>
      <c r="C833" s="47">
        <v>1331</v>
      </c>
      <c r="D833" s="48" t="s">
        <v>365</v>
      </c>
    </row>
    <row r="834" spans="2:4" x14ac:dyDescent="0.15">
      <c r="B834" s="46" t="s">
        <v>529</v>
      </c>
      <c r="C834" s="47">
        <v>1332</v>
      </c>
      <c r="D834" s="48" t="s">
        <v>365</v>
      </c>
    </row>
    <row r="835" spans="2:4" x14ac:dyDescent="0.15">
      <c r="B835" s="46" t="s">
        <v>2507</v>
      </c>
      <c r="C835" s="47">
        <v>1333</v>
      </c>
      <c r="D835" s="48" t="s">
        <v>365</v>
      </c>
    </row>
    <row r="836" spans="2:4" x14ac:dyDescent="0.15">
      <c r="B836" s="46" t="s">
        <v>2508</v>
      </c>
      <c r="C836" s="47">
        <v>1334</v>
      </c>
      <c r="D836" s="48" t="s">
        <v>365</v>
      </c>
    </row>
    <row r="837" spans="2:4" x14ac:dyDescent="0.15">
      <c r="B837" s="46" t="s">
        <v>2509</v>
      </c>
      <c r="C837" s="47">
        <v>1335</v>
      </c>
      <c r="D837" s="48" t="s">
        <v>365</v>
      </c>
    </row>
    <row r="838" spans="2:4" x14ac:dyDescent="0.15">
      <c r="B838" s="46" t="s">
        <v>2510</v>
      </c>
      <c r="C838" s="47">
        <v>1336</v>
      </c>
      <c r="D838" s="48" t="s">
        <v>365</v>
      </c>
    </row>
    <row r="839" spans="2:4" x14ac:dyDescent="0.15">
      <c r="B839" s="46" t="s">
        <v>2511</v>
      </c>
      <c r="C839" s="47">
        <v>1337</v>
      </c>
      <c r="D839" s="48" t="s">
        <v>365</v>
      </c>
    </row>
    <row r="840" spans="2:4" x14ac:dyDescent="0.15">
      <c r="B840" s="46" t="s">
        <v>2512</v>
      </c>
      <c r="C840" s="47">
        <v>1338</v>
      </c>
      <c r="D840" s="48" t="s">
        <v>365</v>
      </c>
    </row>
    <row r="841" spans="2:4" x14ac:dyDescent="0.15">
      <c r="B841" s="46" t="s">
        <v>2513</v>
      </c>
      <c r="C841" s="47">
        <v>1339</v>
      </c>
      <c r="D841" s="48" t="s">
        <v>365</v>
      </c>
    </row>
    <row r="842" spans="2:4" x14ac:dyDescent="0.15">
      <c r="B842" s="46" t="s">
        <v>2514</v>
      </c>
      <c r="C842" s="47">
        <v>1340</v>
      </c>
      <c r="D842" s="48" t="s">
        <v>365</v>
      </c>
    </row>
    <row r="843" spans="2:4" x14ac:dyDescent="0.15">
      <c r="B843" s="46" t="s">
        <v>2515</v>
      </c>
      <c r="C843" s="47">
        <v>1341</v>
      </c>
      <c r="D843" s="48" t="s">
        <v>365</v>
      </c>
    </row>
    <row r="844" spans="2:4" x14ac:dyDescent="0.15">
      <c r="B844" s="46" t="s">
        <v>2516</v>
      </c>
      <c r="C844" s="47">
        <v>1342</v>
      </c>
      <c r="D844" s="48" t="s">
        <v>365</v>
      </c>
    </row>
    <row r="845" spans="2:4" x14ac:dyDescent="0.15">
      <c r="B845" s="46" t="s">
        <v>2517</v>
      </c>
      <c r="C845" s="47">
        <v>1343</v>
      </c>
      <c r="D845" s="48" t="s">
        <v>365</v>
      </c>
    </row>
    <row r="846" spans="2:4" x14ac:dyDescent="0.15">
      <c r="B846" s="46" t="s">
        <v>2518</v>
      </c>
      <c r="C846" s="47">
        <v>1344</v>
      </c>
      <c r="D846" s="48" t="s">
        <v>365</v>
      </c>
    </row>
    <row r="847" spans="2:4" x14ac:dyDescent="0.15">
      <c r="B847" s="46" t="s">
        <v>2519</v>
      </c>
      <c r="C847" s="47">
        <v>1345</v>
      </c>
      <c r="D847" s="48" t="s">
        <v>365</v>
      </c>
    </row>
    <row r="848" spans="2:4" x14ac:dyDescent="0.15">
      <c r="B848" s="46" t="s">
        <v>2520</v>
      </c>
      <c r="C848" s="47">
        <v>1346</v>
      </c>
      <c r="D848" s="48" t="s">
        <v>365</v>
      </c>
    </row>
    <row r="849" spans="2:4" x14ac:dyDescent="0.15">
      <c r="B849" s="46" t="s">
        <v>2521</v>
      </c>
      <c r="C849" s="47">
        <v>1347</v>
      </c>
      <c r="D849" s="48" t="s">
        <v>365</v>
      </c>
    </row>
    <row r="850" spans="2:4" x14ac:dyDescent="0.15">
      <c r="B850" s="46" t="s">
        <v>2522</v>
      </c>
      <c r="C850" s="47">
        <v>1348</v>
      </c>
      <c r="D850" s="48" t="s">
        <v>365</v>
      </c>
    </row>
    <row r="851" spans="2:4" x14ac:dyDescent="0.15">
      <c r="B851" s="46" t="s">
        <v>2523</v>
      </c>
      <c r="C851" s="47">
        <v>1349</v>
      </c>
      <c r="D851" s="48" t="s">
        <v>365</v>
      </c>
    </row>
    <row r="852" spans="2:4" x14ac:dyDescent="0.15">
      <c r="B852" s="46" t="s">
        <v>1777</v>
      </c>
      <c r="C852" s="47">
        <v>1350</v>
      </c>
      <c r="D852" s="48" t="s">
        <v>365</v>
      </c>
    </row>
    <row r="853" spans="2:4" x14ac:dyDescent="0.15">
      <c r="B853" s="46" t="s">
        <v>2524</v>
      </c>
      <c r="C853" s="47">
        <v>1351</v>
      </c>
      <c r="D853" s="48" t="s">
        <v>365</v>
      </c>
    </row>
    <row r="854" spans="2:4" x14ac:dyDescent="0.15">
      <c r="B854" s="46" t="s">
        <v>2525</v>
      </c>
      <c r="C854" s="47">
        <v>1352</v>
      </c>
      <c r="D854" s="48" t="s">
        <v>365</v>
      </c>
    </row>
    <row r="855" spans="2:4" x14ac:dyDescent="0.15">
      <c r="B855" s="46" t="s">
        <v>2526</v>
      </c>
      <c r="C855" s="47">
        <v>1353</v>
      </c>
      <c r="D855" s="48" t="s">
        <v>365</v>
      </c>
    </row>
    <row r="856" spans="2:4" x14ac:dyDescent="0.15">
      <c r="B856" s="46" t="s">
        <v>761</v>
      </c>
      <c r="C856" s="47">
        <v>1354</v>
      </c>
      <c r="D856" s="48" t="s">
        <v>365</v>
      </c>
    </row>
    <row r="857" spans="2:4" x14ac:dyDescent="0.15">
      <c r="B857" s="46" t="s">
        <v>2527</v>
      </c>
      <c r="C857" s="47">
        <v>1355</v>
      </c>
      <c r="D857" s="48" t="s">
        <v>365</v>
      </c>
    </row>
    <row r="858" spans="2:4" x14ac:dyDescent="0.15">
      <c r="B858" s="46" t="s">
        <v>2528</v>
      </c>
      <c r="C858" s="47">
        <v>1356</v>
      </c>
      <c r="D858" s="48" t="s">
        <v>365</v>
      </c>
    </row>
    <row r="859" spans="2:4" x14ac:dyDescent="0.15">
      <c r="B859" s="46" t="s">
        <v>721</v>
      </c>
      <c r="C859" s="47">
        <v>1357</v>
      </c>
      <c r="D859" s="48" t="s">
        <v>365</v>
      </c>
    </row>
    <row r="860" spans="2:4" x14ac:dyDescent="0.15">
      <c r="B860" s="46" t="s">
        <v>741</v>
      </c>
      <c r="C860" s="47">
        <v>1358</v>
      </c>
      <c r="D860" s="48" t="s">
        <v>365</v>
      </c>
    </row>
    <row r="861" spans="2:4" x14ac:dyDescent="0.15">
      <c r="B861" s="46" t="s">
        <v>731</v>
      </c>
      <c r="C861" s="47">
        <v>1359</v>
      </c>
      <c r="D861" s="48" t="s">
        <v>365</v>
      </c>
    </row>
    <row r="862" spans="2:4" x14ac:dyDescent="0.15">
      <c r="B862" s="46" t="s">
        <v>751</v>
      </c>
      <c r="C862" s="47">
        <v>1360</v>
      </c>
      <c r="D862" s="48" t="s">
        <v>365</v>
      </c>
    </row>
    <row r="863" spans="2:4" x14ac:dyDescent="0.15">
      <c r="B863" s="46" t="s">
        <v>1293</v>
      </c>
      <c r="C863" s="47">
        <v>1361</v>
      </c>
      <c r="D863" s="48" t="s">
        <v>365</v>
      </c>
    </row>
    <row r="864" spans="2:4" x14ac:dyDescent="0.15">
      <c r="B864" s="46" t="s">
        <v>2529</v>
      </c>
      <c r="C864" s="47">
        <v>1362</v>
      </c>
      <c r="D864" s="48" t="s">
        <v>365</v>
      </c>
    </row>
    <row r="865" spans="2:4" x14ac:dyDescent="0.15">
      <c r="B865" s="46" t="s">
        <v>2530</v>
      </c>
      <c r="C865" s="47">
        <v>1363</v>
      </c>
      <c r="D865" s="48" t="s">
        <v>365</v>
      </c>
    </row>
    <row r="866" spans="2:4" x14ac:dyDescent="0.15">
      <c r="B866" s="46" t="s">
        <v>1747</v>
      </c>
      <c r="C866" s="47">
        <v>1364</v>
      </c>
      <c r="D866" s="48" t="s">
        <v>365</v>
      </c>
    </row>
    <row r="867" spans="2:4" x14ac:dyDescent="0.15">
      <c r="B867" s="46" t="s">
        <v>2531</v>
      </c>
      <c r="C867" s="47">
        <v>1365</v>
      </c>
      <c r="D867" s="48" t="s">
        <v>365</v>
      </c>
    </row>
    <row r="868" spans="2:4" x14ac:dyDescent="0.15">
      <c r="B868" s="46" t="s">
        <v>2532</v>
      </c>
      <c r="C868" s="47">
        <v>1366</v>
      </c>
      <c r="D868" s="48" t="s">
        <v>365</v>
      </c>
    </row>
    <row r="869" spans="2:4" x14ac:dyDescent="0.15">
      <c r="B869" s="46" t="s">
        <v>2533</v>
      </c>
      <c r="C869" s="47">
        <v>1367</v>
      </c>
      <c r="D869" s="48" t="s">
        <v>365</v>
      </c>
    </row>
    <row r="870" spans="2:4" x14ac:dyDescent="0.15">
      <c r="B870" s="46" t="s">
        <v>2534</v>
      </c>
      <c r="C870" s="47">
        <v>1368</v>
      </c>
      <c r="D870" s="48" t="s">
        <v>365</v>
      </c>
    </row>
    <row r="871" spans="2:4" x14ac:dyDescent="0.15">
      <c r="B871" s="46" t="s">
        <v>2535</v>
      </c>
      <c r="C871" s="47">
        <v>1369</v>
      </c>
      <c r="D871" s="48" t="s">
        <v>365</v>
      </c>
    </row>
    <row r="872" spans="2:4" x14ac:dyDescent="0.15">
      <c r="B872" s="46" t="s">
        <v>2536</v>
      </c>
      <c r="C872" s="47">
        <v>1370</v>
      </c>
      <c r="D872" s="48" t="s">
        <v>365</v>
      </c>
    </row>
    <row r="873" spans="2:4" x14ac:dyDescent="0.15">
      <c r="B873" s="46" t="s">
        <v>2537</v>
      </c>
      <c r="C873" s="47">
        <v>1371</v>
      </c>
      <c r="D873" s="48" t="s">
        <v>365</v>
      </c>
    </row>
    <row r="874" spans="2:4" x14ac:dyDescent="0.15">
      <c r="B874" s="46" t="s">
        <v>2538</v>
      </c>
      <c r="C874" s="47">
        <v>1372</v>
      </c>
      <c r="D874" s="48" t="s">
        <v>365</v>
      </c>
    </row>
    <row r="875" spans="2:4" x14ac:dyDescent="0.15">
      <c r="B875" s="46" t="s">
        <v>2539</v>
      </c>
      <c r="C875" s="47">
        <v>1373</v>
      </c>
      <c r="D875" s="48" t="s">
        <v>365</v>
      </c>
    </row>
    <row r="876" spans="2:4" x14ac:dyDescent="0.15">
      <c r="B876" s="46" t="s">
        <v>2540</v>
      </c>
      <c r="C876" s="47">
        <v>1374</v>
      </c>
      <c r="D876" s="48" t="s">
        <v>365</v>
      </c>
    </row>
    <row r="877" spans="2:4" x14ac:dyDescent="0.15">
      <c r="B877" s="46" t="s">
        <v>2541</v>
      </c>
      <c r="C877" s="47">
        <v>1375</v>
      </c>
      <c r="D877" s="48" t="s">
        <v>365</v>
      </c>
    </row>
    <row r="878" spans="2:4" x14ac:dyDescent="0.15">
      <c r="B878" s="46" t="s">
        <v>2542</v>
      </c>
      <c r="C878" s="47">
        <v>1376</v>
      </c>
      <c r="D878" s="48" t="s">
        <v>365</v>
      </c>
    </row>
    <row r="879" spans="2:4" x14ac:dyDescent="0.15">
      <c r="B879" s="46" t="s">
        <v>2543</v>
      </c>
      <c r="C879" s="47">
        <v>1377</v>
      </c>
      <c r="D879" s="48" t="s">
        <v>365</v>
      </c>
    </row>
    <row r="880" spans="2:4" x14ac:dyDescent="0.15">
      <c r="B880" s="46" t="s">
        <v>2544</v>
      </c>
      <c r="C880" s="47">
        <v>1378</v>
      </c>
      <c r="D880" s="48" t="s">
        <v>365</v>
      </c>
    </row>
    <row r="881" spans="2:4" x14ac:dyDescent="0.15">
      <c r="B881" s="46" t="s">
        <v>2545</v>
      </c>
      <c r="C881" s="47">
        <v>1379</v>
      </c>
      <c r="D881" s="48" t="s">
        <v>365</v>
      </c>
    </row>
    <row r="882" spans="2:4" x14ac:dyDescent="0.15">
      <c r="B882" s="46" t="s">
        <v>2546</v>
      </c>
      <c r="C882" s="47">
        <v>1380</v>
      </c>
      <c r="D882" s="48" t="s">
        <v>365</v>
      </c>
    </row>
    <row r="883" spans="2:4" x14ac:dyDescent="0.15">
      <c r="B883" s="46" t="s">
        <v>2547</v>
      </c>
      <c r="C883" s="47">
        <v>1381</v>
      </c>
      <c r="D883" s="48" t="s">
        <v>365</v>
      </c>
    </row>
    <row r="884" spans="2:4" x14ac:dyDescent="0.15">
      <c r="B884" s="46" t="s">
        <v>2548</v>
      </c>
      <c r="C884" s="47">
        <v>1382</v>
      </c>
      <c r="D884" s="48" t="s">
        <v>365</v>
      </c>
    </row>
    <row r="885" spans="2:4" x14ac:dyDescent="0.15">
      <c r="B885" s="46" t="s">
        <v>2549</v>
      </c>
      <c r="C885" s="47">
        <v>1383</v>
      </c>
      <c r="D885" s="48" t="s">
        <v>365</v>
      </c>
    </row>
    <row r="886" spans="2:4" x14ac:dyDescent="0.15">
      <c r="B886" s="46" t="s">
        <v>2550</v>
      </c>
      <c r="C886" s="47">
        <v>1384</v>
      </c>
      <c r="D886" s="48" t="s">
        <v>365</v>
      </c>
    </row>
    <row r="887" spans="2:4" x14ac:dyDescent="0.15">
      <c r="B887" s="46" t="s">
        <v>2551</v>
      </c>
      <c r="C887" s="47">
        <v>1385</v>
      </c>
      <c r="D887" s="48" t="s">
        <v>365</v>
      </c>
    </row>
    <row r="888" spans="2:4" x14ac:dyDescent="0.15">
      <c r="B888" s="46" t="s">
        <v>1192</v>
      </c>
      <c r="C888" s="47">
        <v>1386</v>
      </c>
      <c r="D888" s="48" t="s">
        <v>365</v>
      </c>
    </row>
    <row r="889" spans="2:4" x14ac:dyDescent="0.15">
      <c r="B889" s="46" t="s">
        <v>2552</v>
      </c>
      <c r="C889" s="47">
        <v>1387</v>
      </c>
      <c r="D889" s="48" t="s">
        <v>365</v>
      </c>
    </row>
    <row r="890" spans="2:4" x14ac:dyDescent="0.15">
      <c r="B890" s="46" t="s">
        <v>2553</v>
      </c>
      <c r="C890" s="47">
        <v>1388</v>
      </c>
      <c r="D890" s="48" t="s">
        <v>365</v>
      </c>
    </row>
    <row r="891" spans="2:4" x14ac:dyDescent="0.15">
      <c r="B891" s="46" t="s">
        <v>2554</v>
      </c>
      <c r="C891" s="47">
        <v>1389</v>
      </c>
      <c r="D891" s="48" t="s">
        <v>365</v>
      </c>
    </row>
    <row r="892" spans="2:4" x14ac:dyDescent="0.15">
      <c r="B892" s="46" t="s">
        <v>2555</v>
      </c>
      <c r="C892" s="47">
        <v>1390</v>
      </c>
      <c r="D892" s="48" t="s">
        <v>365</v>
      </c>
    </row>
    <row r="893" spans="2:4" x14ac:dyDescent="0.15">
      <c r="B893" s="46" t="s">
        <v>2556</v>
      </c>
      <c r="C893" s="47">
        <v>1391</v>
      </c>
      <c r="D893" s="48" t="s">
        <v>365</v>
      </c>
    </row>
    <row r="894" spans="2:4" x14ac:dyDescent="0.15">
      <c r="B894" s="46" t="s">
        <v>2557</v>
      </c>
      <c r="C894" s="47">
        <v>1392</v>
      </c>
      <c r="D894" s="48" t="s">
        <v>365</v>
      </c>
    </row>
    <row r="895" spans="2:4" x14ac:dyDescent="0.15">
      <c r="B895" s="46" t="s">
        <v>2558</v>
      </c>
      <c r="C895" s="47">
        <v>1393</v>
      </c>
      <c r="D895" s="48" t="s">
        <v>365</v>
      </c>
    </row>
    <row r="896" spans="2:4" x14ac:dyDescent="0.15">
      <c r="B896" s="46" t="s">
        <v>779</v>
      </c>
      <c r="C896" s="47">
        <v>1394</v>
      </c>
      <c r="D896" s="48" t="s">
        <v>365</v>
      </c>
    </row>
    <row r="897" spans="2:4" x14ac:dyDescent="0.15">
      <c r="B897" s="46" t="s">
        <v>2559</v>
      </c>
      <c r="C897" s="47">
        <v>1395</v>
      </c>
      <c r="D897" s="48" t="s">
        <v>365</v>
      </c>
    </row>
    <row r="898" spans="2:4" x14ac:dyDescent="0.15">
      <c r="B898" s="46" t="s">
        <v>2560</v>
      </c>
      <c r="C898" s="47">
        <v>1396</v>
      </c>
      <c r="D898" s="48" t="s">
        <v>365</v>
      </c>
    </row>
    <row r="899" spans="2:4" x14ac:dyDescent="0.15">
      <c r="B899" s="46" t="s">
        <v>2561</v>
      </c>
      <c r="C899" s="47">
        <v>1397</v>
      </c>
      <c r="D899" s="48" t="s">
        <v>365</v>
      </c>
    </row>
    <row r="900" spans="2:4" x14ac:dyDescent="0.15">
      <c r="B900" s="46" t="s">
        <v>2562</v>
      </c>
      <c r="C900" s="47">
        <v>1398</v>
      </c>
      <c r="D900" s="48" t="s">
        <v>365</v>
      </c>
    </row>
    <row r="901" spans="2:4" x14ac:dyDescent="0.15">
      <c r="B901" s="46" t="s">
        <v>2563</v>
      </c>
      <c r="C901" s="47">
        <v>1399</v>
      </c>
      <c r="D901" s="48" t="s">
        <v>365</v>
      </c>
    </row>
    <row r="902" spans="2:4" x14ac:dyDescent="0.15">
      <c r="B902" s="46" t="s">
        <v>2564</v>
      </c>
      <c r="C902" s="47">
        <v>1400</v>
      </c>
      <c r="D902" s="48" t="s">
        <v>365</v>
      </c>
    </row>
    <row r="903" spans="2:4" x14ac:dyDescent="0.15">
      <c r="B903" s="46" t="s">
        <v>2565</v>
      </c>
      <c r="C903" s="47">
        <v>1401</v>
      </c>
      <c r="D903" s="48" t="s">
        <v>365</v>
      </c>
    </row>
    <row r="904" spans="2:4" x14ac:dyDescent="0.15">
      <c r="B904" s="46" t="s">
        <v>2566</v>
      </c>
      <c r="C904" s="47">
        <v>1402</v>
      </c>
      <c r="D904" s="48" t="s">
        <v>365</v>
      </c>
    </row>
    <row r="905" spans="2:4" x14ac:dyDescent="0.15">
      <c r="B905" s="46" t="s">
        <v>2567</v>
      </c>
      <c r="C905" s="47">
        <v>1403</v>
      </c>
      <c r="D905" s="48" t="s">
        <v>365</v>
      </c>
    </row>
    <row r="906" spans="2:4" x14ac:dyDescent="0.15">
      <c r="B906" s="46" t="s">
        <v>2568</v>
      </c>
      <c r="C906" s="47">
        <v>1404</v>
      </c>
      <c r="D906" s="48" t="s">
        <v>365</v>
      </c>
    </row>
    <row r="907" spans="2:4" x14ac:dyDescent="0.15">
      <c r="B907" s="46" t="s">
        <v>2569</v>
      </c>
      <c r="C907" s="47">
        <v>1405</v>
      </c>
      <c r="D907" s="48" t="s">
        <v>365</v>
      </c>
    </row>
    <row r="908" spans="2:4" x14ac:dyDescent="0.15">
      <c r="B908" s="46" t="s">
        <v>2570</v>
      </c>
      <c r="C908" s="47">
        <v>1406</v>
      </c>
      <c r="D908" s="48" t="s">
        <v>365</v>
      </c>
    </row>
    <row r="909" spans="2:4" x14ac:dyDescent="0.15">
      <c r="B909" s="46" t="s">
        <v>2571</v>
      </c>
      <c r="C909" s="47">
        <v>1407</v>
      </c>
      <c r="D909" s="48" t="s">
        <v>365</v>
      </c>
    </row>
    <row r="910" spans="2:4" x14ac:dyDescent="0.15">
      <c r="B910" s="46" t="s">
        <v>2572</v>
      </c>
      <c r="C910" s="47">
        <v>1408</v>
      </c>
      <c r="D910" s="48" t="s">
        <v>365</v>
      </c>
    </row>
    <row r="911" spans="2:4" x14ac:dyDescent="0.15">
      <c r="B911" s="46" t="s">
        <v>2573</v>
      </c>
      <c r="C911" s="47">
        <v>1409</v>
      </c>
      <c r="D911" s="48" t="s">
        <v>365</v>
      </c>
    </row>
    <row r="912" spans="2:4" x14ac:dyDescent="0.15">
      <c r="B912" s="46" t="s">
        <v>2574</v>
      </c>
      <c r="C912" s="47">
        <v>1410</v>
      </c>
      <c r="D912" s="48" t="s">
        <v>365</v>
      </c>
    </row>
    <row r="913" spans="2:4" x14ac:dyDescent="0.15">
      <c r="B913" s="46" t="s">
        <v>2575</v>
      </c>
      <c r="C913" s="47">
        <v>1411</v>
      </c>
      <c r="D913" s="48" t="s">
        <v>365</v>
      </c>
    </row>
    <row r="914" spans="2:4" x14ac:dyDescent="0.15">
      <c r="B914" s="46" t="s">
        <v>2576</v>
      </c>
      <c r="C914" s="47">
        <v>1412</v>
      </c>
      <c r="D914" s="48" t="s">
        <v>365</v>
      </c>
    </row>
    <row r="915" spans="2:4" x14ac:dyDescent="0.15">
      <c r="B915" s="46" t="s">
        <v>2577</v>
      </c>
      <c r="C915" s="47">
        <v>1413</v>
      </c>
      <c r="D915" s="48" t="s">
        <v>365</v>
      </c>
    </row>
    <row r="916" spans="2:4" x14ac:dyDescent="0.15">
      <c r="B916" s="46" t="s">
        <v>2578</v>
      </c>
      <c r="C916" s="47">
        <v>1414</v>
      </c>
      <c r="D916" s="48" t="s">
        <v>365</v>
      </c>
    </row>
    <row r="917" spans="2:4" x14ac:dyDescent="0.15">
      <c r="B917" s="46" t="s">
        <v>2579</v>
      </c>
      <c r="C917" s="47">
        <v>1415</v>
      </c>
      <c r="D917" s="48" t="s">
        <v>365</v>
      </c>
    </row>
    <row r="918" spans="2:4" x14ac:dyDescent="0.15">
      <c r="B918" s="46" t="s">
        <v>2580</v>
      </c>
      <c r="C918" s="47">
        <v>1416</v>
      </c>
      <c r="D918" s="48" t="s">
        <v>365</v>
      </c>
    </row>
    <row r="919" spans="2:4" x14ac:dyDescent="0.15">
      <c r="B919" s="46" t="s">
        <v>2581</v>
      </c>
      <c r="C919" s="47">
        <v>1417</v>
      </c>
      <c r="D919" s="48" t="s">
        <v>365</v>
      </c>
    </row>
    <row r="920" spans="2:4" x14ac:dyDescent="0.15">
      <c r="B920" s="46" t="s">
        <v>2582</v>
      </c>
      <c r="C920" s="47">
        <v>1418</v>
      </c>
      <c r="D920" s="48" t="s">
        <v>365</v>
      </c>
    </row>
    <row r="921" spans="2:4" x14ac:dyDescent="0.15">
      <c r="B921" s="46" t="s">
        <v>2583</v>
      </c>
      <c r="C921" s="47">
        <v>1419</v>
      </c>
      <c r="D921" s="48" t="s">
        <v>365</v>
      </c>
    </row>
    <row r="922" spans="2:4" x14ac:dyDescent="0.15">
      <c r="B922" s="46" t="s">
        <v>2584</v>
      </c>
      <c r="C922" s="47">
        <v>1420</v>
      </c>
      <c r="D922" s="48" t="s">
        <v>365</v>
      </c>
    </row>
    <row r="923" spans="2:4" x14ac:dyDescent="0.15">
      <c r="B923" s="46" t="s">
        <v>2585</v>
      </c>
      <c r="C923" s="47">
        <v>1421</v>
      </c>
      <c r="D923" s="48" t="s">
        <v>365</v>
      </c>
    </row>
    <row r="924" spans="2:4" x14ac:dyDescent="0.15">
      <c r="B924" s="46" t="s">
        <v>2586</v>
      </c>
      <c r="C924" s="47">
        <v>1422</v>
      </c>
      <c r="D924" s="48" t="s">
        <v>365</v>
      </c>
    </row>
    <row r="925" spans="2:4" x14ac:dyDescent="0.15">
      <c r="B925" s="46" t="s">
        <v>2587</v>
      </c>
      <c r="C925" s="47">
        <v>1423</v>
      </c>
      <c r="D925" s="48" t="s">
        <v>365</v>
      </c>
    </row>
    <row r="926" spans="2:4" x14ac:dyDescent="0.15">
      <c r="B926" s="46" t="s">
        <v>2588</v>
      </c>
      <c r="C926" s="47">
        <v>1424</v>
      </c>
      <c r="D926" s="48" t="s">
        <v>365</v>
      </c>
    </row>
    <row r="927" spans="2:4" x14ac:dyDescent="0.15">
      <c r="B927" s="46" t="s">
        <v>2589</v>
      </c>
      <c r="C927" s="47">
        <v>1425</v>
      </c>
      <c r="D927" s="48" t="s">
        <v>365</v>
      </c>
    </row>
    <row r="928" spans="2:4" x14ac:dyDescent="0.15">
      <c r="B928" s="46" t="s">
        <v>2590</v>
      </c>
      <c r="C928" s="47">
        <v>1426</v>
      </c>
      <c r="D928" s="48" t="s">
        <v>365</v>
      </c>
    </row>
    <row r="929" spans="2:4" x14ac:dyDescent="0.15">
      <c r="B929" s="46" t="s">
        <v>2591</v>
      </c>
      <c r="C929" s="47">
        <v>1427</v>
      </c>
      <c r="D929" s="48" t="s">
        <v>365</v>
      </c>
    </row>
    <row r="930" spans="2:4" x14ac:dyDescent="0.15">
      <c r="B930" s="46" t="s">
        <v>2592</v>
      </c>
      <c r="C930" s="47">
        <v>1428</v>
      </c>
      <c r="D930" s="48" t="s">
        <v>365</v>
      </c>
    </row>
    <row r="931" spans="2:4" x14ac:dyDescent="0.15">
      <c r="B931" s="46" t="s">
        <v>2593</v>
      </c>
      <c r="C931" s="47">
        <v>1429</v>
      </c>
      <c r="D931" s="48" t="s">
        <v>365</v>
      </c>
    </row>
    <row r="932" spans="2:4" x14ac:dyDescent="0.15">
      <c r="B932" s="46" t="s">
        <v>1361</v>
      </c>
      <c r="C932" s="47">
        <v>1430</v>
      </c>
      <c r="D932" s="48" t="s">
        <v>365</v>
      </c>
    </row>
    <row r="933" spans="2:4" x14ac:dyDescent="0.15">
      <c r="B933" s="46" t="s">
        <v>2594</v>
      </c>
      <c r="C933" s="47">
        <v>1431</v>
      </c>
      <c r="D933" s="48" t="s">
        <v>365</v>
      </c>
    </row>
    <row r="934" spans="2:4" x14ac:dyDescent="0.15">
      <c r="B934" s="46" t="s">
        <v>2595</v>
      </c>
      <c r="C934" s="47">
        <v>1432</v>
      </c>
      <c r="D934" s="48" t="s">
        <v>365</v>
      </c>
    </row>
    <row r="935" spans="2:4" x14ac:dyDescent="0.15">
      <c r="B935" s="46" t="s">
        <v>2596</v>
      </c>
      <c r="C935" s="47">
        <v>1433</v>
      </c>
      <c r="D935" s="48" t="s">
        <v>365</v>
      </c>
    </row>
    <row r="936" spans="2:4" x14ac:dyDescent="0.15">
      <c r="B936" s="46" t="s">
        <v>2597</v>
      </c>
      <c r="C936" s="47">
        <v>1434</v>
      </c>
      <c r="D936" s="48" t="s">
        <v>365</v>
      </c>
    </row>
    <row r="937" spans="2:4" x14ac:dyDescent="0.15">
      <c r="B937" s="46" t="s">
        <v>2598</v>
      </c>
      <c r="C937" s="47">
        <v>1435</v>
      </c>
      <c r="D937" s="48" t="s">
        <v>365</v>
      </c>
    </row>
    <row r="938" spans="2:4" x14ac:dyDescent="0.15">
      <c r="B938" s="46" t="s">
        <v>2599</v>
      </c>
      <c r="C938" s="47">
        <v>1436</v>
      </c>
      <c r="D938" s="48" t="s">
        <v>365</v>
      </c>
    </row>
    <row r="939" spans="2:4" x14ac:dyDescent="0.15">
      <c r="B939" s="46" t="s">
        <v>2600</v>
      </c>
      <c r="C939" s="47">
        <v>1437</v>
      </c>
      <c r="D939" s="48" t="s">
        <v>365</v>
      </c>
    </row>
    <row r="940" spans="2:4" x14ac:dyDescent="0.15">
      <c r="B940" s="46" t="s">
        <v>2601</v>
      </c>
      <c r="C940" s="47">
        <v>1438</v>
      </c>
      <c r="D940" s="48" t="s">
        <v>365</v>
      </c>
    </row>
    <row r="941" spans="2:4" x14ac:dyDescent="0.15">
      <c r="B941" s="46" t="s">
        <v>2602</v>
      </c>
      <c r="C941" s="47">
        <v>1439</v>
      </c>
      <c r="D941" s="48" t="s">
        <v>365</v>
      </c>
    </row>
    <row r="942" spans="2:4" x14ac:dyDescent="0.15">
      <c r="B942" s="46" t="s">
        <v>2603</v>
      </c>
      <c r="C942" s="47">
        <v>1440</v>
      </c>
      <c r="D942" s="48" t="s">
        <v>365</v>
      </c>
    </row>
    <row r="943" spans="2:4" x14ac:dyDescent="0.15">
      <c r="B943" s="46" t="s">
        <v>2604</v>
      </c>
      <c r="C943" s="47">
        <v>1441</v>
      </c>
      <c r="D943" s="48" t="s">
        <v>365</v>
      </c>
    </row>
    <row r="944" spans="2:4" x14ac:dyDescent="0.15">
      <c r="B944" s="46" t="s">
        <v>2605</v>
      </c>
      <c r="C944" s="47">
        <v>1442</v>
      </c>
      <c r="D944" s="48" t="s">
        <v>365</v>
      </c>
    </row>
    <row r="945" spans="2:4" x14ac:dyDescent="0.15">
      <c r="B945" s="46" t="s">
        <v>2606</v>
      </c>
      <c r="C945" s="47">
        <v>1443</v>
      </c>
      <c r="D945" s="48" t="s">
        <v>365</v>
      </c>
    </row>
    <row r="946" spans="2:4" x14ac:dyDescent="0.15">
      <c r="B946" s="46" t="s">
        <v>2607</v>
      </c>
      <c r="C946" s="47">
        <v>1444</v>
      </c>
      <c r="D946" s="48" t="s">
        <v>365</v>
      </c>
    </row>
    <row r="947" spans="2:4" x14ac:dyDescent="0.15">
      <c r="B947" s="46" t="s">
        <v>1796</v>
      </c>
      <c r="C947" s="47">
        <v>1445</v>
      </c>
      <c r="D947" s="48" t="s">
        <v>365</v>
      </c>
    </row>
    <row r="948" spans="2:4" x14ac:dyDescent="0.15">
      <c r="B948" s="46" t="s">
        <v>2608</v>
      </c>
      <c r="C948" s="47">
        <v>1446</v>
      </c>
      <c r="D948" s="48" t="s">
        <v>365</v>
      </c>
    </row>
    <row r="949" spans="2:4" x14ac:dyDescent="0.15">
      <c r="B949" s="46" t="s">
        <v>2609</v>
      </c>
      <c r="C949" s="47">
        <v>1447</v>
      </c>
      <c r="D949" s="48" t="s">
        <v>365</v>
      </c>
    </row>
    <row r="950" spans="2:4" x14ac:dyDescent="0.15">
      <c r="B950" s="46" t="s">
        <v>2610</v>
      </c>
      <c r="C950" s="47">
        <v>1448</v>
      </c>
      <c r="D950" s="48" t="s">
        <v>365</v>
      </c>
    </row>
    <row r="951" spans="2:4" x14ac:dyDescent="0.15">
      <c r="B951" s="46" t="s">
        <v>2611</v>
      </c>
      <c r="C951" s="47">
        <v>1449</v>
      </c>
      <c r="D951" s="48" t="s">
        <v>365</v>
      </c>
    </row>
    <row r="952" spans="2:4" x14ac:dyDescent="0.15">
      <c r="B952" s="46" t="s">
        <v>2612</v>
      </c>
      <c r="C952" s="47">
        <v>1450</v>
      </c>
      <c r="D952" s="48" t="s">
        <v>365</v>
      </c>
    </row>
    <row r="953" spans="2:4" x14ac:dyDescent="0.15">
      <c r="B953" s="46" t="s">
        <v>2613</v>
      </c>
      <c r="C953" s="47">
        <v>1451</v>
      </c>
      <c r="D953" s="48" t="s">
        <v>365</v>
      </c>
    </row>
    <row r="954" spans="2:4" x14ac:dyDescent="0.15">
      <c r="B954" s="46" t="s">
        <v>2614</v>
      </c>
      <c r="C954" s="47">
        <v>1452</v>
      </c>
      <c r="D954" s="48" t="s">
        <v>365</v>
      </c>
    </row>
    <row r="955" spans="2:4" x14ac:dyDescent="0.15">
      <c r="B955" s="46" t="s">
        <v>2615</v>
      </c>
      <c r="C955" s="47">
        <v>1453</v>
      </c>
      <c r="D955" s="48" t="s">
        <v>365</v>
      </c>
    </row>
    <row r="956" spans="2:4" x14ac:dyDescent="0.15">
      <c r="B956" s="46" t="s">
        <v>2616</v>
      </c>
      <c r="C956" s="47">
        <v>1454</v>
      </c>
      <c r="D956" s="48" t="s">
        <v>365</v>
      </c>
    </row>
    <row r="957" spans="2:4" x14ac:dyDescent="0.15">
      <c r="B957" s="46" t="s">
        <v>2617</v>
      </c>
      <c r="C957" s="47">
        <v>1455</v>
      </c>
      <c r="D957" s="48" t="s">
        <v>365</v>
      </c>
    </row>
    <row r="958" spans="2:4" x14ac:dyDescent="0.15">
      <c r="B958" s="46" t="s">
        <v>2618</v>
      </c>
      <c r="C958" s="47">
        <v>1456</v>
      </c>
      <c r="D958" s="48" t="s">
        <v>365</v>
      </c>
    </row>
    <row r="959" spans="2:4" x14ac:dyDescent="0.15">
      <c r="B959" s="46" t="s">
        <v>2619</v>
      </c>
      <c r="C959" s="47">
        <v>1457</v>
      </c>
      <c r="D959" s="48" t="s">
        <v>365</v>
      </c>
    </row>
    <row r="960" spans="2:4" x14ac:dyDescent="0.15">
      <c r="B960" s="46" t="s">
        <v>595</v>
      </c>
      <c r="C960" s="47">
        <v>1458</v>
      </c>
      <c r="D960" s="48" t="s">
        <v>365</v>
      </c>
    </row>
    <row r="961" spans="2:4" x14ac:dyDescent="0.15">
      <c r="B961" s="46" t="s">
        <v>2620</v>
      </c>
      <c r="C961" s="47">
        <v>1459</v>
      </c>
      <c r="D961" s="48" t="s">
        <v>365</v>
      </c>
    </row>
    <row r="962" spans="2:4" x14ac:dyDescent="0.15">
      <c r="B962" s="46" t="s">
        <v>2621</v>
      </c>
      <c r="C962" s="47">
        <v>1460</v>
      </c>
      <c r="D962" s="48" t="s">
        <v>365</v>
      </c>
    </row>
    <row r="963" spans="2:4" x14ac:dyDescent="0.15">
      <c r="B963" s="46" t="s">
        <v>2622</v>
      </c>
      <c r="C963" s="47">
        <v>1461</v>
      </c>
      <c r="D963" s="48" t="s">
        <v>365</v>
      </c>
    </row>
    <row r="964" spans="2:4" x14ac:dyDescent="0.15">
      <c r="B964" s="46" t="s">
        <v>2623</v>
      </c>
      <c r="C964" s="47">
        <v>1462</v>
      </c>
      <c r="D964" s="48" t="s">
        <v>365</v>
      </c>
    </row>
    <row r="965" spans="2:4" x14ac:dyDescent="0.15">
      <c r="B965" s="46" t="s">
        <v>1182</v>
      </c>
      <c r="C965" s="47">
        <v>1463</v>
      </c>
      <c r="D965" s="48" t="s">
        <v>365</v>
      </c>
    </row>
    <row r="966" spans="2:4" x14ac:dyDescent="0.15">
      <c r="B966" s="46" t="s">
        <v>539</v>
      </c>
      <c r="C966" s="47">
        <v>1464</v>
      </c>
      <c r="D966" s="48" t="s">
        <v>365</v>
      </c>
    </row>
    <row r="967" spans="2:4" x14ac:dyDescent="0.15">
      <c r="B967" s="46" t="s">
        <v>1884</v>
      </c>
      <c r="C967" s="47">
        <v>1465</v>
      </c>
      <c r="D967" s="48" t="s">
        <v>365</v>
      </c>
    </row>
    <row r="968" spans="2:4" x14ac:dyDescent="0.15">
      <c r="B968" s="46" t="s">
        <v>2624</v>
      </c>
      <c r="C968" s="47">
        <v>1466</v>
      </c>
      <c r="D968" s="48" t="s">
        <v>365</v>
      </c>
    </row>
    <row r="969" spans="2:4" x14ac:dyDescent="0.15">
      <c r="B969" s="46" t="s">
        <v>2625</v>
      </c>
      <c r="C969" s="47">
        <v>1467</v>
      </c>
      <c r="D969" s="48" t="s">
        <v>365</v>
      </c>
    </row>
    <row r="970" spans="2:4" x14ac:dyDescent="0.15">
      <c r="B970" s="46" t="s">
        <v>2626</v>
      </c>
      <c r="C970" s="47">
        <v>1468</v>
      </c>
      <c r="D970" s="48" t="s">
        <v>365</v>
      </c>
    </row>
    <row r="971" spans="2:4" x14ac:dyDescent="0.15">
      <c r="B971" s="46" t="s">
        <v>2627</v>
      </c>
      <c r="C971" s="47">
        <v>1469</v>
      </c>
      <c r="D971" s="48" t="s">
        <v>365</v>
      </c>
    </row>
    <row r="972" spans="2:4" x14ac:dyDescent="0.15">
      <c r="B972" s="46" t="s">
        <v>2628</v>
      </c>
      <c r="C972" s="47">
        <v>1470</v>
      </c>
      <c r="D972" s="48" t="s">
        <v>365</v>
      </c>
    </row>
    <row r="973" spans="2:4" x14ac:dyDescent="0.15">
      <c r="B973" s="46" t="s">
        <v>2629</v>
      </c>
      <c r="C973" s="47">
        <v>1471</v>
      </c>
      <c r="D973" s="48" t="s">
        <v>365</v>
      </c>
    </row>
    <row r="974" spans="2:4" x14ac:dyDescent="0.15">
      <c r="B974" s="46" t="s">
        <v>1917</v>
      </c>
      <c r="C974" s="47">
        <v>1472</v>
      </c>
      <c r="D974" s="48" t="s">
        <v>365</v>
      </c>
    </row>
    <row r="975" spans="2:4" x14ac:dyDescent="0.15">
      <c r="B975" s="46" t="s">
        <v>2630</v>
      </c>
      <c r="C975" s="47">
        <v>1473</v>
      </c>
      <c r="D975" s="48" t="s">
        <v>365</v>
      </c>
    </row>
    <row r="976" spans="2:4" x14ac:dyDescent="0.15">
      <c r="B976" s="46" t="s">
        <v>2631</v>
      </c>
      <c r="C976" s="47">
        <v>1474</v>
      </c>
      <c r="D976" s="48" t="s">
        <v>365</v>
      </c>
    </row>
    <row r="977" spans="2:4" x14ac:dyDescent="0.15">
      <c r="B977" s="46" t="s">
        <v>2632</v>
      </c>
      <c r="C977" s="47">
        <v>1475</v>
      </c>
      <c r="D977" s="48" t="s">
        <v>365</v>
      </c>
    </row>
    <row r="978" spans="2:4" x14ac:dyDescent="0.15">
      <c r="B978" s="46" t="s">
        <v>2633</v>
      </c>
      <c r="C978" s="47">
        <v>1476</v>
      </c>
      <c r="D978" s="48" t="s">
        <v>365</v>
      </c>
    </row>
    <row r="979" spans="2:4" x14ac:dyDescent="0.15">
      <c r="B979" s="46" t="s">
        <v>2634</v>
      </c>
      <c r="C979" s="47">
        <v>1477</v>
      </c>
      <c r="D979" s="48" t="s">
        <v>365</v>
      </c>
    </row>
    <row r="980" spans="2:4" x14ac:dyDescent="0.15">
      <c r="B980" s="46" t="s">
        <v>2635</v>
      </c>
      <c r="C980" s="47">
        <v>1478</v>
      </c>
      <c r="D980" s="48" t="s">
        <v>365</v>
      </c>
    </row>
    <row r="981" spans="2:4" x14ac:dyDescent="0.15">
      <c r="B981" s="46" t="s">
        <v>2636</v>
      </c>
      <c r="C981" s="47">
        <v>1479</v>
      </c>
      <c r="D981" s="48" t="s">
        <v>365</v>
      </c>
    </row>
    <row r="982" spans="2:4" x14ac:dyDescent="0.15">
      <c r="B982" s="46" t="s">
        <v>648</v>
      </c>
      <c r="C982" s="47">
        <v>1480</v>
      </c>
      <c r="D982" s="48" t="s">
        <v>365</v>
      </c>
    </row>
    <row r="983" spans="2:4" x14ac:dyDescent="0.15">
      <c r="B983" s="46" t="s">
        <v>2637</v>
      </c>
      <c r="C983" s="47">
        <v>1481</v>
      </c>
      <c r="D983" s="48" t="s">
        <v>365</v>
      </c>
    </row>
    <row r="984" spans="2:4" x14ac:dyDescent="0.15">
      <c r="B984" s="46" t="s">
        <v>2638</v>
      </c>
      <c r="C984" s="47">
        <v>1482</v>
      </c>
      <c r="D984" s="48" t="s">
        <v>365</v>
      </c>
    </row>
    <row r="985" spans="2:4" x14ac:dyDescent="0.15">
      <c r="B985" s="46" t="s">
        <v>2639</v>
      </c>
      <c r="C985" s="47">
        <v>1483</v>
      </c>
      <c r="D985" s="48" t="s">
        <v>365</v>
      </c>
    </row>
    <row r="986" spans="2:4" x14ac:dyDescent="0.15">
      <c r="B986" s="46" t="s">
        <v>2640</v>
      </c>
      <c r="C986" s="47">
        <v>1484</v>
      </c>
      <c r="D986" s="48" t="s">
        <v>365</v>
      </c>
    </row>
    <row r="987" spans="2:4" x14ac:dyDescent="0.15">
      <c r="B987" s="46" t="s">
        <v>2641</v>
      </c>
      <c r="C987" s="47">
        <v>1485</v>
      </c>
      <c r="D987" s="48" t="s">
        <v>365</v>
      </c>
    </row>
    <row r="988" spans="2:4" x14ac:dyDescent="0.15">
      <c r="B988" s="46" t="s">
        <v>2642</v>
      </c>
      <c r="C988" s="47">
        <v>1486</v>
      </c>
      <c r="D988" s="48" t="s">
        <v>365</v>
      </c>
    </row>
    <row r="989" spans="2:4" x14ac:dyDescent="0.15">
      <c r="B989" s="46" t="s">
        <v>2643</v>
      </c>
      <c r="C989" s="47">
        <v>1487</v>
      </c>
      <c r="D989" s="48" t="s">
        <v>365</v>
      </c>
    </row>
    <row r="990" spans="2:4" x14ac:dyDescent="0.15">
      <c r="B990" s="46" t="s">
        <v>2644</v>
      </c>
      <c r="C990" s="47">
        <v>1488</v>
      </c>
      <c r="D990" s="48" t="s">
        <v>365</v>
      </c>
    </row>
    <row r="991" spans="2:4" x14ac:dyDescent="0.15">
      <c r="B991" s="46" t="s">
        <v>2645</v>
      </c>
      <c r="C991" s="47">
        <v>1489</v>
      </c>
      <c r="D991" s="48" t="s">
        <v>365</v>
      </c>
    </row>
    <row r="992" spans="2:4" x14ac:dyDescent="0.15">
      <c r="B992" s="46" t="s">
        <v>2646</v>
      </c>
      <c r="C992" s="47">
        <v>1490</v>
      </c>
      <c r="D992" s="48" t="s">
        <v>365</v>
      </c>
    </row>
    <row r="993" spans="2:4" x14ac:dyDescent="0.15">
      <c r="B993" s="46" t="s">
        <v>2647</v>
      </c>
      <c r="C993" s="47">
        <v>1491</v>
      </c>
      <c r="D993" s="48" t="s">
        <v>365</v>
      </c>
    </row>
    <row r="994" spans="2:4" x14ac:dyDescent="0.15">
      <c r="B994" s="46" t="s">
        <v>2648</v>
      </c>
      <c r="C994" s="47">
        <v>1492</v>
      </c>
      <c r="D994" s="48" t="s">
        <v>365</v>
      </c>
    </row>
    <row r="995" spans="2:4" x14ac:dyDescent="0.15">
      <c r="B995" s="46" t="s">
        <v>2649</v>
      </c>
      <c r="C995" s="47">
        <v>1493</v>
      </c>
      <c r="D995" s="48" t="s">
        <v>365</v>
      </c>
    </row>
    <row r="996" spans="2:4" x14ac:dyDescent="0.15">
      <c r="B996" s="46" t="s">
        <v>2650</v>
      </c>
      <c r="C996" s="47">
        <v>1494</v>
      </c>
      <c r="D996" s="48" t="s">
        <v>365</v>
      </c>
    </row>
    <row r="997" spans="2:4" x14ac:dyDescent="0.15">
      <c r="B997" s="46" t="s">
        <v>2651</v>
      </c>
      <c r="C997" s="47">
        <v>1495</v>
      </c>
      <c r="D997" s="48" t="s">
        <v>365</v>
      </c>
    </row>
    <row r="998" spans="2:4" x14ac:dyDescent="0.15">
      <c r="B998" s="46" t="s">
        <v>2652</v>
      </c>
      <c r="C998" s="47">
        <v>1496</v>
      </c>
      <c r="D998" s="48" t="s">
        <v>365</v>
      </c>
    </row>
    <row r="999" spans="2:4" x14ac:dyDescent="0.15">
      <c r="B999" s="46" t="s">
        <v>2653</v>
      </c>
      <c r="C999" s="47">
        <v>1497</v>
      </c>
      <c r="D999" s="48" t="s">
        <v>365</v>
      </c>
    </row>
    <row r="1000" spans="2:4" x14ac:dyDescent="0.15">
      <c r="B1000" s="46" t="s">
        <v>2654</v>
      </c>
      <c r="C1000" s="47">
        <v>1498</v>
      </c>
      <c r="D1000" s="48" t="s">
        <v>365</v>
      </c>
    </row>
    <row r="1001" spans="2:4" x14ac:dyDescent="0.15">
      <c r="B1001" s="46" t="s">
        <v>2655</v>
      </c>
      <c r="C1001" s="47">
        <v>1499</v>
      </c>
      <c r="D1001" s="48" t="s">
        <v>365</v>
      </c>
    </row>
    <row r="1002" spans="2:4" x14ac:dyDescent="0.15">
      <c r="B1002" s="46" t="s">
        <v>2656</v>
      </c>
      <c r="C1002" s="47">
        <v>1500</v>
      </c>
      <c r="D1002" s="48" t="s">
        <v>365</v>
      </c>
    </row>
    <row r="1003" spans="2:4" x14ac:dyDescent="0.15">
      <c r="B1003" s="46" t="s">
        <v>1689</v>
      </c>
      <c r="C1003" s="47">
        <v>1501</v>
      </c>
      <c r="D1003" s="48" t="s">
        <v>365</v>
      </c>
    </row>
    <row r="1004" spans="2:4" x14ac:dyDescent="0.15">
      <c r="B1004" s="46" t="s">
        <v>674</v>
      </c>
      <c r="C1004" s="47">
        <v>1502</v>
      </c>
      <c r="D1004" s="48" t="s">
        <v>365</v>
      </c>
    </row>
    <row r="1005" spans="2:4" x14ac:dyDescent="0.15">
      <c r="B1005" s="46" t="s">
        <v>2657</v>
      </c>
      <c r="C1005" s="47">
        <v>1503</v>
      </c>
      <c r="D1005" s="48" t="s">
        <v>365</v>
      </c>
    </row>
    <row r="1006" spans="2:4" x14ac:dyDescent="0.15">
      <c r="B1006" s="46" t="s">
        <v>670</v>
      </c>
      <c r="C1006" s="47">
        <v>1504</v>
      </c>
      <c r="D1006" s="48" t="s">
        <v>365</v>
      </c>
    </row>
    <row r="1007" spans="2:4" x14ac:dyDescent="0.15">
      <c r="B1007" s="46" t="s">
        <v>2658</v>
      </c>
      <c r="C1007" s="47">
        <v>1505</v>
      </c>
      <c r="D1007" s="48" t="s">
        <v>365</v>
      </c>
    </row>
    <row r="1008" spans="2:4" x14ac:dyDescent="0.15">
      <c r="B1008" s="46" t="s">
        <v>2659</v>
      </c>
      <c r="C1008" s="47">
        <v>1506</v>
      </c>
      <c r="D1008" s="48" t="s">
        <v>365</v>
      </c>
    </row>
    <row r="1009" spans="2:4" x14ac:dyDescent="0.15">
      <c r="B1009" s="46" t="s">
        <v>2660</v>
      </c>
      <c r="C1009" s="47">
        <v>1507</v>
      </c>
      <c r="D1009" s="48" t="s">
        <v>365</v>
      </c>
    </row>
    <row r="1010" spans="2:4" x14ac:dyDescent="0.15">
      <c r="B1010" s="46" t="s">
        <v>2661</v>
      </c>
      <c r="C1010" s="47">
        <v>1508</v>
      </c>
      <c r="D1010" s="48" t="s">
        <v>365</v>
      </c>
    </row>
    <row r="1011" spans="2:4" x14ac:dyDescent="0.15">
      <c r="B1011" s="46" t="s">
        <v>2662</v>
      </c>
      <c r="C1011" s="47">
        <v>1509</v>
      </c>
      <c r="D1011" s="48" t="s">
        <v>365</v>
      </c>
    </row>
    <row r="1012" spans="2:4" x14ac:dyDescent="0.15">
      <c r="B1012" s="46" t="s">
        <v>2663</v>
      </c>
      <c r="C1012" s="47">
        <v>1510</v>
      </c>
      <c r="D1012" s="48" t="s">
        <v>365</v>
      </c>
    </row>
    <row r="1013" spans="2:4" x14ac:dyDescent="0.15">
      <c r="B1013" s="46" t="s">
        <v>2664</v>
      </c>
      <c r="C1013" s="47">
        <v>1511</v>
      </c>
      <c r="D1013" s="48" t="s">
        <v>365</v>
      </c>
    </row>
    <row r="1014" spans="2:4" x14ac:dyDescent="0.15">
      <c r="B1014" s="46" t="s">
        <v>2665</v>
      </c>
      <c r="C1014" s="47">
        <v>1512</v>
      </c>
      <c r="D1014" s="48" t="s">
        <v>365</v>
      </c>
    </row>
    <row r="1015" spans="2:4" x14ac:dyDescent="0.15">
      <c r="B1015" s="46" t="s">
        <v>2666</v>
      </c>
      <c r="C1015" s="47">
        <v>1513</v>
      </c>
      <c r="D1015" s="48" t="s">
        <v>365</v>
      </c>
    </row>
    <row r="1016" spans="2:4" x14ac:dyDescent="0.15">
      <c r="B1016" s="46" t="s">
        <v>672</v>
      </c>
      <c r="C1016" s="47">
        <v>1514</v>
      </c>
      <c r="D1016" s="48" t="s">
        <v>365</v>
      </c>
    </row>
    <row r="1017" spans="2:4" x14ac:dyDescent="0.15">
      <c r="B1017" s="46" t="s">
        <v>2667</v>
      </c>
      <c r="C1017" s="47">
        <v>1515</v>
      </c>
      <c r="D1017" s="48" t="s">
        <v>365</v>
      </c>
    </row>
    <row r="1018" spans="2:4" x14ac:dyDescent="0.15">
      <c r="B1018" s="46" t="s">
        <v>668</v>
      </c>
      <c r="C1018" s="47">
        <v>1516</v>
      </c>
      <c r="D1018" s="48" t="s">
        <v>365</v>
      </c>
    </row>
    <row r="1019" spans="2:4" x14ac:dyDescent="0.15">
      <c r="B1019" s="46" t="s">
        <v>2668</v>
      </c>
      <c r="C1019" s="47">
        <v>1517</v>
      </c>
      <c r="D1019" s="48" t="s">
        <v>365</v>
      </c>
    </row>
    <row r="1020" spans="2:4" x14ac:dyDescent="0.15">
      <c r="B1020" s="46" t="s">
        <v>2669</v>
      </c>
      <c r="C1020" s="47">
        <v>1518</v>
      </c>
      <c r="D1020" s="48" t="s">
        <v>365</v>
      </c>
    </row>
    <row r="1021" spans="2:4" x14ac:dyDescent="0.15">
      <c r="B1021" s="46" t="s">
        <v>2670</v>
      </c>
      <c r="C1021" s="47">
        <v>1519</v>
      </c>
      <c r="D1021" s="48" t="s">
        <v>365</v>
      </c>
    </row>
    <row r="1022" spans="2:4" x14ac:dyDescent="0.15">
      <c r="B1022" s="46" t="s">
        <v>2671</v>
      </c>
      <c r="C1022" s="47">
        <v>1520</v>
      </c>
      <c r="D1022" s="48" t="s">
        <v>365</v>
      </c>
    </row>
    <row r="1023" spans="2:4" x14ac:dyDescent="0.15">
      <c r="B1023" s="46" t="s">
        <v>2672</v>
      </c>
      <c r="C1023" s="47">
        <v>1521</v>
      </c>
      <c r="D1023" s="48" t="s">
        <v>365</v>
      </c>
    </row>
    <row r="1024" spans="2:4" x14ac:dyDescent="0.15">
      <c r="B1024" s="46" t="s">
        <v>2673</v>
      </c>
      <c r="C1024" s="47">
        <v>1522</v>
      </c>
      <c r="D1024" s="48" t="s">
        <v>365</v>
      </c>
    </row>
    <row r="1025" spans="2:4" x14ac:dyDescent="0.15">
      <c r="B1025" s="46" t="s">
        <v>2674</v>
      </c>
      <c r="C1025" s="47">
        <v>1523</v>
      </c>
      <c r="D1025" s="48" t="s">
        <v>365</v>
      </c>
    </row>
    <row r="1026" spans="2:4" x14ac:dyDescent="0.15">
      <c r="B1026" s="46" t="s">
        <v>2675</v>
      </c>
      <c r="C1026" s="47">
        <v>1524</v>
      </c>
      <c r="D1026" s="48" t="s">
        <v>365</v>
      </c>
    </row>
    <row r="1027" spans="2:4" x14ac:dyDescent="0.15">
      <c r="B1027" s="46" t="s">
        <v>2676</v>
      </c>
      <c r="C1027" s="47">
        <v>1525</v>
      </c>
      <c r="D1027" s="48" t="s">
        <v>365</v>
      </c>
    </row>
    <row r="1028" spans="2:4" x14ac:dyDescent="0.15">
      <c r="B1028" s="46" t="s">
        <v>2677</v>
      </c>
      <c r="C1028" s="47">
        <v>1526</v>
      </c>
      <c r="D1028" s="48" t="s">
        <v>365</v>
      </c>
    </row>
    <row r="1029" spans="2:4" x14ac:dyDescent="0.15">
      <c r="B1029" s="46" t="s">
        <v>2678</v>
      </c>
      <c r="C1029" s="47">
        <v>1527</v>
      </c>
      <c r="D1029" s="48" t="s">
        <v>365</v>
      </c>
    </row>
    <row r="1030" spans="2:4" x14ac:dyDescent="0.15">
      <c r="B1030" s="46" t="s">
        <v>2679</v>
      </c>
      <c r="C1030" s="47">
        <v>1528</v>
      </c>
      <c r="D1030" s="48" t="s">
        <v>365</v>
      </c>
    </row>
    <row r="1031" spans="2:4" x14ac:dyDescent="0.15">
      <c r="B1031" s="46" t="s">
        <v>1710</v>
      </c>
      <c r="C1031" s="47">
        <v>1529</v>
      </c>
      <c r="D1031" s="48" t="s">
        <v>365</v>
      </c>
    </row>
    <row r="1032" spans="2:4" x14ac:dyDescent="0.15">
      <c r="B1032" s="46" t="s">
        <v>1712</v>
      </c>
      <c r="C1032" s="47">
        <v>1530</v>
      </c>
      <c r="D1032" s="48" t="s">
        <v>365</v>
      </c>
    </row>
    <row r="1033" spans="2:4" x14ac:dyDescent="0.15">
      <c r="B1033" s="46" t="s">
        <v>1714</v>
      </c>
      <c r="C1033" s="47">
        <v>1531</v>
      </c>
      <c r="D1033" s="48" t="s">
        <v>365</v>
      </c>
    </row>
    <row r="1034" spans="2:4" x14ac:dyDescent="0.15">
      <c r="B1034" s="46" t="s">
        <v>821</v>
      </c>
      <c r="C1034" s="47">
        <v>1532</v>
      </c>
      <c r="D1034" s="48" t="s">
        <v>365</v>
      </c>
    </row>
    <row r="1035" spans="2:4" x14ac:dyDescent="0.15">
      <c r="B1035" s="46" t="s">
        <v>2680</v>
      </c>
      <c r="C1035" s="47">
        <v>1533</v>
      </c>
      <c r="D1035" s="48" t="s">
        <v>365</v>
      </c>
    </row>
    <row r="1036" spans="2:4" x14ac:dyDescent="0.15">
      <c r="B1036" s="46" t="s">
        <v>2681</v>
      </c>
      <c r="C1036" s="47">
        <v>1534</v>
      </c>
      <c r="D1036" s="48" t="s">
        <v>365</v>
      </c>
    </row>
    <row r="1037" spans="2:4" x14ac:dyDescent="0.15">
      <c r="B1037" s="46" t="s">
        <v>1716</v>
      </c>
      <c r="C1037" s="47">
        <v>1535</v>
      </c>
      <c r="D1037" s="48" t="s">
        <v>365</v>
      </c>
    </row>
    <row r="1038" spans="2:4" x14ac:dyDescent="0.15">
      <c r="B1038" s="46" t="s">
        <v>899</v>
      </c>
      <c r="C1038" s="47">
        <v>1536</v>
      </c>
      <c r="D1038" s="48" t="s">
        <v>365</v>
      </c>
    </row>
    <row r="1039" spans="2:4" x14ac:dyDescent="0.15">
      <c r="B1039" s="46" t="s">
        <v>914</v>
      </c>
      <c r="C1039" s="47">
        <v>1537</v>
      </c>
      <c r="D1039" s="48" t="s">
        <v>365</v>
      </c>
    </row>
    <row r="1040" spans="2:4" x14ac:dyDescent="0.15">
      <c r="B1040" s="46" t="s">
        <v>912</v>
      </c>
      <c r="C1040" s="47">
        <v>1538</v>
      </c>
      <c r="D1040" s="48" t="s">
        <v>365</v>
      </c>
    </row>
    <row r="1041" spans="2:4" x14ac:dyDescent="0.15">
      <c r="B1041" s="46" t="s">
        <v>2682</v>
      </c>
      <c r="C1041" s="47">
        <v>1539</v>
      </c>
      <c r="D1041" s="48" t="s">
        <v>365</v>
      </c>
    </row>
    <row r="1042" spans="2:4" x14ac:dyDescent="0.15">
      <c r="B1042" s="46" t="s">
        <v>2683</v>
      </c>
      <c r="C1042" s="47">
        <v>1540</v>
      </c>
      <c r="D1042" s="48" t="s">
        <v>365</v>
      </c>
    </row>
    <row r="1043" spans="2:4" x14ac:dyDescent="0.15">
      <c r="B1043" s="46" t="s">
        <v>2684</v>
      </c>
      <c r="C1043" s="47">
        <v>1541</v>
      </c>
      <c r="D1043" s="48" t="s">
        <v>365</v>
      </c>
    </row>
    <row r="1044" spans="2:4" x14ac:dyDescent="0.15">
      <c r="B1044" s="46" t="s">
        <v>2685</v>
      </c>
      <c r="C1044" s="47">
        <v>1542</v>
      </c>
      <c r="D1044" s="48" t="s">
        <v>365</v>
      </c>
    </row>
    <row r="1045" spans="2:4" x14ac:dyDescent="0.15">
      <c r="B1045" s="46" t="s">
        <v>2686</v>
      </c>
      <c r="C1045" s="47">
        <v>1543</v>
      </c>
      <c r="D1045" s="48" t="s">
        <v>365</v>
      </c>
    </row>
    <row r="1046" spans="2:4" x14ac:dyDescent="0.15">
      <c r="B1046" s="46" t="s">
        <v>2687</v>
      </c>
      <c r="C1046" s="47">
        <v>1544</v>
      </c>
      <c r="D1046" s="48" t="s">
        <v>365</v>
      </c>
    </row>
    <row r="1047" spans="2:4" x14ac:dyDescent="0.15">
      <c r="B1047" s="46" t="s">
        <v>2688</v>
      </c>
      <c r="C1047" s="47">
        <v>1545</v>
      </c>
      <c r="D1047" s="48" t="s">
        <v>365</v>
      </c>
    </row>
    <row r="1048" spans="2:4" x14ac:dyDescent="0.15">
      <c r="B1048" s="46" t="s">
        <v>2689</v>
      </c>
      <c r="C1048" s="47">
        <v>1546</v>
      </c>
      <c r="D1048" s="48" t="s">
        <v>365</v>
      </c>
    </row>
    <row r="1049" spans="2:4" x14ac:dyDescent="0.15">
      <c r="B1049" s="46" t="s">
        <v>2690</v>
      </c>
      <c r="C1049" s="47">
        <v>1547</v>
      </c>
      <c r="D1049" s="48" t="s">
        <v>365</v>
      </c>
    </row>
    <row r="1050" spans="2:4" x14ac:dyDescent="0.15">
      <c r="B1050" s="46" t="s">
        <v>2691</v>
      </c>
      <c r="C1050" s="47">
        <v>1548</v>
      </c>
      <c r="D1050" s="48" t="s">
        <v>365</v>
      </c>
    </row>
    <row r="1051" spans="2:4" x14ac:dyDescent="0.15">
      <c r="B1051" s="46" t="s">
        <v>1167</v>
      </c>
      <c r="C1051" s="47">
        <v>1549</v>
      </c>
      <c r="D1051" s="48" t="s">
        <v>365</v>
      </c>
    </row>
    <row r="1052" spans="2:4" ht="25.5" x14ac:dyDescent="0.15">
      <c r="B1052" s="46" t="s">
        <v>2692</v>
      </c>
      <c r="C1052" s="47">
        <v>1550</v>
      </c>
      <c r="D1052" s="48" t="s">
        <v>365</v>
      </c>
    </row>
    <row r="1053" spans="2:4" x14ac:dyDescent="0.15">
      <c r="B1053" s="46" t="s">
        <v>2693</v>
      </c>
      <c r="C1053" s="47">
        <v>1551</v>
      </c>
      <c r="D1053" s="48" t="s">
        <v>365</v>
      </c>
    </row>
    <row r="1054" spans="2:4" x14ac:dyDescent="0.15">
      <c r="B1054" s="46" t="s">
        <v>2694</v>
      </c>
      <c r="C1054" s="47">
        <v>1552</v>
      </c>
      <c r="D1054" s="48" t="s">
        <v>365</v>
      </c>
    </row>
    <row r="1055" spans="2:4" x14ac:dyDescent="0.15">
      <c r="B1055" s="46" t="s">
        <v>2695</v>
      </c>
      <c r="C1055" s="47">
        <v>1553</v>
      </c>
      <c r="D1055" s="48" t="s">
        <v>365</v>
      </c>
    </row>
    <row r="1056" spans="2:4" x14ac:dyDescent="0.15">
      <c r="B1056" s="46" t="s">
        <v>2696</v>
      </c>
      <c r="C1056" s="47">
        <v>1554</v>
      </c>
      <c r="D1056" s="48" t="s">
        <v>365</v>
      </c>
    </row>
    <row r="1057" spans="2:4" x14ac:dyDescent="0.15">
      <c r="B1057" s="46" t="s">
        <v>368</v>
      </c>
      <c r="C1057" s="47">
        <v>1555</v>
      </c>
      <c r="D1057" s="48" t="s">
        <v>365</v>
      </c>
    </row>
    <row r="1058" spans="2:4" x14ac:dyDescent="0.15">
      <c r="B1058" s="46" t="s">
        <v>2697</v>
      </c>
      <c r="C1058" s="47">
        <v>1556</v>
      </c>
      <c r="D1058" s="48" t="s">
        <v>365</v>
      </c>
    </row>
    <row r="1059" spans="2:4" x14ac:dyDescent="0.15">
      <c r="B1059" s="46" t="s">
        <v>2698</v>
      </c>
      <c r="C1059" s="47">
        <v>1557</v>
      </c>
      <c r="D1059" s="48" t="s">
        <v>365</v>
      </c>
    </row>
    <row r="1060" spans="2:4" x14ac:dyDescent="0.15">
      <c r="B1060" s="46" t="s">
        <v>2699</v>
      </c>
      <c r="C1060" s="47">
        <v>1558</v>
      </c>
      <c r="D1060" s="48" t="s">
        <v>365</v>
      </c>
    </row>
    <row r="1061" spans="2:4" x14ac:dyDescent="0.15">
      <c r="B1061" s="46" t="s">
        <v>2700</v>
      </c>
      <c r="C1061" s="47">
        <v>1559</v>
      </c>
      <c r="D1061" s="48" t="s">
        <v>365</v>
      </c>
    </row>
    <row r="1062" spans="2:4" x14ac:dyDescent="0.15">
      <c r="B1062" s="46" t="s">
        <v>2701</v>
      </c>
      <c r="C1062" s="47">
        <v>1560</v>
      </c>
      <c r="D1062" s="48" t="s">
        <v>365</v>
      </c>
    </row>
    <row r="1063" spans="2:4" x14ac:dyDescent="0.15">
      <c r="B1063" s="46" t="s">
        <v>2702</v>
      </c>
      <c r="C1063" s="47">
        <v>1561</v>
      </c>
      <c r="D1063" s="48" t="s">
        <v>365</v>
      </c>
    </row>
    <row r="1064" spans="2:4" x14ac:dyDescent="0.15">
      <c r="B1064" s="46" t="s">
        <v>2703</v>
      </c>
      <c r="C1064" s="47">
        <v>1562</v>
      </c>
      <c r="D1064" s="48" t="s">
        <v>365</v>
      </c>
    </row>
    <row r="1065" spans="2:4" x14ac:dyDescent="0.15">
      <c r="B1065" s="46" t="s">
        <v>2704</v>
      </c>
      <c r="C1065" s="47">
        <v>1563</v>
      </c>
      <c r="D1065" s="48" t="s">
        <v>365</v>
      </c>
    </row>
    <row r="1066" spans="2:4" x14ac:dyDescent="0.15">
      <c r="B1066" s="46" t="s">
        <v>985</v>
      </c>
      <c r="C1066" s="47">
        <v>1564</v>
      </c>
      <c r="D1066" s="48" t="s">
        <v>365</v>
      </c>
    </row>
    <row r="1067" spans="2:4" x14ac:dyDescent="0.15">
      <c r="B1067" s="46" t="s">
        <v>2705</v>
      </c>
      <c r="C1067" s="47">
        <v>1565</v>
      </c>
      <c r="D1067" s="48" t="s">
        <v>365</v>
      </c>
    </row>
    <row r="1068" spans="2:4" x14ac:dyDescent="0.15">
      <c r="B1068" s="46" t="s">
        <v>2706</v>
      </c>
      <c r="C1068" s="47">
        <v>1566</v>
      </c>
      <c r="D1068" s="48" t="s">
        <v>365</v>
      </c>
    </row>
    <row r="1069" spans="2:4" x14ac:dyDescent="0.15">
      <c r="B1069" s="46" t="s">
        <v>2707</v>
      </c>
      <c r="C1069" s="47">
        <v>1567</v>
      </c>
      <c r="D1069" s="48" t="s">
        <v>365</v>
      </c>
    </row>
    <row r="1070" spans="2:4" x14ac:dyDescent="0.15">
      <c r="B1070" s="46" t="s">
        <v>2708</v>
      </c>
      <c r="C1070" s="47">
        <v>1568</v>
      </c>
      <c r="D1070" s="48" t="s">
        <v>365</v>
      </c>
    </row>
    <row r="1071" spans="2:4" x14ac:dyDescent="0.15">
      <c r="B1071" s="46" t="s">
        <v>2709</v>
      </c>
      <c r="C1071" s="47">
        <v>1569</v>
      </c>
      <c r="D1071" s="48" t="s">
        <v>365</v>
      </c>
    </row>
    <row r="1072" spans="2:4" x14ac:dyDescent="0.15">
      <c r="B1072" s="46" t="s">
        <v>2710</v>
      </c>
      <c r="C1072" s="47">
        <v>1570</v>
      </c>
      <c r="D1072" s="48" t="s">
        <v>365</v>
      </c>
    </row>
    <row r="1073" spans="2:4" x14ac:dyDescent="0.15">
      <c r="B1073" s="46" t="s">
        <v>2711</v>
      </c>
      <c r="C1073" s="47">
        <v>1571</v>
      </c>
      <c r="D1073" s="48" t="s">
        <v>365</v>
      </c>
    </row>
    <row r="1074" spans="2:4" x14ac:dyDescent="0.15">
      <c r="B1074" s="46" t="s">
        <v>2712</v>
      </c>
      <c r="C1074" s="47">
        <v>1572</v>
      </c>
      <c r="D1074" s="48" t="s">
        <v>365</v>
      </c>
    </row>
    <row r="1075" spans="2:4" x14ac:dyDescent="0.15">
      <c r="B1075" s="46" t="s">
        <v>2713</v>
      </c>
      <c r="C1075" s="47">
        <v>1573</v>
      </c>
      <c r="D1075" s="48" t="s">
        <v>365</v>
      </c>
    </row>
    <row r="1076" spans="2:4" x14ac:dyDescent="0.15">
      <c r="B1076" s="46" t="s">
        <v>2714</v>
      </c>
      <c r="C1076" s="47">
        <v>1574</v>
      </c>
      <c r="D1076" s="48" t="s">
        <v>365</v>
      </c>
    </row>
    <row r="1077" spans="2:4" x14ac:dyDescent="0.15">
      <c r="B1077" s="46" t="s">
        <v>2715</v>
      </c>
      <c r="C1077" s="47">
        <v>1575</v>
      </c>
      <c r="D1077" s="48" t="s">
        <v>365</v>
      </c>
    </row>
    <row r="1078" spans="2:4" x14ac:dyDescent="0.15">
      <c r="B1078" s="46" t="s">
        <v>2716</v>
      </c>
      <c r="C1078" s="47">
        <v>1576</v>
      </c>
      <c r="D1078" s="48" t="s">
        <v>365</v>
      </c>
    </row>
    <row r="1079" spans="2:4" x14ac:dyDescent="0.15">
      <c r="B1079" s="46" t="s">
        <v>2717</v>
      </c>
      <c r="C1079" s="47">
        <v>1577</v>
      </c>
      <c r="D1079" s="48" t="s">
        <v>365</v>
      </c>
    </row>
    <row r="1080" spans="2:4" x14ac:dyDescent="0.15">
      <c r="B1080" s="46" t="s">
        <v>2718</v>
      </c>
      <c r="C1080" s="47">
        <v>1578</v>
      </c>
      <c r="D1080" s="48" t="s">
        <v>365</v>
      </c>
    </row>
    <row r="1081" spans="2:4" x14ac:dyDescent="0.15">
      <c r="B1081" s="46" t="s">
        <v>2719</v>
      </c>
      <c r="C1081" s="47">
        <v>1579</v>
      </c>
      <c r="D1081" s="48" t="s">
        <v>365</v>
      </c>
    </row>
    <row r="1082" spans="2:4" x14ac:dyDescent="0.15">
      <c r="B1082" s="46" t="s">
        <v>2720</v>
      </c>
      <c r="C1082" s="47">
        <v>1580</v>
      </c>
      <c r="D1082" s="48" t="s">
        <v>365</v>
      </c>
    </row>
    <row r="1083" spans="2:4" x14ac:dyDescent="0.15">
      <c r="B1083" s="46" t="s">
        <v>2721</v>
      </c>
      <c r="C1083" s="47">
        <v>1581</v>
      </c>
      <c r="D1083" s="48" t="s">
        <v>365</v>
      </c>
    </row>
    <row r="1084" spans="2:4" x14ac:dyDescent="0.15">
      <c r="B1084" s="46" t="s">
        <v>2722</v>
      </c>
      <c r="C1084" s="47">
        <v>1582</v>
      </c>
      <c r="D1084" s="48" t="s">
        <v>365</v>
      </c>
    </row>
    <row r="1085" spans="2:4" x14ac:dyDescent="0.15">
      <c r="B1085" s="46" t="s">
        <v>2723</v>
      </c>
      <c r="C1085" s="47">
        <v>1583</v>
      </c>
      <c r="D1085" s="48" t="s">
        <v>365</v>
      </c>
    </row>
    <row r="1086" spans="2:4" x14ac:dyDescent="0.15">
      <c r="B1086" s="46" t="s">
        <v>2724</v>
      </c>
      <c r="C1086" s="47">
        <v>1584</v>
      </c>
      <c r="D1086" s="48" t="s">
        <v>365</v>
      </c>
    </row>
    <row r="1087" spans="2:4" x14ac:dyDescent="0.15">
      <c r="B1087" s="46" t="s">
        <v>2725</v>
      </c>
      <c r="C1087" s="47">
        <v>1585</v>
      </c>
      <c r="D1087" s="48" t="s">
        <v>365</v>
      </c>
    </row>
    <row r="1088" spans="2:4" x14ac:dyDescent="0.15">
      <c r="B1088" s="46" t="s">
        <v>2726</v>
      </c>
      <c r="C1088" s="47">
        <v>1586</v>
      </c>
      <c r="D1088" s="48" t="s">
        <v>365</v>
      </c>
    </row>
    <row r="1089" spans="2:4" x14ac:dyDescent="0.15">
      <c r="B1089" s="46" t="s">
        <v>2727</v>
      </c>
      <c r="C1089" s="47">
        <v>1587</v>
      </c>
      <c r="D1089" s="48" t="s">
        <v>365</v>
      </c>
    </row>
    <row r="1090" spans="2:4" x14ac:dyDescent="0.15">
      <c r="B1090" s="46" t="s">
        <v>2728</v>
      </c>
      <c r="C1090" s="47">
        <v>1588</v>
      </c>
      <c r="D1090" s="48" t="s">
        <v>365</v>
      </c>
    </row>
    <row r="1091" spans="2:4" x14ac:dyDescent="0.15">
      <c r="B1091" s="46" t="s">
        <v>2729</v>
      </c>
      <c r="C1091" s="47">
        <v>1589</v>
      </c>
      <c r="D1091" s="48" t="s">
        <v>365</v>
      </c>
    </row>
    <row r="1092" spans="2:4" x14ac:dyDescent="0.15">
      <c r="B1092" s="46" t="s">
        <v>2730</v>
      </c>
      <c r="C1092" s="47">
        <v>1590</v>
      </c>
      <c r="D1092" s="48" t="s">
        <v>365</v>
      </c>
    </row>
    <row r="1093" spans="2:4" x14ac:dyDescent="0.15">
      <c r="B1093" s="46" t="s">
        <v>2731</v>
      </c>
      <c r="C1093" s="47">
        <v>1591</v>
      </c>
      <c r="D1093" s="48" t="s">
        <v>365</v>
      </c>
    </row>
    <row r="1094" spans="2:4" x14ac:dyDescent="0.15">
      <c r="B1094" s="46" t="s">
        <v>2732</v>
      </c>
      <c r="C1094" s="47">
        <v>1592</v>
      </c>
      <c r="D1094" s="48" t="s">
        <v>365</v>
      </c>
    </row>
    <row r="1095" spans="2:4" x14ac:dyDescent="0.15">
      <c r="B1095" s="46" t="s">
        <v>2733</v>
      </c>
      <c r="C1095" s="47">
        <v>1593</v>
      </c>
      <c r="D1095" s="48" t="s">
        <v>365</v>
      </c>
    </row>
    <row r="1096" spans="2:4" x14ac:dyDescent="0.15">
      <c r="B1096" s="46" t="s">
        <v>2734</v>
      </c>
      <c r="C1096" s="47">
        <v>1594</v>
      </c>
      <c r="D1096" s="48" t="s">
        <v>365</v>
      </c>
    </row>
    <row r="1097" spans="2:4" x14ac:dyDescent="0.15">
      <c r="B1097" s="46" t="s">
        <v>2735</v>
      </c>
      <c r="C1097" s="47">
        <v>1595</v>
      </c>
      <c r="D1097" s="48" t="s">
        <v>365</v>
      </c>
    </row>
    <row r="1098" spans="2:4" x14ac:dyDescent="0.15">
      <c r="B1098" s="46" t="s">
        <v>2736</v>
      </c>
      <c r="C1098" s="47">
        <v>1596</v>
      </c>
      <c r="D1098" s="48" t="s">
        <v>365</v>
      </c>
    </row>
    <row r="1099" spans="2:4" x14ac:dyDescent="0.15">
      <c r="B1099" s="46" t="s">
        <v>2737</v>
      </c>
      <c r="C1099" s="47">
        <v>1597</v>
      </c>
      <c r="D1099" s="48" t="s">
        <v>365</v>
      </c>
    </row>
    <row r="1100" spans="2:4" x14ac:dyDescent="0.15">
      <c r="B1100" s="46" t="s">
        <v>2738</v>
      </c>
      <c r="C1100" s="47">
        <v>1598</v>
      </c>
      <c r="D1100" s="48" t="s">
        <v>365</v>
      </c>
    </row>
    <row r="1101" spans="2:4" x14ac:dyDescent="0.15">
      <c r="B1101" s="46" t="s">
        <v>2739</v>
      </c>
      <c r="C1101" s="47">
        <v>1599</v>
      </c>
      <c r="D1101" s="48" t="s">
        <v>365</v>
      </c>
    </row>
    <row r="1102" spans="2:4" x14ac:dyDescent="0.15">
      <c r="B1102" s="46" t="s">
        <v>2740</v>
      </c>
      <c r="C1102" s="47">
        <v>1600</v>
      </c>
      <c r="D1102" s="48" t="s">
        <v>365</v>
      </c>
    </row>
    <row r="1103" spans="2:4" x14ac:dyDescent="0.15">
      <c r="B1103" s="46" t="s">
        <v>1187</v>
      </c>
      <c r="C1103" s="47">
        <v>1601</v>
      </c>
      <c r="D1103" s="48" t="s">
        <v>365</v>
      </c>
    </row>
    <row r="1104" spans="2:4" x14ac:dyDescent="0.15">
      <c r="B1104" s="46" t="s">
        <v>2741</v>
      </c>
      <c r="C1104" s="47">
        <v>1602</v>
      </c>
      <c r="D1104" s="48" t="s">
        <v>365</v>
      </c>
    </row>
    <row r="1105" spans="2:4" x14ac:dyDescent="0.15">
      <c r="B1105" s="46" t="s">
        <v>802</v>
      </c>
      <c r="C1105" s="47">
        <v>1603</v>
      </c>
      <c r="D1105" s="48" t="s">
        <v>365</v>
      </c>
    </row>
    <row r="1106" spans="2:4" x14ac:dyDescent="0.15">
      <c r="B1106" s="46" t="s">
        <v>2742</v>
      </c>
      <c r="C1106" s="47">
        <v>1604</v>
      </c>
      <c r="D1106" s="48" t="s">
        <v>365</v>
      </c>
    </row>
    <row r="1107" spans="2:4" x14ac:dyDescent="0.15">
      <c r="B1107" s="46" t="s">
        <v>2743</v>
      </c>
      <c r="C1107" s="47">
        <v>1605</v>
      </c>
      <c r="D1107" s="48" t="s">
        <v>365</v>
      </c>
    </row>
    <row r="1108" spans="2:4" x14ac:dyDescent="0.15">
      <c r="B1108" s="46" t="s">
        <v>2744</v>
      </c>
      <c r="C1108" s="47">
        <v>1606</v>
      </c>
      <c r="D1108" s="48" t="s">
        <v>365</v>
      </c>
    </row>
    <row r="1109" spans="2:4" x14ac:dyDescent="0.15">
      <c r="B1109" s="46" t="s">
        <v>2745</v>
      </c>
      <c r="C1109" s="47">
        <v>1607</v>
      </c>
      <c r="D1109" s="48" t="s">
        <v>365</v>
      </c>
    </row>
    <row r="1110" spans="2:4" x14ac:dyDescent="0.15">
      <c r="B1110" s="46" t="s">
        <v>2746</v>
      </c>
      <c r="C1110" s="47">
        <v>1608</v>
      </c>
      <c r="D1110" s="48" t="s">
        <v>365</v>
      </c>
    </row>
    <row r="1111" spans="2:4" x14ac:dyDescent="0.15">
      <c r="B1111" s="46" t="s">
        <v>1165</v>
      </c>
      <c r="C1111" s="47">
        <v>1609</v>
      </c>
      <c r="D1111" s="48" t="s">
        <v>365</v>
      </c>
    </row>
    <row r="1112" spans="2:4" x14ac:dyDescent="0.15">
      <c r="B1112" s="46" t="s">
        <v>2747</v>
      </c>
      <c r="C1112" s="47">
        <v>1610</v>
      </c>
      <c r="D1112" s="48" t="s">
        <v>365</v>
      </c>
    </row>
    <row r="1113" spans="2:4" x14ac:dyDescent="0.15">
      <c r="B1113" s="46" t="s">
        <v>2748</v>
      </c>
      <c r="C1113" s="47">
        <v>1611</v>
      </c>
      <c r="D1113" s="48" t="s">
        <v>365</v>
      </c>
    </row>
    <row r="1114" spans="2:4" x14ac:dyDescent="0.15">
      <c r="B1114" s="46" t="s">
        <v>2749</v>
      </c>
      <c r="C1114" s="47">
        <v>1612</v>
      </c>
      <c r="D1114" s="48" t="s">
        <v>365</v>
      </c>
    </row>
    <row r="1115" spans="2:4" x14ac:dyDescent="0.15">
      <c r="B1115" s="46" t="s">
        <v>2750</v>
      </c>
      <c r="C1115" s="47">
        <v>1613</v>
      </c>
      <c r="D1115" s="48" t="s">
        <v>365</v>
      </c>
    </row>
    <row r="1116" spans="2:4" x14ac:dyDescent="0.15">
      <c r="B1116" s="46" t="s">
        <v>2751</v>
      </c>
      <c r="C1116" s="47">
        <v>1614</v>
      </c>
      <c r="D1116" s="48" t="s">
        <v>365</v>
      </c>
    </row>
    <row r="1117" spans="2:4" x14ac:dyDescent="0.15">
      <c r="B1117" s="46" t="s">
        <v>2752</v>
      </c>
      <c r="C1117" s="47">
        <v>1615</v>
      </c>
      <c r="D1117" s="48" t="s">
        <v>365</v>
      </c>
    </row>
    <row r="1118" spans="2:4" x14ac:dyDescent="0.15">
      <c r="B1118" s="46" t="s">
        <v>804</v>
      </c>
      <c r="C1118" s="47">
        <v>1616</v>
      </c>
      <c r="D1118" s="48" t="s">
        <v>365</v>
      </c>
    </row>
    <row r="1119" spans="2:4" x14ac:dyDescent="0.15">
      <c r="B1119" s="46" t="s">
        <v>2753</v>
      </c>
      <c r="C1119" s="47">
        <v>1617</v>
      </c>
      <c r="D1119" s="48" t="s">
        <v>365</v>
      </c>
    </row>
    <row r="1120" spans="2:4" x14ac:dyDescent="0.15">
      <c r="B1120" s="46" t="s">
        <v>2754</v>
      </c>
      <c r="C1120" s="47">
        <v>1618</v>
      </c>
      <c r="D1120" s="48" t="s">
        <v>365</v>
      </c>
    </row>
    <row r="1121" spans="2:4" x14ac:dyDescent="0.15">
      <c r="B1121" s="46" t="s">
        <v>1250</v>
      </c>
      <c r="C1121" s="47">
        <v>1619</v>
      </c>
      <c r="D1121" s="48" t="s">
        <v>365</v>
      </c>
    </row>
    <row r="1122" spans="2:4" x14ac:dyDescent="0.15">
      <c r="B1122" s="46" t="s">
        <v>2755</v>
      </c>
      <c r="C1122" s="47">
        <v>1620</v>
      </c>
      <c r="D1122" s="48" t="s">
        <v>365</v>
      </c>
    </row>
    <row r="1123" spans="2:4" x14ac:dyDescent="0.15">
      <c r="B1123" s="46" t="s">
        <v>2756</v>
      </c>
      <c r="C1123" s="47">
        <v>1621</v>
      </c>
      <c r="D1123" s="48" t="s">
        <v>365</v>
      </c>
    </row>
    <row r="1124" spans="2:4" x14ac:dyDescent="0.15">
      <c r="B1124" s="46" t="s">
        <v>2757</v>
      </c>
      <c r="C1124" s="47">
        <v>1622</v>
      </c>
      <c r="D1124" s="48" t="s">
        <v>365</v>
      </c>
    </row>
    <row r="1125" spans="2:4" x14ac:dyDescent="0.15">
      <c r="B1125" s="46" t="s">
        <v>2758</v>
      </c>
      <c r="C1125" s="47">
        <v>1623</v>
      </c>
      <c r="D1125" s="48" t="s">
        <v>365</v>
      </c>
    </row>
    <row r="1126" spans="2:4" x14ac:dyDescent="0.15">
      <c r="B1126" s="46" t="s">
        <v>2759</v>
      </c>
      <c r="C1126" s="47">
        <v>1624</v>
      </c>
      <c r="D1126" s="48" t="s">
        <v>365</v>
      </c>
    </row>
    <row r="1127" spans="2:4" x14ac:dyDescent="0.15">
      <c r="B1127" s="46" t="s">
        <v>2760</v>
      </c>
      <c r="C1127" s="47">
        <v>1625</v>
      </c>
      <c r="D1127" s="48" t="s">
        <v>365</v>
      </c>
    </row>
    <row r="1128" spans="2:4" x14ac:dyDescent="0.15">
      <c r="B1128" s="46" t="s">
        <v>2761</v>
      </c>
      <c r="C1128" s="47">
        <v>1626</v>
      </c>
      <c r="D1128" s="48" t="s">
        <v>365</v>
      </c>
    </row>
    <row r="1129" spans="2:4" x14ac:dyDescent="0.15">
      <c r="B1129" s="46" t="s">
        <v>2762</v>
      </c>
      <c r="C1129" s="47">
        <v>1627</v>
      </c>
      <c r="D1129" s="48" t="s">
        <v>365</v>
      </c>
    </row>
    <row r="1130" spans="2:4" x14ac:dyDescent="0.15">
      <c r="B1130" s="46" t="s">
        <v>2763</v>
      </c>
      <c r="C1130" s="47">
        <v>1628</v>
      </c>
      <c r="D1130" s="48" t="s">
        <v>365</v>
      </c>
    </row>
    <row r="1131" spans="2:4" x14ac:dyDescent="0.15">
      <c r="B1131" s="46" t="s">
        <v>2764</v>
      </c>
      <c r="C1131" s="47">
        <v>1629</v>
      </c>
      <c r="D1131" s="48" t="s">
        <v>365</v>
      </c>
    </row>
    <row r="1132" spans="2:4" x14ac:dyDescent="0.15">
      <c r="B1132" s="46" t="s">
        <v>2765</v>
      </c>
      <c r="C1132" s="47">
        <v>1630</v>
      </c>
      <c r="D1132" s="48" t="s">
        <v>365</v>
      </c>
    </row>
    <row r="1133" spans="2:4" x14ac:dyDescent="0.15">
      <c r="B1133" s="46" t="s">
        <v>2766</v>
      </c>
      <c r="C1133" s="47">
        <v>1631</v>
      </c>
      <c r="D1133" s="48" t="s">
        <v>365</v>
      </c>
    </row>
    <row r="1134" spans="2:4" x14ac:dyDescent="0.15">
      <c r="B1134" s="46" t="s">
        <v>2767</v>
      </c>
      <c r="C1134" s="47">
        <v>1632</v>
      </c>
      <c r="D1134" s="48" t="s">
        <v>365</v>
      </c>
    </row>
    <row r="1135" spans="2:4" x14ac:dyDescent="0.15">
      <c r="B1135" s="46" t="s">
        <v>2768</v>
      </c>
      <c r="C1135" s="47">
        <v>1633</v>
      </c>
      <c r="D1135" s="48" t="s">
        <v>365</v>
      </c>
    </row>
    <row r="1136" spans="2:4" x14ac:dyDescent="0.15">
      <c r="B1136" s="46" t="s">
        <v>2769</v>
      </c>
      <c r="C1136" s="47">
        <v>1634</v>
      </c>
      <c r="D1136" s="48" t="s">
        <v>365</v>
      </c>
    </row>
    <row r="1137" spans="2:4" x14ac:dyDescent="0.15">
      <c r="B1137" s="46" t="s">
        <v>2770</v>
      </c>
      <c r="C1137" s="47">
        <v>1635</v>
      </c>
      <c r="D1137" s="48" t="s">
        <v>365</v>
      </c>
    </row>
    <row r="1138" spans="2:4" x14ac:dyDescent="0.15">
      <c r="B1138" s="46" t="s">
        <v>2771</v>
      </c>
      <c r="C1138" s="47">
        <v>1636</v>
      </c>
      <c r="D1138" s="48" t="s">
        <v>365</v>
      </c>
    </row>
    <row r="1139" spans="2:4" x14ac:dyDescent="0.15">
      <c r="B1139" s="46" t="s">
        <v>2772</v>
      </c>
      <c r="C1139" s="47">
        <v>1637</v>
      </c>
      <c r="D1139" s="48" t="s">
        <v>365</v>
      </c>
    </row>
    <row r="1140" spans="2:4" x14ac:dyDescent="0.15">
      <c r="B1140" s="46" t="s">
        <v>2773</v>
      </c>
      <c r="C1140" s="47">
        <v>1638</v>
      </c>
      <c r="D1140" s="48" t="s">
        <v>365</v>
      </c>
    </row>
    <row r="1141" spans="2:4" x14ac:dyDescent="0.15">
      <c r="B1141" s="46" t="s">
        <v>2774</v>
      </c>
      <c r="C1141" s="47">
        <v>1639</v>
      </c>
      <c r="D1141" s="48" t="s">
        <v>365</v>
      </c>
    </row>
    <row r="1142" spans="2:4" x14ac:dyDescent="0.15">
      <c r="B1142" s="46" t="s">
        <v>2775</v>
      </c>
      <c r="C1142" s="47">
        <v>1640</v>
      </c>
      <c r="D1142" s="48" t="s">
        <v>365</v>
      </c>
    </row>
    <row r="1143" spans="2:4" x14ac:dyDescent="0.15">
      <c r="B1143" s="46" t="s">
        <v>1440</v>
      </c>
      <c r="C1143" s="47">
        <v>1641</v>
      </c>
      <c r="D1143" s="48" t="s">
        <v>365</v>
      </c>
    </row>
    <row r="1144" spans="2:4" x14ac:dyDescent="0.15">
      <c r="B1144" s="46" t="s">
        <v>1442</v>
      </c>
      <c r="C1144" s="47">
        <v>1642</v>
      </c>
      <c r="D1144" s="48" t="s">
        <v>365</v>
      </c>
    </row>
    <row r="1145" spans="2:4" x14ac:dyDescent="0.15">
      <c r="B1145" s="46" t="s">
        <v>2776</v>
      </c>
      <c r="C1145" s="47">
        <v>1643</v>
      </c>
      <c r="D1145" s="48" t="s">
        <v>365</v>
      </c>
    </row>
    <row r="1146" spans="2:4" x14ac:dyDescent="0.15">
      <c r="B1146" s="46" t="s">
        <v>2777</v>
      </c>
      <c r="C1146" s="47">
        <v>1644</v>
      </c>
      <c r="D1146" s="48" t="s">
        <v>365</v>
      </c>
    </row>
    <row r="1147" spans="2:4" x14ac:dyDescent="0.15">
      <c r="B1147" s="46" t="s">
        <v>2778</v>
      </c>
      <c r="C1147" s="47">
        <v>1645</v>
      </c>
      <c r="D1147" s="48" t="s">
        <v>365</v>
      </c>
    </row>
    <row r="1148" spans="2:4" x14ac:dyDescent="0.15">
      <c r="B1148" s="46" t="s">
        <v>2779</v>
      </c>
      <c r="C1148" s="47">
        <v>1646</v>
      </c>
      <c r="D1148" s="48" t="s">
        <v>365</v>
      </c>
    </row>
    <row r="1149" spans="2:4" x14ac:dyDescent="0.15">
      <c r="B1149" s="46" t="s">
        <v>2780</v>
      </c>
      <c r="C1149" s="47">
        <v>1647</v>
      </c>
      <c r="D1149" s="48" t="s">
        <v>365</v>
      </c>
    </row>
    <row r="1150" spans="2:4" x14ac:dyDescent="0.15">
      <c r="B1150" s="46" t="s">
        <v>2781</v>
      </c>
      <c r="C1150" s="47">
        <v>1648</v>
      </c>
      <c r="D1150" s="48" t="s">
        <v>365</v>
      </c>
    </row>
    <row r="1151" spans="2:4" x14ac:dyDescent="0.15">
      <c r="B1151" s="46" t="s">
        <v>2782</v>
      </c>
      <c r="C1151" s="47">
        <v>1649</v>
      </c>
      <c r="D1151" s="48" t="s">
        <v>365</v>
      </c>
    </row>
    <row r="1152" spans="2:4" x14ac:dyDescent="0.15">
      <c r="B1152" s="46" t="s">
        <v>2783</v>
      </c>
      <c r="C1152" s="47">
        <v>1650</v>
      </c>
      <c r="D1152" s="48" t="s">
        <v>365</v>
      </c>
    </row>
    <row r="1153" spans="2:4" x14ac:dyDescent="0.15">
      <c r="B1153" s="46" t="s">
        <v>2784</v>
      </c>
      <c r="C1153" s="47">
        <v>1651</v>
      </c>
      <c r="D1153" s="48" t="s">
        <v>365</v>
      </c>
    </row>
    <row r="1154" spans="2:4" x14ac:dyDescent="0.15">
      <c r="B1154" s="46" t="s">
        <v>2785</v>
      </c>
      <c r="C1154" s="47">
        <v>1652</v>
      </c>
      <c r="D1154" s="48" t="s">
        <v>365</v>
      </c>
    </row>
    <row r="1155" spans="2:4" x14ac:dyDescent="0.15">
      <c r="B1155" s="46" t="s">
        <v>2786</v>
      </c>
      <c r="C1155" s="47">
        <v>1653</v>
      </c>
      <c r="D1155" s="48" t="s">
        <v>365</v>
      </c>
    </row>
    <row r="1156" spans="2:4" x14ac:dyDescent="0.15">
      <c r="B1156" s="46" t="s">
        <v>2787</v>
      </c>
      <c r="C1156" s="47">
        <v>1654</v>
      </c>
      <c r="D1156" s="48" t="s">
        <v>365</v>
      </c>
    </row>
    <row r="1157" spans="2:4" x14ac:dyDescent="0.15">
      <c r="B1157" s="46" t="s">
        <v>2788</v>
      </c>
      <c r="C1157" s="47">
        <v>1655</v>
      </c>
      <c r="D1157" s="48" t="s">
        <v>365</v>
      </c>
    </row>
    <row r="1158" spans="2:4" x14ac:dyDescent="0.15">
      <c r="B1158" s="46" t="s">
        <v>1922</v>
      </c>
      <c r="C1158" s="47">
        <v>1656</v>
      </c>
      <c r="D1158" s="48" t="s">
        <v>365</v>
      </c>
    </row>
    <row r="1159" spans="2:4" x14ac:dyDescent="0.15">
      <c r="B1159" s="46" t="s">
        <v>2789</v>
      </c>
      <c r="C1159" s="47">
        <v>1657</v>
      </c>
      <c r="D1159" s="48" t="s">
        <v>365</v>
      </c>
    </row>
    <row r="1160" spans="2:4" x14ac:dyDescent="0.15">
      <c r="B1160" s="46" t="s">
        <v>2790</v>
      </c>
      <c r="C1160" s="47">
        <v>1658</v>
      </c>
      <c r="D1160" s="48" t="s">
        <v>365</v>
      </c>
    </row>
    <row r="1161" spans="2:4" x14ac:dyDescent="0.15">
      <c r="B1161" s="46" t="s">
        <v>2791</v>
      </c>
      <c r="C1161" s="47">
        <v>1659</v>
      </c>
      <c r="D1161" s="48" t="s">
        <v>365</v>
      </c>
    </row>
    <row r="1162" spans="2:4" x14ac:dyDescent="0.15">
      <c r="B1162" s="46" t="s">
        <v>2792</v>
      </c>
      <c r="C1162" s="47">
        <v>1660</v>
      </c>
      <c r="D1162" s="48" t="s">
        <v>365</v>
      </c>
    </row>
    <row r="1163" spans="2:4" x14ac:dyDescent="0.15">
      <c r="B1163" s="46" t="s">
        <v>2793</v>
      </c>
      <c r="C1163" s="47">
        <v>1661</v>
      </c>
      <c r="D1163" s="48" t="s">
        <v>365</v>
      </c>
    </row>
    <row r="1164" spans="2:4" x14ac:dyDescent="0.15">
      <c r="B1164" s="46" t="s">
        <v>2794</v>
      </c>
      <c r="C1164" s="47">
        <v>1662</v>
      </c>
      <c r="D1164" s="48" t="s">
        <v>365</v>
      </c>
    </row>
    <row r="1165" spans="2:4" x14ac:dyDescent="0.15">
      <c r="B1165" s="46" t="s">
        <v>2795</v>
      </c>
      <c r="C1165" s="47">
        <v>1663</v>
      </c>
      <c r="D1165" s="48" t="s">
        <v>365</v>
      </c>
    </row>
    <row r="1166" spans="2:4" x14ac:dyDescent="0.15">
      <c r="B1166" s="46" t="s">
        <v>2796</v>
      </c>
      <c r="C1166" s="47">
        <v>1664</v>
      </c>
      <c r="D1166" s="48" t="s">
        <v>365</v>
      </c>
    </row>
    <row r="1167" spans="2:4" x14ac:dyDescent="0.15">
      <c r="B1167" s="46" t="s">
        <v>2797</v>
      </c>
      <c r="C1167" s="47">
        <v>1665</v>
      </c>
      <c r="D1167" s="48" t="s">
        <v>365</v>
      </c>
    </row>
    <row r="1168" spans="2:4" x14ac:dyDescent="0.15">
      <c r="B1168" s="46" t="s">
        <v>2798</v>
      </c>
      <c r="C1168" s="47">
        <v>1666</v>
      </c>
      <c r="D1168" s="48" t="s">
        <v>365</v>
      </c>
    </row>
    <row r="1169" spans="2:4" x14ac:dyDescent="0.15">
      <c r="B1169" s="46" t="s">
        <v>2799</v>
      </c>
      <c r="C1169" s="47">
        <v>1667</v>
      </c>
      <c r="D1169" s="48" t="s">
        <v>365</v>
      </c>
    </row>
    <row r="1170" spans="2:4" x14ac:dyDescent="0.15">
      <c r="B1170" s="46" t="s">
        <v>2800</v>
      </c>
      <c r="C1170" s="47">
        <v>1668</v>
      </c>
      <c r="D1170" s="48" t="s">
        <v>365</v>
      </c>
    </row>
    <row r="1171" spans="2:4" x14ac:dyDescent="0.15">
      <c r="B1171" s="46" t="s">
        <v>2801</v>
      </c>
      <c r="C1171" s="47">
        <v>1669</v>
      </c>
      <c r="D1171" s="48" t="s">
        <v>365</v>
      </c>
    </row>
    <row r="1172" spans="2:4" x14ac:dyDescent="0.15">
      <c r="B1172" s="46" t="s">
        <v>2802</v>
      </c>
      <c r="C1172" s="47">
        <v>1670</v>
      </c>
      <c r="D1172" s="48" t="s">
        <v>365</v>
      </c>
    </row>
    <row r="1173" spans="2:4" x14ac:dyDescent="0.15">
      <c r="B1173" s="46" t="s">
        <v>2803</v>
      </c>
      <c r="C1173" s="47">
        <v>1671</v>
      </c>
      <c r="D1173" s="48" t="s">
        <v>365</v>
      </c>
    </row>
    <row r="1174" spans="2:4" x14ac:dyDescent="0.15">
      <c r="B1174" s="46" t="s">
        <v>2804</v>
      </c>
      <c r="C1174" s="47">
        <v>1672</v>
      </c>
      <c r="D1174" s="48" t="s">
        <v>365</v>
      </c>
    </row>
    <row r="1175" spans="2:4" x14ac:dyDescent="0.15">
      <c r="B1175" s="46" t="s">
        <v>1213</v>
      </c>
      <c r="C1175" s="47">
        <v>1673</v>
      </c>
      <c r="D1175" s="48" t="s">
        <v>365</v>
      </c>
    </row>
    <row r="1176" spans="2:4" x14ac:dyDescent="0.15">
      <c r="B1176" s="46" t="s">
        <v>2805</v>
      </c>
      <c r="C1176" s="47">
        <v>1674</v>
      </c>
      <c r="D1176" s="48" t="s">
        <v>365</v>
      </c>
    </row>
    <row r="1177" spans="2:4" x14ac:dyDescent="0.15">
      <c r="B1177" s="46" t="s">
        <v>2806</v>
      </c>
      <c r="C1177" s="47">
        <v>1675</v>
      </c>
      <c r="D1177" s="48" t="s">
        <v>365</v>
      </c>
    </row>
    <row r="1178" spans="2:4" x14ac:dyDescent="0.15">
      <c r="B1178" s="46" t="s">
        <v>1046</v>
      </c>
      <c r="C1178" s="47">
        <v>1676</v>
      </c>
      <c r="D1178" s="48" t="s">
        <v>365</v>
      </c>
    </row>
    <row r="1179" spans="2:4" x14ac:dyDescent="0.15">
      <c r="B1179" s="46" t="s">
        <v>2807</v>
      </c>
      <c r="C1179" s="47">
        <v>1677</v>
      </c>
      <c r="D1179" s="48" t="s">
        <v>365</v>
      </c>
    </row>
    <row r="1180" spans="2:4" x14ac:dyDescent="0.15">
      <c r="B1180" s="46" t="s">
        <v>2808</v>
      </c>
      <c r="C1180" s="47">
        <v>1678</v>
      </c>
      <c r="D1180" s="48" t="s">
        <v>365</v>
      </c>
    </row>
    <row r="1181" spans="2:4" x14ac:dyDescent="0.15">
      <c r="B1181" s="46" t="s">
        <v>2809</v>
      </c>
      <c r="C1181" s="47">
        <v>1679</v>
      </c>
      <c r="D1181" s="48" t="s">
        <v>365</v>
      </c>
    </row>
    <row r="1182" spans="2:4" x14ac:dyDescent="0.15">
      <c r="B1182" s="46" t="s">
        <v>2810</v>
      </c>
      <c r="C1182" s="47">
        <v>1680</v>
      </c>
      <c r="D1182" s="48" t="s">
        <v>365</v>
      </c>
    </row>
    <row r="1183" spans="2:4" x14ac:dyDescent="0.15">
      <c r="B1183" s="46" t="s">
        <v>2811</v>
      </c>
      <c r="C1183" s="47">
        <v>1681</v>
      </c>
      <c r="D1183" s="48" t="s">
        <v>365</v>
      </c>
    </row>
    <row r="1184" spans="2:4" x14ac:dyDescent="0.15">
      <c r="B1184" s="46" t="s">
        <v>599</v>
      </c>
      <c r="C1184" s="47">
        <v>1682</v>
      </c>
      <c r="D1184" s="48" t="s">
        <v>365</v>
      </c>
    </row>
    <row r="1185" spans="2:4" x14ac:dyDescent="0.15">
      <c r="B1185" s="46" t="s">
        <v>2812</v>
      </c>
      <c r="C1185" s="47">
        <v>1683</v>
      </c>
      <c r="D1185" s="48" t="s">
        <v>365</v>
      </c>
    </row>
    <row r="1186" spans="2:4" x14ac:dyDescent="0.15">
      <c r="B1186" s="46" t="s">
        <v>2813</v>
      </c>
      <c r="C1186" s="47">
        <v>1684</v>
      </c>
      <c r="D1186" s="48" t="s">
        <v>365</v>
      </c>
    </row>
    <row r="1187" spans="2:4" x14ac:dyDescent="0.15">
      <c r="B1187" s="46" t="s">
        <v>2814</v>
      </c>
      <c r="C1187" s="47">
        <v>1685</v>
      </c>
      <c r="D1187" s="48" t="s">
        <v>365</v>
      </c>
    </row>
    <row r="1188" spans="2:4" x14ac:dyDescent="0.15">
      <c r="B1188" s="46" t="s">
        <v>2815</v>
      </c>
      <c r="C1188" s="47">
        <v>1686</v>
      </c>
      <c r="D1188" s="48" t="s">
        <v>365</v>
      </c>
    </row>
    <row r="1189" spans="2:4" x14ac:dyDescent="0.15">
      <c r="B1189" s="46" t="s">
        <v>2816</v>
      </c>
      <c r="C1189" s="47">
        <v>1687</v>
      </c>
      <c r="D1189" s="48" t="s">
        <v>365</v>
      </c>
    </row>
    <row r="1190" spans="2:4" x14ac:dyDescent="0.15">
      <c r="B1190" s="46" t="s">
        <v>2817</v>
      </c>
      <c r="C1190" s="47">
        <v>1688</v>
      </c>
      <c r="D1190" s="48" t="s">
        <v>365</v>
      </c>
    </row>
    <row r="1191" spans="2:4" x14ac:dyDescent="0.15">
      <c r="B1191" s="46" t="s">
        <v>2818</v>
      </c>
      <c r="C1191" s="47">
        <v>1689</v>
      </c>
      <c r="D1191" s="48" t="s">
        <v>365</v>
      </c>
    </row>
    <row r="1192" spans="2:4" x14ac:dyDescent="0.15">
      <c r="B1192" s="46" t="s">
        <v>2819</v>
      </c>
      <c r="C1192" s="47">
        <v>1690</v>
      </c>
      <c r="D1192" s="48" t="s">
        <v>365</v>
      </c>
    </row>
    <row r="1193" spans="2:4" x14ac:dyDescent="0.15">
      <c r="B1193" s="46" t="s">
        <v>2820</v>
      </c>
      <c r="C1193" s="47">
        <v>1691</v>
      </c>
      <c r="D1193" s="48" t="s">
        <v>365</v>
      </c>
    </row>
    <row r="1194" spans="2:4" x14ac:dyDescent="0.15">
      <c r="B1194" s="46" t="s">
        <v>2821</v>
      </c>
      <c r="C1194" s="47">
        <v>1692</v>
      </c>
      <c r="D1194" s="48" t="s">
        <v>365</v>
      </c>
    </row>
    <row r="1195" spans="2:4" x14ac:dyDescent="0.15">
      <c r="B1195" s="46" t="s">
        <v>699</v>
      </c>
      <c r="C1195" s="47">
        <v>1693</v>
      </c>
      <c r="D1195" s="48" t="s">
        <v>365</v>
      </c>
    </row>
    <row r="1196" spans="2:4" x14ac:dyDescent="0.15">
      <c r="B1196" s="46" t="s">
        <v>2822</v>
      </c>
      <c r="C1196" s="47">
        <v>1694</v>
      </c>
      <c r="D1196" s="48" t="s">
        <v>365</v>
      </c>
    </row>
    <row r="1197" spans="2:4" x14ac:dyDescent="0.15">
      <c r="B1197" s="46" t="s">
        <v>1228</v>
      </c>
      <c r="C1197" s="47">
        <v>1695</v>
      </c>
      <c r="D1197" s="48" t="s">
        <v>365</v>
      </c>
    </row>
    <row r="1198" spans="2:4" x14ac:dyDescent="0.15">
      <c r="B1198" s="46" t="s">
        <v>2823</v>
      </c>
      <c r="C1198" s="47">
        <v>1696</v>
      </c>
      <c r="D1198" s="48" t="s">
        <v>365</v>
      </c>
    </row>
    <row r="1199" spans="2:4" x14ac:dyDescent="0.15">
      <c r="B1199" s="46" t="s">
        <v>2824</v>
      </c>
      <c r="C1199" s="47">
        <v>1697</v>
      </c>
      <c r="D1199" s="48" t="s">
        <v>365</v>
      </c>
    </row>
    <row r="1200" spans="2:4" x14ac:dyDescent="0.15">
      <c r="B1200" s="46" t="s">
        <v>2825</v>
      </c>
      <c r="C1200" s="47">
        <v>1698</v>
      </c>
      <c r="D1200" s="48" t="s">
        <v>365</v>
      </c>
    </row>
    <row r="1201" spans="2:4" x14ac:dyDescent="0.15">
      <c r="B1201" s="46" t="s">
        <v>2826</v>
      </c>
      <c r="C1201" s="47">
        <v>1699</v>
      </c>
      <c r="D1201" s="48" t="s">
        <v>365</v>
      </c>
    </row>
    <row r="1202" spans="2:4" x14ac:dyDescent="0.15">
      <c r="B1202" s="46" t="s">
        <v>2827</v>
      </c>
      <c r="C1202" s="47">
        <v>1700</v>
      </c>
      <c r="D1202" s="48" t="s">
        <v>365</v>
      </c>
    </row>
    <row r="1203" spans="2:4" x14ac:dyDescent="0.15">
      <c r="B1203" s="46" t="s">
        <v>2828</v>
      </c>
      <c r="C1203" s="47">
        <v>1701</v>
      </c>
      <c r="D1203" s="48" t="s">
        <v>365</v>
      </c>
    </row>
    <row r="1204" spans="2:4" x14ac:dyDescent="0.15">
      <c r="B1204" s="46" t="s">
        <v>2829</v>
      </c>
      <c r="C1204" s="47">
        <v>1702</v>
      </c>
      <c r="D1204" s="48" t="s">
        <v>365</v>
      </c>
    </row>
    <row r="1205" spans="2:4" x14ac:dyDescent="0.15">
      <c r="B1205" s="46" t="s">
        <v>2830</v>
      </c>
      <c r="C1205" s="47">
        <v>1703</v>
      </c>
      <c r="D1205" s="48" t="s">
        <v>365</v>
      </c>
    </row>
    <row r="1206" spans="2:4" x14ac:dyDescent="0.15">
      <c r="B1206" s="46" t="s">
        <v>2831</v>
      </c>
      <c r="C1206" s="47">
        <v>1704</v>
      </c>
      <c r="D1206" s="48" t="s">
        <v>365</v>
      </c>
    </row>
    <row r="1207" spans="2:4" x14ac:dyDescent="0.15">
      <c r="B1207" s="46" t="s">
        <v>2832</v>
      </c>
      <c r="C1207" s="47">
        <v>1705</v>
      </c>
      <c r="D1207" s="48" t="s">
        <v>365</v>
      </c>
    </row>
    <row r="1208" spans="2:4" x14ac:dyDescent="0.15">
      <c r="B1208" s="46" t="s">
        <v>2833</v>
      </c>
      <c r="C1208" s="47">
        <v>1706</v>
      </c>
      <c r="D1208" s="48" t="s">
        <v>365</v>
      </c>
    </row>
    <row r="1209" spans="2:4" x14ac:dyDescent="0.15">
      <c r="B1209" s="46" t="s">
        <v>2834</v>
      </c>
      <c r="C1209" s="47">
        <v>1707</v>
      </c>
      <c r="D1209" s="48" t="s">
        <v>365</v>
      </c>
    </row>
    <row r="1210" spans="2:4" x14ac:dyDescent="0.15">
      <c r="B1210" s="46" t="s">
        <v>2835</v>
      </c>
      <c r="C1210" s="47">
        <v>1708</v>
      </c>
      <c r="D1210" s="48" t="s">
        <v>365</v>
      </c>
    </row>
    <row r="1211" spans="2:4" x14ac:dyDescent="0.15">
      <c r="B1211" s="46" t="s">
        <v>2836</v>
      </c>
      <c r="C1211" s="47">
        <v>1709</v>
      </c>
      <c r="D1211" s="48" t="s">
        <v>365</v>
      </c>
    </row>
    <row r="1212" spans="2:4" x14ac:dyDescent="0.15">
      <c r="B1212" s="46" t="s">
        <v>1285</v>
      </c>
      <c r="C1212" s="47">
        <v>1710</v>
      </c>
      <c r="D1212" s="48" t="s">
        <v>365</v>
      </c>
    </row>
    <row r="1213" spans="2:4" x14ac:dyDescent="0.15">
      <c r="B1213" s="46" t="s">
        <v>2837</v>
      </c>
      <c r="C1213" s="47">
        <v>1711</v>
      </c>
      <c r="D1213" s="48" t="s">
        <v>365</v>
      </c>
    </row>
    <row r="1214" spans="2:4" x14ac:dyDescent="0.15">
      <c r="B1214" s="46" t="s">
        <v>2838</v>
      </c>
      <c r="C1214" s="47">
        <v>1712</v>
      </c>
      <c r="D1214" s="48" t="s">
        <v>365</v>
      </c>
    </row>
    <row r="1215" spans="2:4" x14ac:dyDescent="0.15">
      <c r="B1215" s="46" t="s">
        <v>2839</v>
      </c>
      <c r="C1215" s="47">
        <v>1713</v>
      </c>
      <c r="D1215" s="48" t="s">
        <v>365</v>
      </c>
    </row>
    <row r="1216" spans="2:4" x14ac:dyDescent="0.15">
      <c r="B1216" s="46" t="s">
        <v>2840</v>
      </c>
      <c r="C1216" s="47">
        <v>1714</v>
      </c>
      <c r="D1216" s="48" t="s">
        <v>365</v>
      </c>
    </row>
    <row r="1217" spans="2:4" x14ac:dyDescent="0.15">
      <c r="B1217" s="46" t="s">
        <v>2841</v>
      </c>
      <c r="C1217" s="47">
        <v>1715</v>
      </c>
      <c r="D1217" s="48" t="s">
        <v>365</v>
      </c>
    </row>
    <row r="1218" spans="2:4" x14ac:dyDescent="0.15">
      <c r="B1218" s="46" t="s">
        <v>2842</v>
      </c>
      <c r="C1218" s="47">
        <v>1716</v>
      </c>
      <c r="D1218" s="48" t="s">
        <v>365</v>
      </c>
    </row>
    <row r="1219" spans="2:4" x14ac:dyDescent="0.15">
      <c r="B1219" s="46" t="s">
        <v>2843</v>
      </c>
      <c r="C1219" s="47">
        <v>1717</v>
      </c>
      <c r="D1219" s="48" t="s">
        <v>365</v>
      </c>
    </row>
    <row r="1220" spans="2:4" x14ac:dyDescent="0.15">
      <c r="B1220" s="46" t="s">
        <v>2844</v>
      </c>
      <c r="C1220" s="47">
        <v>1718</v>
      </c>
      <c r="D1220" s="48" t="s">
        <v>365</v>
      </c>
    </row>
    <row r="1221" spans="2:4" x14ac:dyDescent="0.15">
      <c r="B1221" s="46" t="s">
        <v>1215</v>
      </c>
      <c r="C1221" s="47">
        <v>1719</v>
      </c>
      <c r="D1221" s="48" t="s">
        <v>365</v>
      </c>
    </row>
    <row r="1222" spans="2:4" x14ac:dyDescent="0.15">
      <c r="B1222" s="46" t="s">
        <v>1264</v>
      </c>
      <c r="C1222" s="47">
        <v>1720</v>
      </c>
      <c r="D1222" s="48" t="s">
        <v>365</v>
      </c>
    </row>
    <row r="1223" spans="2:4" x14ac:dyDescent="0.15">
      <c r="B1223" s="46" t="s">
        <v>2845</v>
      </c>
      <c r="C1223" s="47">
        <v>1721</v>
      </c>
      <c r="D1223" s="48" t="s">
        <v>365</v>
      </c>
    </row>
    <row r="1224" spans="2:4" x14ac:dyDescent="0.15">
      <c r="B1224" s="46" t="s">
        <v>2846</v>
      </c>
      <c r="C1224" s="47">
        <v>1722</v>
      </c>
      <c r="D1224" s="48" t="s">
        <v>365</v>
      </c>
    </row>
    <row r="1225" spans="2:4" x14ac:dyDescent="0.15">
      <c r="B1225" s="46" t="s">
        <v>2847</v>
      </c>
      <c r="C1225" s="47">
        <v>1723</v>
      </c>
      <c r="D1225" s="48" t="s">
        <v>365</v>
      </c>
    </row>
    <row r="1226" spans="2:4" x14ac:dyDescent="0.15">
      <c r="B1226" s="46" t="s">
        <v>2848</v>
      </c>
      <c r="C1226" s="47">
        <v>1724</v>
      </c>
      <c r="D1226" s="48" t="s">
        <v>365</v>
      </c>
    </row>
    <row r="1227" spans="2:4" x14ac:dyDescent="0.15">
      <c r="B1227" s="46" t="s">
        <v>2849</v>
      </c>
      <c r="C1227" s="47">
        <v>1725</v>
      </c>
      <c r="D1227" s="48" t="s">
        <v>365</v>
      </c>
    </row>
    <row r="1228" spans="2:4" x14ac:dyDescent="0.15">
      <c r="B1228" s="46" t="s">
        <v>2850</v>
      </c>
      <c r="C1228" s="47">
        <v>1726</v>
      </c>
      <c r="D1228" s="48" t="s">
        <v>365</v>
      </c>
    </row>
    <row r="1229" spans="2:4" x14ac:dyDescent="0.15">
      <c r="B1229" s="46" t="s">
        <v>2851</v>
      </c>
      <c r="C1229" s="47">
        <v>1727</v>
      </c>
      <c r="D1229" s="48" t="s">
        <v>365</v>
      </c>
    </row>
    <row r="1230" spans="2:4" x14ac:dyDescent="0.15">
      <c r="B1230" s="46" t="s">
        <v>2852</v>
      </c>
      <c r="C1230" s="47">
        <v>1728</v>
      </c>
      <c r="D1230" s="48" t="s">
        <v>365</v>
      </c>
    </row>
    <row r="1231" spans="2:4" x14ac:dyDescent="0.15">
      <c r="B1231" s="46" t="s">
        <v>2853</v>
      </c>
      <c r="C1231" s="47">
        <v>1729</v>
      </c>
      <c r="D1231" s="48" t="s">
        <v>365</v>
      </c>
    </row>
    <row r="1232" spans="2:4" x14ac:dyDescent="0.15">
      <c r="B1232" s="46" t="s">
        <v>2854</v>
      </c>
      <c r="C1232" s="47">
        <v>1730</v>
      </c>
      <c r="D1232" s="48" t="s">
        <v>365</v>
      </c>
    </row>
    <row r="1233" spans="2:4" x14ac:dyDescent="0.15">
      <c r="B1233" s="46" t="s">
        <v>2855</v>
      </c>
      <c r="C1233" s="47">
        <v>1731</v>
      </c>
      <c r="D1233" s="48" t="s">
        <v>365</v>
      </c>
    </row>
    <row r="1234" spans="2:4" x14ac:dyDescent="0.15">
      <c r="B1234" s="46" t="s">
        <v>2856</v>
      </c>
      <c r="C1234" s="47">
        <v>1732</v>
      </c>
      <c r="D1234" s="48" t="s">
        <v>365</v>
      </c>
    </row>
    <row r="1235" spans="2:4" x14ac:dyDescent="0.15">
      <c r="B1235" s="46" t="s">
        <v>1406</v>
      </c>
      <c r="C1235" s="47">
        <v>1733</v>
      </c>
      <c r="D1235" s="48" t="s">
        <v>365</v>
      </c>
    </row>
    <row r="1236" spans="2:4" x14ac:dyDescent="0.15">
      <c r="B1236" s="46" t="s">
        <v>2857</v>
      </c>
      <c r="C1236" s="47">
        <v>1734</v>
      </c>
      <c r="D1236" s="48" t="s">
        <v>365</v>
      </c>
    </row>
    <row r="1237" spans="2:4" x14ac:dyDescent="0.15">
      <c r="B1237" s="46" t="s">
        <v>2858</v>
      </c>
      <c r="C1237" s="47">
        <v>1735</v>
      </c>
      <c r="D1237" s="48" t="s">
        <v>365</v>
      </c>
    </row>
    <row r="1238" spans="2:4" x14ac:dyDescent="0.15">
      <c r="B1238" s="46" t="s">
        <v>2859</v>
      </c>
      <c r="C1238" s="47">
        <v>1736</v>
      </c>
      <c r="D1238" s="48" t="s">
        <v>365</v>
      </c>
    </row>
    <row r="1239" spans="2:4" x14ac:dyDescent="0.15">
      <c r="B1239" s="46" t="s">
        <v>2860</v>
      </c>
      <c r="C1239" s="47">
        <v>1737</v>
      </c>
      <c r="D1239" s="48" t="s">
        <v>365</v>
      </c>
    </row>
    <row r="1240" spans="2:4" x14ac:dyDescent="0.15">
      <c r="B1240" s="46" t="s">
        <v>2861</v>
      </c>
      <c r="C1240" s="47">
        <v>1738</v>
      </c>
      <c r="D1240" s="48" t="s">
        <v>365</v>
      </c>
    </row>
    <row r="1241" spans="2:4" x14ac:dyDescent="0.15">
      <c r="B1241" s="46" t="s">
        <v>2862</v>
      </c>
      <c r="C1241" s="47">
        <v>1739</v>
      </c>
      <c r="D1241" s="48" t="s">
        <v>365</v>
      </c>
    </row>
    <row r="1242" spans="2:4" x14ac:dyDescent="0.15">
      <c r="B1242" s="46" t="s">
        <v>2863</v>
      </c>
      <c r="C1242" s="47">
        <v>1740</v>
      </c>
      <c r="D1242" s="48" t="s">
        <v>365</v>
      </c>
    </row>
    <row r="1243" spans="2:4" x14ac:dyDescent="0.15">
      <c r="B1243" s="46" t="s">
        <v>1266</v>
      </c>
      <c r="C1243" s="47">
        <v>1741</v>
      </c>
      <c r="D1243" s="48" t="s">
        <v>365</v>
      </c>
    </row>
    <row r="1244" spans="2:4" x14ac:dyDescent="0.15">
      <c r="B1244" s="46" t="s">
        <v>2864</v>
      </c>
      <c r="C1244" s="47">
        <v>1742</v>
      </c>
      <c r="D1244" s="48" t="s">
        <v>365</v>
      </c>
    </row>
    <row r="1245" spans="2:4" x14ac:dyDescent="0.15">
      <c r="B1245" s="46" t="s">
        <v>2865</v>
      </c>
      <c r="C1245" s="47">
        <v>1743</v>
      </c>
      <c r="D1245" s="48" t="s">
        <v>365</v>
      </c>
    </row>
    <row r="1246" spans="2:4" x14ac:dyDescent="0.15">
      <c r="B1246" s="46" t="s">
        <v>2866</v>
      </c>
      <c r="C1246" s="47">
        <v>1744</v>
      </c>
      <c r="D1246" s="48" t="s">
        <v>365</v>
      </c>
    </row>
    <row r="1247" spans="2:4" x14ac:dyDescent="0.15">
      <c r="B1247" s="46" t="s">
        <v>2867</v>
      </c>
      <c r="C1247" s="47">
        <v>1745</v>
      </c>
      <c r="D1247" s="48" t="s">
        <v>365</v>
      </c>
    </row>
    <row r="1248" spans="2:4" x14ac:dyDescent="0.15">
      <c r="B1248" s="46" t="s">
        <v>2868</v>
      </c>
      <c r="C1248" s="47">
        <v>1746</v>
      </c>
      <c r="D1248" s="48" t="s">
        <v>365</v>
      </c>
    </row>
    <row r="1249" spans="2:4" x14ac:dyDescent="0.15">
      <c r="B1249" s="46" t="s">
        <v>2869</v>
      </c>
      <c r="C1249" s="47">
        <v>1747</v>
      </c>
      <c r="D1249" s="48" t="s">
        <v>365</v>
      </c>
    </row>
    <row r="1250" spans="2:4" x14ac:dyDescent="0.15">
      <c r="B1250" s="46" t="s">
        <v>2870</v>
      </c>
      <c r="C1250" s="47">
        <v>1748</v>
      </c>
      <c r="D1250" s="48" t="s">
        <v>365</v>
      </c>
    </row>
    <row r="1251" spans="2:4" x14ac:dyDescent="0.15">
      <c r="B1251" s="46" t="s">
        <v>2871</v>
      </c>
      <c r="C1251" s="47">
        <v>1749</v>
      </c>
      <c r="D1251" s="48" t="s">
        <v>365</v>
      </c>
    </row>
    <row r="1252" spans="2:4" x14ac:dyDescent="0.15">
      <c r="B1252" s="46" t="s">
        <v>2872</v>
      </c>
      <c r="C1252" s="47">
        <v>1750</v>
      </c>
      <c r="D1252" s="48" t="s">
        <v>365</v>
      </c>
    </row>
    <row r="1253" spans="2:4" x14ac:dyDescent="0.15">
      <c r="B1253" s="46" t="s">
        <v>2873</v>
      </c>
      <c r="C1253" s="47">
        <v>1751</v>
      </c>
      <c r="D1253" s="48" t="s">
        <v>365</v>
      </c>
    </row>
    <row r="1254" spans="2:4" x14ac:dyDescent="0.15">
      <c r="B1254" s="46" t="s">
        <v>2874</v>
      </c>
      <c r="C1254" s="47">
        <v>1752</v>
      </c>
      <c r="D1254" s="48" t="s">
        <v>365</v>
      </c>
    </row>
    <row r="1255" spans="2:4" x14ac:dyDescent="0.15">
      <c r="B1255" s="46" t="s">
        <v>2875</v>
      </c>
      <c r="C1255" s="47">
        <v>1753</v>
      </c>
      <c r="D1255" s="48" t="s">
        <v>365</v>
      </c>
    </row>
    <row r="1256" spans="2:4" x14ac:dyDescent="0.15">
      <c r="B1256" s="46" t="s">
        <v>2876</v>
      </c>
      <c r="C1256" s="47">
        <v>1754</v>
      </c>
      <c r="D1256" s="48" t="s">
        <v>365</v>
      </c>
    </row>
    <row r="1257" spans="2:4" x14ac:dyDescent="0.15">
      <c r="B1257" s="46" t="s">
        <v>2877</v>
      </c>
      <c r="C1257" s="47">
        <v>1755</v>
      </c>
      <c r="D1257" s="48" t="s">
        <v>365</v>
      </c>
    </row>
    <row r="1258" spans="2:4" x14ac:dyDescent="0.15">
      <c r="B1258" s="46" t="s">
        <v>1607</v>
      </c>
      <c r="C1258" s="47">
        <v>1756</v>
      </c>
      <c r="D1258" s="48" t="s">
        <v>365</v>
      </c>
    </row>
    <row r="1259" spans="2:4" x14ac:dyDescent="0.15">
      <c r="B1259" s="46" t="s">
        <v>1609</v>
      </c>
      <c r="C1259" s="47">
        <v>1757</v>
      </c>
      <c r="D1259" s="48" t="s">
        <v>365</v>
      </c>
    </row>
    <row r="1260" spans="2:4" x14ac:dyDescent="0.15">
      <c r="B1260" s="46" t="s">
        <v>2878</v>
      </c>
      <c r="C1260" s="47">
        <v>1758</v>
      </c>
      <c r="D1260" s="48" t="s">
        <v>365</v>
      </c>
    </row>
    <row r="1261" spans="2:4" x14ac:dyDescent="0.15">
      <c r="B1261" s="46" t="s">
        <v>2879</v>
      </c>
      <c r="C1261" s="47">
        <v>1759</v>
      </c>
      <c r="D1261" s="48" t="s">
        <v>365</v>
      </c>
    </row>
    <row r="1262" spans="2:4" x14ac:dyDescent="0.15">
      <c r="B1262" s="46" t="s">
        <v>2880</v>
      </c>
      <c r="C1262" s="47">
        <v>1760</v>
      </c>
      <c r="D1262" s="48" t="s">
        <v>365</v>
      </c>
    </row>
    <row r="1263" spans="2:4" x14ac:dyDescent="0.15">
      <c r="B1263" s="46" t="s">
        <v>2881</v>
      </c>
      <c r="C1263" s="47">
        <v>1761</v>
      </c>
      <c r="D1263" s="48" t="s">
        <v>365</v>
      </c>
    </row>
    <row r="1264" spans="2:4" x14ac:dyDescent="0.15">
      <c r="B1264" s="46" t="s">
        <v>2882</v>
      </c>
      <c r="C1264" s="47">
        <v>1762</v>
      </c>
      <c r="D1264" s="48" t="s">
        <v>365</v>
      </c>
    </row>
    <row r="1265" spans="2:4" x14ac:dyDescent="0.15">
      <c r="B1265" s="46" t="s">
        <v>2883</v>
      </c>
      <c r="C1265" s="47">
        <v>1763</v>
      </c>
      <c r="D1265" s="48" t="s">
        <v>365</v>
      </c>
    </row>
    <row r="1266" spans="2:4" x14ac:dyDescent="0.15">
      <c r="B1266" s="46" t="s">
        <v>2884</v>
      </c>
      <c r="C1266" s="47">
        <v>1764</v>
      </c>
      <c r="D1266" s="48" t="s">
        <v>365</v>
      </c>
    </row>
    <row r="1267" spans="2:4" x14ac:dyDescent="0.15">
      <c r="B1267" s="46" t="s">
        <v>2885</v>
      </c>
      <c r="C1267" s="47">
        <v>1765</v>
      </c>
      <c r="D1267" s="48" t="s">
        <v>365</v>
      </c>
    </row>
    <row r="1268" spans="2:4" x14ac:dyDescent="0.15">
      <c r="B1268" s="46" t="s">
        <v>2886</v>
      </c>
      <c r="C1268" s="47">
        <v>1766</v>
      </c>
      <c r="D1268" s="48" t="s">
        <v>365</v>
      </c>
    </row>
    <row r="1269" spans="2:4" x14ac:dyDescent="0.15">
      <c r="B1269" s="46" t="s">
        <v>2887</v>
      </c>
      <c r="C1269" s="47">
        <v>1767</v>
      </c>
      <c r="D1269" s="48" t="s">
        <v>365</v>
      </c>
    </row>
    <row r="1270" spans="2:4" x14ac:dyDescent="0.15">
      <c r="B1270" s="46" t="s">
        <v>2888</v>
      </c>
      <c r="C1270" s="47">
        <v>1768</v>
      </c>
      <c r="D1270" s="48" t="s">
        <v>365</v>
      </c>
    </row>
    <row r="1271" spans="2:4" x14ac:dyDescent="0.15">
      <c r="B1271" s="46" t="s">
        <v>2889</v>
      </c>
      <c r="C1271" s="47">
        <v>1769</v>
      </c>
      <c r="D1271" s="48" t="s">
        <v>365</v>
      </c>
    </row>
    <row r="1272" spans="2:4" x14ac:dyDescent="0.15">
      <c r="B1272" s="46" t="s">
        <v>1691</v>
      </c>
      <c r="C1272" s="47">
        <v>1770</v>
      </c>
      <c r="D1272" s="48" t="s">
        <v>365</v>
      </c>
    </row>
    <row r="1273" spans="2:4" x14ac:dyDescent="0.15">
      <c r="B1273" s="46" t="s">
        <v>2890</v>
      </c>
      <c r="C1273" s="47">
        <v>1771</v>
      </c>
      <c r="D1273" s="48" t="s">
        <v>365</v>
      </c>
    </row>
    <row r="1274" spans="2:4" x14ac:dyDescent="0.15">
      <c r="B1274" s="46" t="s">
        <v>2891</v>
      </c>
      <c r="C1274" s="47">
        <v>1772</v>
      </c>
      <c r="D1274" s="48" t="s">
        <v>365</v>
      </c>
    </row>
    <row r="1275" spans="2:4" x14ac:dyDescent="0.15">
      <c r="B1275" s="46" t="s">
        <v>2892</v>
      </c>
      <c r="C1275" s="47">
        <v>1773</v>
      </c>
      <c r="D1275" s="48" t="s">
        <v>365</v>
      </c>
    </row>
    <row r="1276" spans="2:4" x14ac:dyDescent="0.15">
      <c r="B1276" s="46" t="s">
        <v>2893</v>
      </c>
      <c r="C1276" s="47">
        <v>1774</v>
      </c>
      <c r="D1276" s="48" t="s">
        <v>365</v>
      </c>
    </row>
    <row r="1277" spans="2:4" x14ac:dyDescent="0.15">
      <c r="B1277" s="46" t="s">
        <v>2894</v>
      </c>
      <c r="C1277" s="47">
        <v>1775</v>
      </c>
      <c r="D1277" s="48" t="s">
        <v>365</v>
      </c>
    </row>
    <row r="1278" spans="2:4" x14ac:dyDescent="0.15">
      <c r="B1278" s="46" t="s">
        <v>2895</v>
      </c>
      <c r="C1278" s="47">
        <v>1776</v>
      </c>
      <c r="D1278" s="48" t="s">
        <v>365</v>
      </c>
    </row>
    <row r="1279" spans="2:4" x14ac:dyDescent="0.15">
      <c r="B1279" s="46" t="s">
        <v>470</v>
      </c>
      <c r="C1279" s="47">
        <v>1777</v>
      </c>
      <c r="D1279" s="48" t="s">
        <v>365</v>
      </c>
    </row>
    <row r="1280" spans="2:4" x14ac:dyDescent="0.15">
      <c r="B1280" s="46" t="s">
        <v>434</v>
      </c>
      <c r="C1280" s="47">
        <v>1778</v>
      </c>
      <c r="D1280" s="48" t="s">
        <v>365</v>
      </c>
    </row>
    <row r="1281" spans="2:4" x14ac:dyDescent="0.15">
      <c r="B1281" s="46" t="s">
        <v>480</v>
      </c>
      <c r="C1281" s="47">
        <v>1779</v>
      </c>
      <c r="D1281" s="48" t="s">
        <v>365</v>
      </c>
    </row>
    <row r="1282" spans="2:4" x14ac:dyDescent="0.15">
      <c r="B1282" s="46" t="s">
        <v>450</v>
      </c>
      <c r="C1282" s="47">
        <v>1780</v>
      </c>
      <c r="D1282" s="48" t="s">
        <v>365</v>
      </c>
    </row>
    <row r="1283" spans="2:4" x14ac:dyDescent="0.15">
      <c r="B1283" s="46" t="s">
        <v>2896</v>
      </c>
      <c r="C1283" s="47">
        <v>1781</v>
      </c>
      <c r="D1283" s="48" t="s">
        <v>365</v>
      </c>
    </row>
    <row r="1284" spans="2:4" x14ac:dyDescent="0.15">
      <c r="B1284" s="46" t="s">
        <v>503</v>
      </c>
      <c r="C1284" s="47">
        <v>1782</v>
      </c>
      <c r="D1284" s="48" t="s">
        <v>365</v>
      </c>
    </row>
    <row r="1285" spans="2:4" x14ac:dyDescent="0.15">
      <c r="B1285" s="46" t="s">
        <v>508</v>
      </c>
      <c r="C1285" s="47">
        <v>1783</v>
      </c>
      <c r="D1285" s="48" t="s">
        <v>365</v>
      </c>
    </row>
    <row r="1286" spans="2:4" x14ac:dyDescent="0.15">
      <c r="B1286" s="46" t="s">
        <v>2897</v>
      </c>
      <c r="C1286" s="47">
        <v>1784</v>
      </c>
      <c r="D1286" s="48" t="s">
        <v>365</v>
      </c>
    </row>
    <row r="1287" spans="2:4" x14ac:dyDescent="0.15">
      <c r="B1287" s="46" t="s">
        <v>376</v>
      </c>
      <c r="C1287" s="47">
        <v>1785</v>
      </c>
      <c r="D1287" s="48" t="s">
        <v>365</v>
      </c>
    </row>
    <row r="1288" spans="2:4" x14ac:dyDescent="0.15">
      <c r="B1288" s="46" t="s">
        <v>2898</v>
      </c>
      <c r="C1288" s="47">
        <v>1786</v>
      </c>
      <c r="D1288" s="48" t="s">
        <v>365</v>
      </c>
    </row>
    <row r="1289" spans="2:4" x14ac:dyDescent="0.15">
      <c r="B1289" s="46" t="s">
        <v>2899</v>
      </c>
      <c r="C1289" s="47">
        <v>1787</v>
      </c>
      <c r="D1289" s="48" t="s">
        <v>365</v>
      </c>
    </row>
    <row r="1290" spans="2:4" x14ac:dyDescent="0.15">
      <c r="B1290" s="46" t="s">
        <v>2900</v>
      </c>
      <c r="C1290" s="47">
        <v>1788</v>
      </c>
      <c r="D1290" s="48" t="s">
        <v>365</v>
      </c>
    </row>
    <row r="1291" spans="2:4" x14ac:dyDescent="0.15">
      <c r="B1291" s="46" t="s">
        <v>2901</v>
      </c>
      <c r="C1291" s="47">
        <v>1789</v>
      </c>
      <c r="D1291" s="48" t="s">
        <v>365</v>
      </c>
    </row>
    <row r="1292" spans="2:4" x14ac:dyDescent="0.15">
      <c r="B1292" s="46" t="s">
        <v>2902</v>
      </c>
      <c r="C1292" s="47">
        <v>1790</v>
      </c>
      <c r="D1292" s="48" t="s">
        <v>365</v>
      </c>
    </row>
    <row r="1293" spans="2:4" x14ac:dyDescent="0.15">
      <c r="B1293" s="46" t="s">
        <v>2903</v>
      </c>
      <c r="C1293" s="47">
        <v>1791</v>
      </c>
      <c r="D1293" s="48" t="s">
        <v>365</v>
      </c>
    </row>
    <row r="1294" spans="2:4" x14ac:dyDescent="0.15">
      <c r="B1294" s="46" t="s">
        <v>408</v>
      </c>
      <c r="C1294" s="47">
        <v>1792</v>
      </c>
      <c r="D1294" s="48" t="s">
        <v>365</v>
      </c>
    </row>
    <row r="1295" spans="2:4" x14ac:dyDescent="0.15">
      <c r="B1295" s="46" t="s">
        <v>410</v>
      </c>
      <c r="C1295" s="47">
        <v>1793</v>
      </c>
      <c r="D1295" s="48" t="s">
        <v>365</v>
      </c>
    </row>
    <row r="1296" spans="2:4" x14ac:dyDescent="0.15">
      <c r="B1296" s="46" t="s">
        <v>2904</v>
      </c>
      <c r="C1296" s="47">
        <v>1794</v>
      </c>
      <c r="D1296" s="48" t="s">
        <v>365</v>
      </c>
    </row>
    <row r="1297" spans="2:4" x14ac:dyDescent="0.15">
      <c r="B1297" s="46" t="s">
        <v>2905</v>
      </c>
      <c r="C1297" s="47">
        <v>1795</v>
      </c>
      <c r="D1297" s="48" t="s">
        <v>365</v>
      </c>
    </row>
    <row r="1298" spans="2:4" x14ac:dyDescent="0.15">
      <c r="B1298" s="46" t="s">
        <v>2906</v>
      </c>
      <c r="C1298" s="47">
        <v>1796</v>
      </c>
      <c r="D1298" s="48" t="s">
        <v>365</v>
      </c>
    </row>
    <row r="1299" spans="2:4" x14ac:dyDescent="0.15">
      <c r="B1299" s="46" t="s">
        <v>2907</v>
      </c>
      <c r="C1299" s="47">
        <v>1797</v>
      </c>
      <c r="D1299" s="48" t="s">
        <v>365</v>
      </c>
    </row>
    <row r="1300" spans="2:4" x14ac:dyDescent="0.15">
      <c r="B1300" s="46" t="s">
        <v>2908</v>
      </c>
      <c r="C1300" s="47">
        <v>1798</v>
      </c>
      <c r="D1300" s="48" t="s">
        <v>365</v>
      </c>
    </row>
    <row r="1301" spans="2:4" x14ac:dyDescent="0.15">
      <c r="B1301" s="46" t="s">
        <v>2909</v>
      </c>
      <c r="C1301" s="47">
        <v>1799</v>
      </c>
      <c r="D1301" s="48" t="s">
        <v>365</v>
      </c>
    </row>
    <row r="1302" spans="2:4" x14ac:dyDescent="0.15">
      <c r="B1302" s="46" t="s">
        <v>1217</v>
      </c>
      <c r="C1302" s="47">
        <v>1800</v>
      </c>
      <c r="D1302" s="48" t="s">
        <v>365</v>
      </c>
    </row>
    <row r="1303" spans="2:4" x14ac:dyDescent="0.15">
      <c r="B1303" s="46" t="s">
        <v>1598</v>
      </c>
      <c r="C1303" s="47">
        <v>1801</v>
      </c>
      <c r="D1303" s="48" t="s">
        <v>365</v>
      </c>
    </row>
    <row r="1304" spans="2:4" x14ac:dyDescent="0.15">
      <c r="B1304" s="46" t="s">
        <v>1870</v>
      </c>
      <c r="C1304" s="47">
        <v>1802</v>
      </c>
      <c r="D1304" s="48" t="s">
        <v>365</v>
      </c>
    </row>
    <row r="1305" spans="2:4" x14ac:dyDescent="0.15">
      <c r="B1305" s="46" t="s">
        <v>1196</v>
      </c>
      <c r="C1305" s="47">
        <v>1803</v>
      </c>
      <c r="D1305" s="48" t="s">
        <v>365</v>
      </c>
    </row>
    <row r="1306" spans="2:4" x14ac:dyDescent="0.15">
      <c r="B1306" s="46" t="s">
        <v>1198</v>
      </c>
      <c r="C1306" s="47">
        <v>1804</v>
      </c>
      <c r="D1306" s="48" t="s">
        <v>365</v>
      </c>
    </row>
    <row r="1307" spans="2:4" x14ac:dyDescent="0.15">
      <c r="B1307" s="46" t="s">
        <v>1591</v>
      </c>
      <c r="C1307" s="47">
        <v>1805</v>
      </c>
      <c r="D1307" s="48" t="s">
        <v>365</v>
      </c>
    </row>
    <row r="1308" spans="2:4" x14ac:dyDescent="0.15">
      <c r="B1308" s="46" t="s">
        <v>2910</v>
      </c>
      <c r="C1308" s="47">
        <v>1806</v>
      </c>
      <c r="D1308" s="48" t="s">
        <v>365</v>
      </c>
    </row>
    <row r="1309" spans="2:4" x14ac:dyDescent="0.15">
      <c r="B1309" s="46" t="s">
        <v>2911</v>
      </c>
      <c r="C1309" s="47">
        <v>1807</v>
      </c>
      <c r="D1309" s="48" t="s">
        <v>365</v>
      </c>
    </row>
    <row r="1310" spans="2:4" x14ac:dyDescent="0.15">
      <c r="B1310" s="46" t="s">
        <v>2912</v>
      </c>
      <c r="C1310" s="47">
        <v>1808</v>
      </c>
      <c r="D1310" s="48" t="s">
        <v>365</v>
      </c>
    </row>
    <row r="1311" spans="2:4" x14ac:dyDescent="0.15">
      <c r="B1311" s="46" t="s">
        <v>1334</v>
      </c>
      <c r="C1311" s="47">
        <v>1809</v>
      </c>
      <c r="D1311" s="48" t="s">
        <v>365</v>
      </c>
    </row>
    <row r="1312" spans="2:4" x14ac:dyDescent="0.15">
      <c r="B1312" s="46" t="s">
        <v>2913</v>
      </c>
      <c r="C1312" s="47">
        <v>1810</v>
      </c>
      <c r="D1312" s="48" t="s">
        <v>365</v>
      </c>
    </row>
    <row r="1313" spans="2:4" x14ac:dyDescent="0.15">
      <c r="B1313" s="46" t="s">
        <v>2914</v>
      </c>
      <c r="C1313" s="47">
        <v>1811</v>
      </c>
      <c r="D1313" s="48" t="s">
        <v>365</v>
      </c>
    </row>
    <row r="1314" spans="2:4" x14ac:dyDescent="0.15">
      <c r="B1314" s="46" t="s">
        <v>2915</v>
      </c>
      <c r="C1314" s="47">
        <v>1812</v>
      </c>
      <c r="D1314" s="48" t="s">
        <v>365</v>
      </c>
    </row>
    <row r="1315" spans="2:4" x14ac:dyDescent="0.15">
      <c r="B1315" s="46" t="s">
        <v>2916</v>
      </c>
      <c r="C1315" s="47">
        <v>1813</v>
      </c>
      <c r="D1315" s="48" t="s">
        <v>365</v>
      </c>
    </row>
    <row r="1316" spans="2:4" x14ac:dyDescent="0.15">
      <c r="B1316" s="46" t="s">
        <v>2917</v>
      </c>
      <c r="C1316" s="47">
        <v>1814</v>
      </c>
      <c r="D1316" s="48" t="s">
        <v>365</v>
      </c>
    </row>
    <row r="1317" spans="2:4" x14ac:dyDescent="0.15">
      <c r="B1317" s="46" t="s">
        <v>2918</v>
      </c>
      <c r="C1317" s="47">
        <v>1815</v>
      </c>
      <c r="D1317" s="48" t="s">
        <v>365</v>
      </c>
    </row>
    <row r="1318" spans="2:4" x14ac:dyDescent="0.15">
      <c r="B1318" s="46" t="s">
        <v>2919</v>
      </c>
      <c r="C1318" s="47">
        <v>1816</v>
      </c>
      <c r="D1318" s="48" t="s">
        <v>365</v>
      </c>
    </row>
    <row r="1319" spans="2:4" x14ac:dyDescent="0.15">
      <c r="B1319" s="46" t="s">
        <v>2920</v>
      </c>
      <c r="C1319" s="47">
        <v>1817</v>
      </c>
      <c r="D1319" s="48" t="s">
        <v>365</v>
      </c>
    </row>
    <row r="1320" spans="2:4" x14ac:dyDescent="0.15">
      <c r="B1320" s="46" t="s">
        <v>2921</v>
      </c>
      <c r="C1320" s="47">
        <v>1818</v>
      </c>
      <c r="D1320" s="48" t="s">
        <v>365</v>
      </c>
    </row>
    <row r="1321" spans="2:4" x14ac:dyDescent="0.15">
      <c r="B1321" s="46" t="s">
        <v>2922</v>
      </c>
      <c r="C1321" s="47">
        <v>1819</v>
      </c>
      <c r="D1321" s="48" t="s">
        <v>365</v>
      </c>
    </row>
    <row r="1322" spans="2:4" x14ac:dyDescent="0.15">
      <c r="B1322" s="46" t="s">
        <v>2923</v>
      </c>
      <c r="C1322" s="47">
        <v>1820</v>
      </c>
      <c r="D1322" s="48" t="s">
        <v>365</v>
      </c>
    </row>
    <row r="1323" spans="2:4" x14ac:dyDescent="0.15">
      <c r="B1323" s="46" t="s">
        <v>1200</v>
      </c>
      <c r="C1323" s="47">
        <v>1821</v>
      </c>
      <c r="D1323" s="48" t="s">
        <v>365</v>
      </c>
    </row>
    <row r="1324" spans="2:4" x14ac:dyDescent="0.15">
      <c r="B1324" s="46" t="s">
        <v>1202</v>
      </c>
      <c r="C1324" s="47">
        <v>1822</v>
      </c>
      <c r="D1324" s="48" t="s">
        <v>365</v>
      </c>
    </row>
    <row r="1325" spans="2:4" x14ac:dyDescent="0.15">
      <c r="B1325" s="46" t="s">
        <v>1206</v>
      </c>
      <c r="C1325" s="47">
        <v>1823</v>
      </c>
      <c r="D1325" s="48" t="s">
        <v>365</v>
      </c>
    </row>
    <row r="1326" spans="2:4" x14ac:dyDescent="0.15">
      <c r="B1326" s="46" t="s">
        <v>1433</v>
      </c>
      <c r="C1326" s="47">
        <v>1824</v>
      </c>
      <c r="D1326" s="48" t="s">
        <v>365</v>
      </c>
    </row>
    <row r="1327" spans="2:4" x14ac:dyDescent="0.15">
      <c r="B1327" s="46" t="s">
        <v>1386</v>
      </c>
      <c r="C1327" s="47">
        <v>1825</v>
      </c>
      <c r="D1327" s="48" t="s">
        <v>365</v>
      </c>
    </row>
    <row r="1328" spans="2:4" x14ac:dyDescent="0.15">
      <c r="B1328" s="46" t="s">
        <v>1388</v>
      </c>
      <c r="C1328" s="47">
        <v>1826</v>
      </c>
      <c r="D1328" s="48" t="s">
        <v>365</v>
      </c>
    </row>
    <row r="1329" spans="2:4" x14ac:dyDescent="0.15">
      <c r="B1329" s="46" t="s">
        <v>1390</v>
      </c>
      <c r="C1329" s="47">
        <v>1827</v>
      </c>
      <c r="D1329" s="48" t="s">
        <v>365</v>
      </c>
    </row>
    <row r="1330" spans="2:4" x14ac:dyDescent="0.15">
      <c r="B1330" s="46" t="s">
        <v>1393</v>
      </c>
      <c r="C1330" s="47">
        <v>1828</v>
      </c>
      <c r="D1330" s="48" t="s">
        <v>365</v>
      </c>
    </row>
    <row r="1331" spans="2:4" x14ac:dyDescent="0.15">
      <c r="B1331" s="46" t="s">
        <v>1278</v>
      </c>
      <c r="C1331" s="47">
        <v>1829</v>
      </c>
      <c r="D1331" s="48" t="s">
        <v>365</v>
      </c>
    </row>
    <row r="1332" spans="2:4" x14ac:dyDescent="0.15">
      <c r="B1332" s="46" t="s">
        <v>1280</v>
      </c>
      <c r="C1332" s="47">
        <v>1830</v>
      </c>
      <c r="D1332" s="48" t="s">
        <v>365</v>
      </c>
    </row>
    <row r="1333" spans="2:4" x14ac:dyDescent="0.15">
      <c r="B1333" s="46" t="s">
        <v>1396</v>
      </c>
      <c r="C1333" s="47">
        <v>1831</v>
      </c>
      <c r="D1333" s="48" t="s">
        <v>365</v>
      </c>
    </row>
    <row r="1334" spans="2:4" x14ac:dyDescent="0.15">
      <c r="B1334" s="46" t="s">
        <v>1400</v>
      </c>
      <c r="C1334" s="47">
        <v>1832</v>
      </c>
      <c r="D1334" s="48" t="s">
        <v>365</v>
      </c>
    </row>
    <row r="1335" spans="2:4" x14ac:dyDescent="0.15">
      <c r="B1335" s="46" t="s">
        <v>1398</v>
      </c>
      <c r="C1335" s="47">
        <v>1833</v>
      </c>
      <c r="D1335" s="48" t="s">
        <v>365</v>
      </c>
    </row>
    <row r="1336" spans="2:4" x14ac:dyDescent="0.15">
      <c r="B1336" s="46" t="s">
        <v>1402</v>
      </c>
      <c r="C1336" s="47">
        <v>1834</v>
      </c>
      <c r="D1336" s="48" t="s">
        <v>365</v>
      </c>
    </row>
    <row r="1337" spans="2:4" x14ac:dyDescent="0.15">
      <c r="B1337" s="46" t="s">
        <v>1417</v>
      </c>
      <c r="C1337" s="47">
        <v>1835</v>
      </c>
      <c r="D1337" s="48" t="s">
        <v>365</v>
      </c>
    </row>
    <row r="1338" spans="2:4" x14ac:dyDescent="0.15">
      <c r="B1338" s="46" t="s">
        <v>2924</v>
      </c>
      <c r="C1338" s="47">
        <v>1836</v>
      </c>
      <c r="D1338" s="48" t="s">
        <v>365</v>
      </c>
    </row>
    <row r="1339" spans="2:4" x14ac:dyDescent="0.15">
      <c r="B1339" s="46" t="s">
        <v>1413</v>
      </c>
      <c r="C1339" s="47">
        <v>1837</v>
      </c>
      <c r="D1339" s="48" t="s">
        <v>365</v>
      </c>
    </row>
    <row r="1340" spans="2:4" x14ac:dyDescent="0.15">
      <c r="B1340" s="46" t="s">
        <v>1415</v>
      </c>
      <c r="C1340" s="47">
        <v>1838</v>
      </c>
      <c r="D1340" s="48" t="s">
        <v>365</v>
      </c>
    </row>
    <row r="1341" spans="2:4" x14ac:dyDescent="0.15">
      <c r="B1341" s="46" t="s">
        <v>2925</v>
      </c>
      <c r="C1341" s="47">
        <v>1839</v>
      </c>
      <c r="D1341" s="48" t="s">
        <v>365</v>
      </c>
    </row>
    <row r="1342" spans="2:4" x14ac:dyDescent="0.15">
      <c r="B1342" s="46" t="s">
        <v>2926</v>
      </c>
      <c r="C1342" s="47">
        <v>1840</v>
      </c>
      <c r="D1342" s="48" t="s">
        <v>365</v>
      </c>
    </row>
    <row r="1343" spans="2:4" x14ac:dyDescent="0.15">
      <c r="B1343" s="46" t="s">
        <v>2927</v>
      </c>
      <c r="C1343" s="47">
        <v>1841</v>
      </c>
      <c r="D1343" s="48" t="s">
        <v>365</v>
      </c>
    </row>
    <row r="1344" spans="2:4" x14ac:dyDescent="0.15">
      <c r="B1344" s="46" t="s">
        <v>2928</v>
      </c>
      <c r="C1344" s="47">
        <v>1842</v>
      </c>
      <c r="D1344" s="48" t="s">
        <v>365</v>
      </c>
    </row>
    <row r="1345" spans="2:4" x14ac:dyDescent="0.15">
      <c r="B1345" s="46" t="s">
        <v>1730</v>
      </c>
      <c r="C1345" s="47">
        <v>1843</v>
      </c>
      <c r="D1345" s="48" t="s">
        <v>365</v>
      </c>
    </row>
    <row r="1346" spans="2:4" x14ac:dyDescent="0.15">
      <c r="B1346" s="46" t="s">
        <v>1732</v>
      </c>
      <c r="C1346" s="47">
        <v>1844</v>
      </c>
      <c r="D1346" s="48" t="s">
        <v>365</v>
      </c>
    </row>
    <row r="1347" spans="2:4" x14ac:dyDescent="0.15">
      <c r="B1347" s="46" t="s">
        <v>1208</v>
      </c>
      <c r="C1347" s="47">
        <v>1845</v>
      </c>
      <c r="D1347" s="48" t="s">
        <v>365</v>
      </c>
    </row>
    <row r="1348" spans="2:4" x14ac:dyDescent="0.15">
      <c r="B1348" s="46" t="s">
        <v>1210</v>
      </c>
      <c r="C1348" s="47">
        <v>1846</v>
      </c>
      <c r="D1348" s="48" t="s">
        <v>365</v>
      </c>
    </row>
    <row r="1349" spans="2:4" x14ac:dyDescent="0.15">
      <c r="B1349" s="46" t="s">
        <v>1404</v>
      </c>
      <c r="C1349" s="47">
        <v>1847</v>
      </c>
      <c r="D1349" s="48" t="s">
        <v>365</v>
      </c>
    </row>
    <row r="1350" spans="2:4" x14ac:dyDescent="0.15">
      <c r="B1350" s="46" t="s">
        <v>1408</v>
      </c>
      <c r="C1350" s="47">
        <v>1848</v>
      </c>
      <c r="D1350" s="48" t="s">
        <v>365</v>
      </c>
    </row>
    <row r="1351" spans="2:4" x14ac:dyDescent="0.15">
      <c r="B1351" s="46" t="s">
        <v>2929</v>
      </c>
      <c r="C1351" s="47">
        <v>1849</v>
      </c>
      <c r="D1351" s="48" t="s">
        <v>365</v>
      </c>
    </row>
    <row r="1352" spans="2:4" x14ac:dyDescent="0.15">
      <c r="B1352" s="46" t="s">
        <v>535</v>
      </c>
      <c r="C1352" s="47">
        <v>1850</v>
      </c>
      <c r="D1352" s="48" t="s">
        <v>365</v>
      </c>
    </row>
    <row r="1353" spans="2:4" x14ac:dyDescent="0.15">
      <c r="B1353" s="46" t="s">
        <v>2930</v>
      </c>
      <c r="C1353" s="47">
        <v>1851</v>
      </c>
      <c r="D1353" s="48" t="s">
        <v>365</v>
      </c>
    </row>
    <row r="1354" spans="2:4" x14ac:dyDescent="0.15">
      <c r="B1354" s="46" t="s">
        <v>2931</v>
      </c>
      <c r="C1354" s="47">
        <v>1852</v>
      </c>
      <c r="D1354" s="48" t="s">
        <v>365</v>
      </c>
    </row>
    <row r="1355" spans="2:4" x14ac:dyDescent="0.15">
      <c r="B1355" s="46" t="s">
        <v>2932</v>
      </c>
      <c r="C1355" s="47">
        <v>1853</v>
      </c>
      <c r="D1355" s="48" t="s">
        <v>365</v>
      </c>
    </row>
    <row r="1356" spans="2:4" x14ac:dyDescent="0.15">
      <c r="B1356" s="46" t="s">
        <v>2933</v>
      </c>
      <c r="C1356" s="47">
        <v>1854</v>
      </c>
      <c r="D1356" s="48" t="s">
        <v>365</v>
      </c>
    </row>
    <row r="1357" spans="2:4" x14ac:dyDescent="0.15">
      <c r="B1357" s="46" t="s">
        <v>2934</v>
      </c>
      <c r="C1357" s="47">
        <v>1855</v>
      </c>
      <c r="D1357" s="48" t="s">
        <v>365</v>
      </c>
    </row>
    <row r="1358" spans="2:4" x14ac:dyDescent="0.15">
      <c r="B1358" s="46" t="s">
        <v>2935</v>
      </c>
      <c r="C1358" s="47">
        <v>1856</v>
      </c>
      <c r="D1358" s="48" t="s">
        <v>365</v>
      </c>
    </row>
    <row r="1359" spans="2:4" x14ac:dyDescent="0.15">
      <c r="B1359" s="46" t="s">
        <v>755</v>
      </c>
      <c r="C1359" s="47">
        <v>1857</v>
      </c>
      <c r="D1359" s="48" t="s">
        <v>365</v>
      </c>
    </row>
    <row r="1360" spans="2:4" x14ac:dyDescent="0.15">
      <c r="B1360" s="46" t="s">
        <v>1928</v>
      </c>
      <c r="C1360" s="47">
        <v>1858</v>
      </c>
      <c r="D1360" s="48" t="s">
        <v>365</v>
      </c>
    </row>
    <row r="1361" spans="2:4" x14ac:dyDescent="0.15">
      <c r="B1361" s="46" t="s">
        <v>1310</v>
      </c>
      <c r="C1361" s="47">
        <v>1859</v>
      </c>
      <c r="D1361" s="48" t="s">
        <v>365</v>
      </c>
    </row>
    <row r="1362" spans="2:4" x14ac:dyDescent="0.15">
      <c r="B1362" s="46" t="s">
        <v>1312</v>
      </c>
      <c r="C1362" s="47">
        <v>1860</v>
      </c>
      <c r="D1362" s="48" t="s">
        <v>365</v>
      </c>
    </row>
    <row r="1363" spans="2:4" x14ac:dyDescent="0.15">
      <c r="B1363" s="46" t="s">
        <v>2936</v>
      </c>
      <c r="C1363" s="47">
        <v>1861</v>
      </c>
      <c r="D1363" s="48" t="s">
        <v>365</v>
      </c>
    </row>
    <row r="1364" spans="2:4" x14ac:dyDescent="0.15">
      <c r="B1364" s="46" t="s">
        <v>2937</v>
      </c>
      <c r="C1364" s="47">
        <v>1862</v>
      </c>
      <c r="D1364" s="48" t="s">
        <v>365</v>
      </c>
    </row>
    <row r="1365" spans="2:4" x14ac:dyDescent="0.15">
      <c r="B1365" s="46" t="s">
        <v>2938</v>
      </c>
      <c r="C1365" s="47">
        <v>1863</v>
      </c>
      <c r="D1365" s="48" t="s">
        <v>365</v>
      </c>
    </row>
    <row r="1366" spans="2:4" x14ac:dyDescent="0.15">
      <c r="B1366" s="46" t="s">
        <v>2939</v>
      </c>
      <c r="C1366" s="47">
        <v>1864</v>
      </c>
      <c r="D1366" s="48" t="s">
        <v>365</v>
      </c>
    </row>
    <row r="1367" spans="2:4" x14ac:dyDescent="0.15">
      <c r="B1367" s="46" t="s">
        <v>2940</v>
      </c>
      <c r="C1367" s="47">
        <v>1865</v>
      </c>
      <c r="D1367" s="48" t="s">
        <v>365</v>
      </c>
    </row>
    <row r="1368" spans="2:4" x14ac:dyDescent="0.15">
      <c r="B1368" s="46" t="s">
        <v>2941</v>
      </c>
      <c r="C1368" s="47">
        <v>1866</v>
      </c>
      <c r="D1368" s="48" t="s">
        <v>365</v>
      </c>
    </row>
    <row r="1369" spans="2:4" x14ac:dyDescent="0.15">
      <c r="B1369" s="46" t="s">
        <v>2942</v>
      </c>
      <c r="C1369" s="47">
        <v>1867</v>
      </c>
      <c r="D1369" s="48" t="s">
        <v>365</v>
      </c>
    </row>
    <row r="1370" spans="2:4" x14ac:dyDescent="0.15">
      <c r="B1370" s="46" t="s">
        <v>2943</v>
      </c>
      <c r="C1370" s="47">
        <v>1868</v>
      </c>
      <c r="D1370" s="48" t="s">
        <v>365</v>
      </c>
    </row>
    <row r="1371" spans="2:4" x14ac:dyDescent="0.15">
      <c r="B1371" s="46" t="s">
        <v>2944</v>
      </c>
      <c r="C1371" s="47">
        <v>1869</v>
      </c>
      <c r="D1371" s="48" t="s">
        <v>365</v>
      </c>
    </row>
    <row r="1372" spans="2:4" x14ac:dyDescent="0.15">
      <c r="B1372" s="46" t="s">
        <v>2945</v>
      </c>
      <c r="C1372" s="47">
        <v>1870</v>
      </c>
      <c r="D1372" s="48" t="s">
        <v>365</v>
      </c>
    </row>
    <row r="1373" spans="2:4" x14ac:dyDescent="0.15">
      <c r="B1373" s="46" t="s">
        <v>2946</v>
      </c>
      <c r="C1373" s="47">
        <v>1871</v>
      </c>
      <c r="D1373" s="48" t="s">
        <v>365</v>
      </c>
    </row>
    <row r="1374" spans="2:4" x14ac:dyDescent="0.15">
      <c r="B1374" s="46" t="s">
        <v>2947</v>
      </c>
      <c r="C1374" s="47">
        <v>1872</v>
      </c>
      <c r="D1374" s="48" t="s">
        <v>365</v>
      </c>
    </row>
    <row r="1375" spans="2:4" x14ac:dyDescent="0.15">
      <c r="B1375" s="46" t="s">
        <v>2948</v>
      </c>
      <c r="C1375" s="47">
        <v>1873</v>
      </c>
      <c r="D1375" s="48" t="s">
        <v>365</v>
      </c>
    </row>
    <row r="1376" spans="2:4" x14ac:dyDescent="0.15">
      <c r="B1376" s="46" t="s">
        <v>2949</v>
      </c>
      <c r="C1376" s="47">
        <v>1874</v>
      </c>
      <c r="D1376" s="48" t="s">
        <v>365</v>
      </c>
    </row>
    <row r="1377" spans="2:4" x14ac:dyDescent="0.15">
      <c r="B1377" s="46" t="s">
        <v>2950</v>
      </c>
      <c r="C1377" s="47">
        <v>1875</v>
      </c>
      <c r="D1377" s="48" t="s">
        <v>365</v>
      </c>
    </row>
    <row r="1378" spans="2:4" x14ac:dyDescent="0.15">
      <c r="B1378" s="46" t="s">
        <v>2951</v>
      </c>
      <c r="C1378" s="47">
        <v>1876</v>
      </c>
      <c r="D1378" s="48" t="s">
        <v>365</v>
      </c>
    </row>
    <row r="1379" spans="2:4" x14ac:dyDescent="0.15">
      <c r="B1379" s="46" t="s">
        <v>2952</v>
      </c>
      <c r="C1379" s="47">
        <v>1877</v>
      </c>
      <c r="D1379" s="48" t="s">
        <v>365</v>
      </c>
    </row>
    <row r="1380" spans="2:4" x14ac:dyDescent="0.15">
      <c r="B1380" s="46" t="s">
        <v>2953</v>
      </c>
      <c r="C1380" s="47">
        <v>1878</v>
      </c>
      <c r="D1380" s="48" t="s">
        <v>365</v>
      </c>
    </row>
    <row r="1381" spans="2:4" x14ac:dyDescent="0.15">
      <c r="B1381" s="46" t="s">
        <v>2954</v>
      </c>
      <c r="C1381" s="47">
        <v>1879</v>
      </c>
      <c r="D1381" s="48" t="s">
        <v>365</v>
      </c>
    </row>
    <row r="1382" spans="2:4" x14ac:dyDescent="0.15">
      <c r="B1382" s="46" t="s">
        <v>2955</v>
      </c>
      <c r="C1382" s="47">
        <v>1880</v>
      </c>
      <c r="D1382" s="48" t="s">
        <v>365</v>
      </c>
    </row>
    <row r="1383" spans="2:4" x14ac:dyDescent="0.15">
      <c r="B1383" s="46" t="s">
        <v>2956</v>
      </c>
      <c r="C1383" s="47">
        <v>1881</v>
      </c>
      <c r="D1383" s="48" t="s">
        <v>365</v>
      </c>
    </row>
    <row r="1384" spans="2:4" x14ac:dyDescent="0.15">
      <c r="B1384" s="46" t="s">
        <v>2957</v>
      </c>
      <c r="C1384" s="47">
        <v>1882</v>
      </c>
      <c r="D1384" s="48" t="s">
        <v>365</v>
      </c>
    </row>
    <row r="1385" spans="2:4" x14ac:dyDescent="0.15">
      <c r="B1385" s="46" t="s">
        <v>2958</v>
      </c>
      <c r="C1385" s="47">
        <v>1883</v>
      </c>
      <c r="D1385" s="48" t="s">
        <v>365</v>
      </c>
    </row>
    <row r="1386" spans="2:4" x14ac:dyDescent="0.15">
      <c r="B1386" s="46" t="s">
        <v>2959</v>
      </c>
      <c r="C1386" s="47">
        <v>1884</v>
      </c>
      <c r="D1386" s="48" t="s">
        <v>365</v>
      </c>
    </row>
    <row r="1387" spans="2:4" x14ac:dyDescent="0.15">
      <c r="B1387" s="46" t="s">
        <v>2960</v>
      </c>
      <c r="C1387" s="47">
        <v>1885</v>
      </c>
      <c r="D1387" s="48" t="s">
        <v>365</v>
      </c>
    </row>
    <row r="1388" spans="2:4" x14ac:dyDescent="0.15">
      <c r="B1388" s="46" t="s">
        <v>2961</v>
      </c>
      <c r="C1388" s="47">
        <v>1886</v>
      </c>
      <c r="D1388" s="48" t="s">
        <v>365</v>
      </c>
    </row>
    <row r="1389" spans="2:4" x14ac:dyDescent="0.15">
      <c r="B1389" s="46" t="s">
        <v>1377</v>
      </c>
      <c r="C1389" s="47">
        <v>1887</v>
      </c>
      <c r="D1389" s="48" t="s">
        <v>365</v>
      </c>
    </row>
    <row r="1390" spans="2:4" x14ac:dyDescent="0.15">
      <c r="B1390" s="46" t="s">
        <v>2962</v>
      </c>
      <c r="C1390" s="47">
        <v>1888</v>
      </c>
      <c r="D1390" s="48" t="s">
        <v>365</v>
      </c>
    </row>
    <row r="1391" spans="2:4" x14ac:dyDescent="0.15">
      <c r="B1391" s="46" t="s">
        <v>2963</v>
      </c>
      <c r="C1391" s="47">
        <v>1889</v>
      </c>
      <c r="D1391" s="48" t="s">
        <v>365</v>
      </c>
    </row>
    <row r="1392" spans="2:4" x14ac:dyDescent="0.15">
      <c r="B1392" s="46" t="s">
        <v>2964</v>
      </c>
      <c r="C1392" s="47">
        <v>1890</v>
      </c>
      <c r="D1392" s="48" t="s">
        <v>365</v>
      </c>
    </row>
    <row r="1393" spans="2:4" x14ac:dyDescent="0.15">
      <c r="B1393" s="46" t="s">
        <v>2965</v>
      </c>
      <c r="C1393" s="47">
        <v>1891</v>
      </c>
      <c r="D1393" s="48" t="s">
        <v>365</v>
      </c>
    </row>
    <row r="1394" spans="2:4" x14ac:dyDescent="0.15">
      <c r="B1394" s="46" t="s">
        <v>2966</v>
      </c>
      <c r="C1394" s="47">
        <v>1892</v>
      </c>
      <c r="D1394" s="48" t="s">
        <v>365</v>
      </c>
    </row>
    <row r="1395" spans="2:4" x14ac:dyDescent="0.15">
      <c r="B1395" s="46" t="s">
        <v>2967</v>
      </c>
      <c r="C1395" s="47">
        <v>1893</v>
      </c>
      <c r="D1395" s="48" t="s">
        <v>365</v>
      </c>
    </row>
    <row r="1396" spans="2:4" x14ac:dyDescent="0.15">
      <c r="B1396" s="46" t="s">
        <v>1579</v>
      </c>
      <c r="C1396" s="47">
        <v>1894</v>
      </c>
      <c r="D1396" s="48" t="s">
        <v>365</v>
      </c>
    </row>
    <row r="1397" spans="2:4" x14ac:dyDescent="0.15">
      <c r="B1397" s="46" t="s">
        <v>2968</v>
      </c>
      <c r="C1397" s="47">
        <v>1895</v>
      </c>
      <c r="D1397" s="48" t="s">
        <v>365</v>
      </c>
    </row>
    <row r="1398" spans="2:4" x14ac:dyDescent="0.15">
      <c r="B1398" s="46" t="s">
        <v>2969</v>
      </c>
      <c r="C1398" s="47">
        <v>1896</v>
      </c>
      <c r="D1398" s="48" t="s">
        <v>365</v>
      </c>
    </row>
    <row r="1399" spans="2:4" x14ac:dyDescent="0.15">
      <c r="B1399" s="46" t="s">
        <v>2970</v>
      </c>
      <c r="C1399" s="47">
        <v>1897</v>
      </c>
      <c r="D1399" s="48" t="s">
        <v>365</v>
      </c>
    </row>
    <row r="1400" spans="2:4" x14ac:dyDescent="0.15">
      <c r="B1400" s="46" t="s">
        <v>990</v>
      </c>
      <c r="C1400" s="47">
        <v>1898</v>
      </c>
      <c r="D1400" s="48" t="s">
        <v>365</v>
      </c>
    </row>
    <row r="1401" spans="2:4" x14ac:dyDescent="0.15">
      <c r="B1401" s="46" t="s">
        <v>2971</v>
      </c>
      <c r="C1401" s="47">
        <v>1899</v>
      </c>
      <c r="D1401" s="48" t="s">
        <v>365</v>
      </c>
    </row>
    <row r="1402" spans="2:4" x14ac:dyDescent="0.15">
      <c r="B1402" s="46" t="s">
        <v>2972</v>
      </c>
      <c r="C1402" s="47">
        <v>1900</v>
      </c>
      <c r="D1402" s="48" t="s">
        <v>365</v>
      </c>
    </row>
    <row r="1403" spans="2:4" x14ac:dyDescent="0.15">
      <c r="B1403" s="46" t="s">
        <v>2973</v>
      </c>
      <c r="C1403" s="47">
        <v>1901</v>
      </c>
      <c r="D1403" s="48" t="s">
        <v>365</v>
      </c>
    </row>
    <row r="1404" spans="2:4" x14ac:dyDescent="0.15">
      <c r="B1404" s="46" t="s">
        <v>2974</v>
      </c>
      <c r="C1404" s="47">
        <v>1902</v>
      </c>
      <c r="D1404" s="48" t="s">
        <v>365</v>
      </c>
    </row>
    <row r="1405" spans="2:4" x14ac:dyDescent="0.15">
      <c r="B1405" s="46" t="s">
        <v>2975</v>
      </c>
      <c r="C1405" s="47">
        <v>1903</v>
      </c>
      <c r="D1405" s="48" t="s">
        <v>365</v>
      </c>
    </row>
    <row r="1406" spans="2:4" x14ac:dyDescent="0.15">
      <c r="B1406" s="46" t="s">
        <v>1803</v>
      </c>
      <c r="C1406" s="47">
        <v>1904</v>
      </c>
      <c r="D1406" s="48" t="s">
        <v>365</v>
      </c>
    </row>
    <row r="1407" spans="2:4" x14ac:dyDescent="0.15">
      <c r="B1407" s="46" t="s">
        <v>2976</v>
      </c>
      <c r="C1407" s="47">
        <v>1905</v>
      </c>
      <c r="D1407" s="48" t="s">
        <v>365</v>
      </c>
    </row>
    <row r="1408" spans="2:4" x14ac:dyDescent="0.15">
      <c r="B1408" s="46" t="s">
        <v>2977</v>
      </c>
      <c r="C1408" s="47">
        <v>1906</v>
      </c>
      <c r="D1408" s="48" t="s">
        <v>365</v>
      </c>
    </row>
    <row r="1409" spans="2:4" x14ac:dyDescent="0.15">
      <c r="B1409" s="46" t="s">
        <v>808</v>
      </c>
      <c r="C1409" s="47">
        <v>1907</v>
      </c>
      <c r="D1409" s="48" t="s">
        <v>365</v>
      </c>
    </row>
    <row r="1410" spans="2:4" x14ac:dyDescent="0.15">
      <c r="B1410" s="46" t="s">
        <v>2978</v>
      </c>
      <c r="C1410" s="47">
        <v>1908</v>
      </c>
      <c r="D1410" s="48" t="s">
        <v>365</v>
      </c>
    </row>
    <row r="1411" spans="2:4" x14ac:dyDescent="0.15">
      <c r="B1411" s="46" t="s">
        <v>520</v>
      </c>
      <c r="C1411" s="47">
        <v>1909</v>
      </c>
      <c r="D1411" s="48" t="s">
        <v>365</v>
      </c>
    </row>
    <row r="1412" spans="2:4" x14ac:dyDescent="0.15">
      <c r="B1412" s="46" t="s">
        <v>2979</v>
      </c>
      <c r="C1412" s="47">
        <v>1910</v>
      </c>
      <c r="D1412" s="48" t="s">
        <v>365</v>
      </c>
    </row>
    <row r="1413" spans="2:4" x14ac:dyDescent="0.15">
      <c r="B1413" s="46" t="s">
        <v>2980</v>
      </c>
      <c r="C1413" s="47">
        <v>1911</v>
      </c>
      <c r="D1413" s="48" t="s">
        <v>365</v>
      </c>
    </row>
    <row r="1414" spans="2:4" x14ac:dyDescent="0.15">
      <c r="B1414" s="46" t="s">
        <v>2981</v>
      </c>
      <c r="C1414" s="47">
        <v>1912</v>
      </c>
      <c r="D1414" s="48" t="s">
        <v>365</v>
      </c>
    </row>
    <row r="1415" spans="2:4" x14ac:dyDescent="0.15">
      <c r="B1415" s="46" t="s">
        <v>2982</v>
      </c>
      <c r="C1415" s="47">
        <v>1913</v>
      </c>
      <c r="D1415" s="48" t="s">
        <v>365</v>
      </c>
    </row>
    <row r="1416" spans="2:4" x14ac:dyDescent="0.15">
      <c r="B1416" s="46" t="s">
        <v>2983</v>
      </c>
      <c r="C1416" s="47">
        <v>1914</v>
      </c>
      <c r="D1416" s="48" t="s">
        <v>365</v>
      </c>
    </row>
    <row r="1417" spans="2:4" x14ac:dyDescent="0.15">
      <c r="B1417" s="46" t="s">
        <v>2984</v>
      </c>
      <c r="C1417" s="47">
        <v>1915</v>
      </c>
      <c r="D1417" s="48" t="s">
        <v>365</v>
      </c>
    </row>
    <row r="1418" spans="2:4" x14ac:dyDescent="0.15">
      <c r="B1418" s="46" t="s">
        <v>2985</v>
      </c>
      <c r="C1418" s="47">
        <v>1916</v>
      </c>
      <c r="D1418" s="48" t="s">
        <v>365</v>
      </c>
    </row>
    <row r="1419" spans="2:4" x14ac:dyDescent="0.15">
      <c r="B1419" s="46" t="s">
        <v>2986</v>
      </c>
      <c r="C1419" s="47">
        <v>1917</v>
      </c>
      <c r="D1419" s="48" t="s">
        <v>365</v>
      </c>
    </row>
    <row r="1420" spans="2:4" x14ac:dyDescent="0.15">
      <c r="B1420" s="46" t="s">
        <v>2987</v>
      </c>
      <c r="C1420" s="47">
        <v>1918</v>
      </c>
      <c r="D1420" s="48" t="s">
        <v>365</v>
      </c>
    </row>
    <row r="1421" spans="2:4" x14ac:dyDescent="0.15">
      <c r="B1421" s="46" t="s">
        <v>2988</v>
      </c>
      <c r="C1421" s="47">
        <v>1919</v>
      </c>
      <c r="D1421" s="48" t="s">
        <v>365</v>
      </c>
    </row>
    <row r="1422" spans="2:4" x14ac:dyDescent="0.15">
      <c r="B1422" s="46" t="s">
        <v>2989</v>
      </c>
      <c r="C1422" s="47">
        <v>1920</v>
      </c>
      <c r="D1422" s="48" t="s">
        <v>365</v>
      </c>
    </row>
    <row r="1423" spans="2:4" x14ac:dyDescent="0.15">
      <c r="B1423" s="46" t="s">
        <v>2990</v>
      </c>
      <c r="C1423" s="47">
        <v>1921</v>
      </c>
      <c r="D1423" s="48" t="s">
        <v>365</v>
      </c>
    </row>
    <row r="1424" spans="2:4" x14ac:dyDescent="0.15">
      <c r="B1424" s="46" t="s">
        <v>2991</v>
      </c>
      <c r="C1424" s="47">
        <v>1922</v>
      </c>
      <c r="D1424" s="48" t="s">
        <v>365</v>
      </c>
    </row>
    <row r="1425" spans="2:4" x14ac:dyDescent="0.15">
      <c r="B1425" s="46" t="s">
        <v>2992</v>
      </c>
      <c r="C1425" s="47">
        <v>1923</v>
      </c>
      <c r="D1425" s="48" t="s">
        <v>365</v>
      </c>
    </row>
    <row r="1426" spans="2:4" x14ac:dyDescent="0.15">
      <c r="B1426" s="46" t="s">
        <v>2993</v>
      </c>
      <c r="C1426" s="47">
        <v>1924</v>
      </c>
      <c r="D1426" s="48" t="s">
        <v>365</v>
      </c>
    </row>
    <row r="1427" spans="2:4" x14ac:dyDescent="0.15">
      <c r="B1427" s="46" t="s">
        <v>2994</v>
      </c>
      <c r="C1427" s="47">
        <v>1925</v>
      </c>
      <c r="D1427" s="48" t="s">
        <v>365</v>
      </c>
    </row>
    <row r="1428" spans="2:4" x14ac:dyDescent="0.15">
      <c r="B1428" s="46" t="s">
        <v>2995</v>
      </c>
      <c r="C1428" s="47">
        <v>1926</v>
      </c>
      <c r="D1428" s="48" t="s">
        <v>365</v>
      </c>
    </row>
    <row r="1429" spans="2:4" x14ac:dyDescent="0.15">
      <c r="B1429" s="46" t="s">
        <v>2996</v>
      </c>
      <c r="C1429" s="47">
        <v>1927</v>
      </c>
      <c r="D1429" s="48" t="s">
        <v>365</v>
      </c>
    </row>
    <row r="1430" spans="2:4" x14ac:dyDescent="0.15">
      <c r="B1430" s="46" t="s">
        <v>2997</v>
      </c>
      <c r="C1430" s="47">
        <v>1928</v>
      </c>
      <c r="D1430" s="48" t="s">
        <v>365</v>
      </c>
    </row>
    <row r="1431" spans="2:4" x14ac:dyDescent="0.15">
      <c r="B1431" s="46" t="s">
        <v>2998</v>
      </c>
      <c r="C1431" s="47">
        <v>1929</v>
      </c>
      <c r="D1431" s="48" t="s">
        <v>365</v>
      </c>
    </row>
    <row r="1432" spans="2:4" x14ac:dyDescent="0.15">
      <c r="B1432" s="46" t="s">
        <v>2999</v>
      </c>
      <c r="C1432" s="47">
        <v>1930</v>
      </c>
      <c r="D1432" s="48" t="s">
        <v>365</v>
      </c>
    </row>
    <row r="1433" spans="2:4" x14ac:dyDescent="0.15">
      <c r="B1433" s="46" t="s">
        <v>3000</v>
      </c>
      <c r="C1433" s="47">
        <v>1931</v>
      </c>
      <c r="D1433" s="48" t="s">
        <v>365</v>
      </c>
    </row>
    <row r="1434" spans="2:4" x14ac:dyDescent="0.15">
      <c r="B1434" s="46" t="s">
        <v>3001</v>
      </c>
      <c r="C1434" s="47">
        <v>1932</v>
      </c>
      <c r="D1434" s="48" t="s">
        <v>365</v>
      </c>
    </row>
    <row r="1435" spans="2:4" x14ac:dyDescent="0.15">
      <c r="B1435" s="46" t="s">
        <v>3002</v>
      </c>
      <c r="C1435" s="47">
        <v>1933</v>
      </c>
      <c r="D1435" s="48" t="s">
        <v>365</v>
      </c>
    </row>
    <row r="1436" spans="2:4" x14ac:dyDescent="0.15">
      <c r="B1436" s="46" t="s">
        <v>3003</v>
      </c>
      <c r="C1436" s="47">
        <v>1934</v>
      </c>
      <c r="D1436" s="48" t="s">
        <v>365</v>
      </c>
    </row>
    <row r="1437" spans="2:4" x14ac:dyDescent="0.15">
      <c r="B1437" s="46" t="s">
        <v>906</v>
      </c>
      <c r="C1437" s="47">
        <v>1935</v>
      </c>
      <c r="D1437" s="48" t="s">
        <v>365</v>
      </c>
    </row>
    <row r="1438" spans="2:4" x14ac:dyDescent="0.15">
      <c r="B1438" s="46" t="s">
        <v>908</v>
      </c>
      <c r="C1438" s="47">
        <v>1936</v>
      </c>
      <c r="D1438" s="48" t="s">
        <v>365</v>
      </c>
    </row>
    <row r="1439" spans="2:4" x14ac:dyDescent="0.15">
      <c r="B1439" s="46" t="s">
        <v>1621</v>
      </c>
      <c r="C1439" s="47">
        <v>1937</v>
      </c>
      <c r="D1439" s="48" t="s">
        <v>365</v>
      </c>
    </row>
    <row r="1440" spans="2:4" x14ac:dyDescent="0.15">
      <c r="B1440" s="46" t="s">
        <v>3004</v>
      </c>
      <c r="C1440" s="47">
        <v>1938</v>
      </c>
      <c r="D1440" s="48" t="s">
        <v>365</v>
      </c>
    </row>
    <row r="1441" spans="2:4" x14ac:dyDescent="0.15">
      <c r="B1441" s="46" t="s">
        <v>1437</v>
      </c>
      <c r="C1441" s="47">
        <v>1939</v>
      </c>
      <c r="D1441" s="48" t="s">
        <v>365</v>
      </c>
    </row>
    <row r="1442" spans="2:4" x14ac:dyDescent="0.15">
      <c r="B1442" s="46" t="s">
        <v>3005</v>
      </c>
      <c r="C1442" s="47">
        <v>1940</v>
      </c>
      <c r="D1442" s="48" t="s">
        <v>365</v>
      </c>
    </row>
    <row r="1443" spans="2:4" x14ac:dyDescent="0.15">
      <c r="B1443" s="46" t="s">
        <v>1410</v>
      </c>
      <c r="C1443" s="47">
        <v>1941</v>
      </c>
      <c r="D1443" s="48" t="s">
        <v>365</v>
      </c>
    </row>
    <row r="1444" spans="2:4" x14ac:dyDescent="0.15">
      <c r="B1444" s="46" t="s">
        <v>3006</v>
      </c>
      <c r="C1444" s="47">
        <v>1942</v>
      </c>
      <c r="D1444" s="48" t="s">
        <v>365</v>
      </c>
    </row>
    <row r="1445" spans="2:4" x14ac:dyDescent="0.15">
      <c r="B1445" s="46" t="s">
        <v>3007</v>
      </c>
      <c r="C1445" s="47">
        <v>1943</v>
      </c>
      <c r="D1445" s="48" t="s">
        <v>365</v>
      </c>
    </row>
    <row r="1446" spans="2:4" x14ac:dyDescent="0.15">
      <c r="B1446" s="46" t="s">
        <v>3008</v>
      </c>
      <c r="C1446" s="47">
        <v>1944</v>
      </c>
      <c r="D1446" s="48" t="s">
        <v>365</v>
      </c>
    </row>
    <row r="1447" spans="2:4" x14ac:dyDescent="0.15">
      <c r="B1447" s="46" t="s">
        <v>3009</v>
      </c>
      <c r="C1447" s="47">
        <v>1945</v>
      </c>
      <c r="D1447" s="48" t="s">
        <v>365</v>
      </c>
    </row>
    <row r="1448" spans="2:4" x14ac:dyDescent="0.15">
      <c r="B1448" s="46" t="s">
        <v>3010</v>
      </c>
      <c r="C1448" s="47">
        <v>1946</v>
      </c>
      <c r="D1448" s="48" t="s">
        <v>365</v>
      </c>
    </row>
    <row r="1449" spans="2:4" x14ac:dyDescent="0.15">
      <c r="B1449" s="46" t="s">
        <v>3011</v>
      </c>
      <c r="C1449" s="47">
        <v>1947</v>
      </c>
      <c r="D1449" s="48" t="s">
        <v>365</v>
      </c>
    </row>
    <row r="1450" spans="2:4" x14ac:dyDescent="0.15">
      <c r="B1450" s="46" t="s">
        <v>3012</v>
      </c>
      <c r="C1450" s="47">
        <v>1948</v>
      </c>
      <c r="D1450" s="48" t="s">
        <v>365</v>
      </c>
    </row>
    <row r="1451" spans="2:4" x14ac:dyDescent="0.15">
      <c r="B1451" s="46" t="s">
        <v>3013</v>
      </c>
      <c r="C1451" s="47">
        <v>1949</v>
      </c>
      <c r="D1451" s="48" t="s">
        <v>365</v>
      </c>
    </row>
    <row r="1452" spans="2:4" x14ac:dyDescent="0.15">
      <c r="B1452" s="46" t="s">
        <v>1577</v>
      </c>
      <c r="C1452" s="47">
        <v>1950</v>
      </c>
      <c r="D1452" s="48" t="s">
        <v>365</v>
      </c>
    </row>
    <row r="1453" spans="2:4" x14ac:dyDescent="0.15">
      <c r="B1453" s="46" t="s">
        <v>1611</v>
      </c>
      <c r="C1453" s="47">
        <v>1951</v>
      </c>
      <c r="D1453" s="48" t="s">
        <v>365</v>
      </c>
    </row>
    <row r="1454" spans="2:4" x14ac:dyDescent="0.15">
      <c r="B1454" s="46" t="s">
        <v>3014</v>
      </c>
      <c r="C1454" s="47">
        <v>1952</v>
      </c>
      <c r="D1454" s="48" t="s">
        <v>365</v>
      </c>
    </row>
    <row r="1455" spans="2:4" x14ac:dyDescent="0.15">
      <c r="B1455" s="46" t="s">
        <v>3015</v>
      </c>
      <c r="C1455" s="47">
        <v>1953</v>
      </c>
      <c r="D1455" s="48" t="s">
        <v>365</v>
      </c>
    </row>
    <row r="1456" spans="2:4" x14ac:dyDescent="0.15">
      <c r="B1456" s="46" t="s">
        <v>3016</v>
      </c>
      <c r="C1456" s="47">
        <v>1954</v>
      </c>
      <c r="D1456" s="48" t="s">
        <v>365</v>
      </c>
    </row>
    <row r="1457" spans="2:4" x14ac:dyDescent="0.15">
      <c r="B1457" s="46" t="s">
        <v>3017</v>
      </c>
      <c r="C1457" s="47">
        <v>1955</v>
      </c>
      <c r="D1457" s="48" t="s">
        <v>365</v>
      </c>
    </row>
    <row r="1458" spans="2:4" x14ac:dyDescent="0.15">
      <c r="B1458" s="46" t="s">
        <v>3018</v>
      </c>
      <c r="C1458" s="47">
        <v>1956</v>
      </c>
      <c r="D1458" s="48" t="s">
        <v>365</v>
      </c>
    </row>
    <row r="1459" spans="2:4" x14ac:dyDescent="0.15">
      <c r="B1459" s="46" t="s">
        <v>3019</v>
      </c>
      <c r="C1459" s="47">
        <v>1957</v>
      </c>
      <c r="D1459" s="48" t="s">
        <v>365</v>
      </c>
    </row>
    <row r="1460" spans="2:4" x14ac:dyDescent="0.15">
      <c r="B1460" s="46" t="s">
        <v>3020</v>
      </c>
      <c r="C1460" s="47">
        <v>1958</v>
      </c>
      <c r="D1460" s="48" t="s">
        <v>365</v>
      </c>
    </row>
    <row r="1461" spans="2:4" x14ac:dyDescent="0.15">
      <c r="B1461" s="46" t="s">
        <v>3021</v>
      </c>
      <c r="C1461" s="47">
        <v>1959</v>
      </c>
      <c r="D1461" s="48" t="s">
        <v>365</v>
      </c>
    </row>
    <row r="1462" spans="2:4" x14ac:dyDescent="0.15">
      <c r="B1462" s="46" t="s">
        <v>3022</v>
      </c>
      <c r="C1462" s="47">
        <v>1960</v>
      </c>
      <c r="D1462" s="48" t="s">
        <v>365</v>
      </c>
    </row>
    <row r="1463" spans="2:4" x14ac:dyDescent="0.15">
      <c r="B1463" s="46" t="s">
        <v>3023</v>
      </c>
      <c r="C1463" s="47">
        <v>1961</v>
      </c>
      <c r="D1463" s="48" t="s">
        <v>365</v>
      </c>
    </row>
    <row r="1464" spans="2:4" x14ac:dyDescent="0.15">
      <c r="B1464" s="46" t="s">
        <v>3024</v>
      </c>
      <c r="C1464" s="47">
        <v>1962</v>
      </c>
      <c r="D1464" s="48" t="s">
        <v>365</v>
      </c>
    </row>
    <row r="1465" spans="2:4" x14ac:dyDescent="0.15">
      <c r="B1465" s="46" t="s">
        <v>3025</v>
      </c>
      <c r="C1465" s="47">
        <v>1963</v>
      </c>
      <c r="D1465" s="48" t="s">
        <v>365</v>
      </c>
    </row>
    <row r="1466" spans="2:4" x14ac:dyDescent="0.15">
      <c r="B1466" s="46" t="s">
        <v>3026</v>
      </c>
      <c r="C1466" s="47">
        <v>1964</v>
      </c>
      <c r="D1466" s="48" t="s">
        <v>365</v>
      </c>
    </row>
    <row r="1467" spans="2:4" x14ac:dyDescent="0.15">
      <c r="B1467" s="46" t="s">
        <v>3027</v>
      </c>
      <c r="C1467" s="47">
        <v>1965</v>
      </c>
      <c r="D1467" s="48" t="s">
        <v>365</v>
      </c>
    </row>
    <row r="1468" spans="2:4" x14ac:dyDescent="0.15">
      <c r="B1468" s="46" t="s">
        <v>3028</v>
      </c>
      <c r="C1468" s="47">
        <v>1966</v>
      </c>
      <c r="D1468" s="48" t="s">
        <v>365</v>
      </c>
    </row>
    <row r="1469" spans="2:4" x14ac:dyDescent="0.15">
      <c r="B1469" s="46" t="s">
        <v>3029</v>
      </c>
      <c r="C1469" s="47">
        <v>1967</v>
      </c>
      <c r="D1469" s="48" t="s">
        <v>365</v>
      </c>
    </row>
    <row r="1470" spans="2:4" x14ac:dyDescent="0.15">
      <c r="B1470" s="46" t="s">
        <v>3030</v>
      </c>
      <c r="C1470" s="47">
        <v>1968</v>
      </c>
      <c r="D1470" s="48" t="s">
        <v>365</v>
      </c>
    </row>
    <row r="1471" spans="2:4" x14ac:dyDescent="0.15">
      <c r="B1471" s="46" t="s">
        <v>3031</v>
      </c>
      <c r="C1471" s="47">
        <v>1969</v>
      </c>
      <c r="D1471" s="48" t="s">
        <v>365</v>
      </c>
    </row>
    <row r="1472" spans="2:4" x14ac:dyDescent="0.15">
      <c r="B1472" s="46" t="s">
        <v>3032</v>
      </c>
      <c r="C1472" s="47">
        <v>1970</v>
      </c>
      <c r="D1472" s="48" t="s">
        <v>365</v>
      </c>
    </row>
    <row r="1473" spans="2:4" x14ac:dyDescent="0.15">
      <c r="B1473" s="46" t="s">
        <v>3033</v>
      </c>
      <c r="C1473" s="47">
        <v>1971</v>
      </c>
      <c r="D1473" s="48" t="s">
        <v>365</v>
      </c>
    </row>
    <row r="1474" spans="2:4" x14ac:dyDescent="0.15">
      <c r="B1474" s="46" t="s">
        <v>3034</v>
      </c>
      <c r="C1474" s="47">
        <v>1972</v>
      </c>
      <c r="D1474" s="48" t="s">
        <v>365</v>
      </c>
    </row>
    <row r="1475" spans="2:4" x14ac:dyDescent="0.15">
      <c r="B1475" s="46" t="s">
        <v>3035</v>
      </c>
      <c r="C1475" s="47">
        <v>1973</v>
      </c>
      <c r="D1475" s="48" t="s">
        <v>365</v>
      </c>
    </row>
    <row r="1476" spans="2:4" x14ac:dyDescent="0.15">
      <c r="B1476" s="46" t="s">
        <v>3036</v>
      </c>
      <c r="C1476" s="47">
        <v>1974</v>
      </c>
      <c r="D1476" s="48" t="s">
        <v>365</v>
      </c>
    </row>
    <row r="1477" spans="2:4" x14ac:dyDescent="0.15">
      <c r="B1477" s="46" t="s">
        <v>3037</v>
      </c>
      <c r="C1477" s="47">
        <v>1975</v>
      </c>
      <c r="D1477" s="48" t="s">
        <v>365</v>
      </c>
    </row>
    <row r="1478" spans="2:4" x14ac:dyDescent="0.15">
      <c r="B1478" s="46" t="s">
        <v>3038</v>
      </c>
      <c r="C1478" s="47">
        <v>1976</v>
      </c>
      <c r="D1478" s="48" t="s">
        <v>365</v>
      </c>
    </row>
    <row r="1479" spans="2:4" x14ac:dyDescent="0.15">
      <c r="B1479" s="46" t="s">
        <v>3039</v>
      </c>
      <c r="C1479" s="47">
        <v>1977</v>
      </c>
      <c r="D1479" s="48" t="s">
        <v>365</v>
      </c>
    </row>
    <row r="1480" spans="2:4" x14ac:dyDescent="0.15">
      <c r="B1480" s="46" t="s">
        <v>3040</v>
      </c>
      <c r="C1480" s="47">
        <v>1978</v>
      </c>
      <c r="D1480" s="48" t="s">
        <v>365</v>
      </c>
    </row>
    <row r="1481" spans="2:4" x14ac:dyDescent="0.15">
      <c r="B1481" s="46" t="s">
        <v>3041</v>
      </c>
      <c r="C1481" s="47">
        <v>1979</v>
      </c>
      <c r="D1481" s="48" t="s">
        <v>365</v>
      </c>
    </row>
    <row r="1482" spans="2:4" x14ac:dyDescent="0.15">
      <c r="B1482" s="46" t="s">
        <v>678</v>
      </c>
      <c r="C1482" s="47">
        <v>1980</v>
      </c>
      <c r="D1482" s="48" t="s">
        <v>365</v>
      </c>
    </row>
    <row r="1483" spans="2:4" x14ac:dyDescent="0.15">
      <c r="B1483" s="46" t="s">
        <v>657</v>
      </c>
      <c r="C1483" s="47">
        <v>1981</v>
      </c>
      <c r="D1483" s="48" t="s">
        <v>365</v>
      </c>
    </row>
    <row r="1484" spans="2:4" x14ac:dyDescent="0.15">
      <c r="B1484" s="46" t="s">
        <v>3042</v>
      </c>
      <c r="C1484" s="47">
        <v>1982</v>
      </c>
      <c r="D1484" s="48" t="s">
        <v>365</v>
      </c>
    </row>
    <row r="1485" spans="2:4" x14ac:dyDescent="0.15">
      <c r="B1485" s="46" t="s">
        <v>3043</v>
      </c>
      <c r="C1485" s="47">
        <v>1983</v>
      </c>
      <c r="D1485" s="48" t="s">
        <v>365</v>
      </c>
    </row>
    <row r="1486" spans="2:4" x14ac:dyDescent="0.15">
      <c r="B1486" s="46" t="s">
        <v>1880</v>
      </c>
      <c r="C1486" s="47">
        <v>1984</v>
      </c>
      <c r="D1486" s="48" t="s">
        <v>365</v>
      </c>
    </row>
    <row r="1487" spans="2:4" x14ac:dyDescent="0.15">
      <c r="B1487" s="46" t="s">
        <v>3044</v>
      </c>
      <c r="C1487" s="47">
        <v>1985</v>
      </c>
      <c r="D1487" s="48" t="s">
        <v>365</v>
      </c>
    </row>
    <row r="1488" spans="2:4" x14ac:dyDescent="0.15">
      <c r="B1488" s="46" t="s">
        <v>3045</v>
      </c>
      <c r="C1488" s="47">
        <v>1986</v>
      </c>
      <c r="D1488" s="48" t="s">
        <v>365</v>
      </c>
    </row>
    <row r="1489" spans="2:4" x14ac:dyDescent="0.15">
      <c r="B1489" s="46" t="s">
        <v>3046</v>
      </c>
      <c r="C1489" s="47">
        <v>1987</v>
      </c>
      <c r="D1489" s="48" t="s">
        <v>365</v>
      </c>
    </row>
    <row r="1490" spans="2:4" x14ac:dyDescent="0.15">
      <c r="B1490" s="46" t="s">
        <v>3047</v>
      </c>
      <c r="C1490" s="47">
        <v>1988</v>
      </c>
      <c r="D1490" s="48" t="s">
        <v>365</v>
      </c>
    </row>
    <row r="1491" spans="2:4" x14ac:dyDescent="0.15">
      <c r="B1491" s="46" t="s">
        <v>3048</v>
      </c>
      <c r="C1491" s="47">
        <v>1989</v>
      </c>
      <c r="D1491" s="48" t="s">
        <v>365</v>
      </c>
    </row>
    <row r="1492" spans="2:4" x14ac:dyDescent="0.15">
      <c r="B1492" s="46" t="s">
        <v>3049</v>
      </c>
      <c r="C1492" s="47">
        <v>1990</v>
      </c>
      <c r="D1492" s="48" t="s">
        <v>365</v>
      </c>
    </row>
    <row r="1493" spans="2:4" x14ac:dyDescent="0.15">
      <c r="B1493" s="46" t="s">
        <v>589</v>
      </c>
      <c r="C1493" s="47">
        <v>1991</v>
      </c>
      <c r="D1493" s="48" t="s">
        <v>365</v>
      </c>
    </row>
    <row r="1494" spans="2:4" x14ac:dyDescent="0.15">
      <c r="B1494" s="46" t="s">
        <v>3050</v>
      </c>
      <c r="C1494" s="47">
        <v>1992</v>
      </c>
      <c r="D1494" s="48" t="s">
        <v>365</v>
      </c>
    </row>
    <row r="1495" spans="2:4" x14ac:dyDescent="0.15">
      <c r="B1495" s="46" t="s">
        <v>3051</v>
      </c>
      <c r="C1495" s="47">
        <v>1993</v>
      </c>
      <c r="D1495" s="48" t="s">
        <v>365</v>
      </c>
    </row>
    <row r="1496" spans="2:4" x14ac:dyDescent="0.15">
      <c r="B1496" s="46" t="s">
        <v>3052</v>
      </c>
      <c r="C1496" s="47">
        <v>1994</v>
      </c>
      <c r="D1496" s="48" t="s">
        <v>365</v>
      </c>
    </row>
    <row r="1497" spans="2:4" x14ac:dyDescent="0.15">
      <c r="B1497" s="46" t="s">
        <v>3053</v>
      </c>
      <c r="C1497" s="47">
        <v>1995</v>
      </c>
      <c r="D1497" s="48" t="s">
        <v>365</v>
      </c>
    </row>
    <row r="1498" spans="2:4" x14ac:dyDescent="0.15">
      <c r="B1498" s="46" t="s">
        <v>3054</v>
      </c>
      <c r="C1498" s="47">
        <v>1996</v>
      </c>
      <c r="D1498" s="48" t="s">
        <v>365</v>
      </c>
    </row>
    <row r="1499" spans="2:4" x14ac:dyDescent="0.15">
      <c r="B1499" s="46" t="s">
        <v>3055</v>
      </c>
      <c r="C1499" s="47">
        <v>1997</v>
      </c>
      <c r="D1499" s="48" t="s">
        <v>365</v>
      </c>
    </row>
    <row r="1500" spans="2:4" x14ac:dyDescent="0.15">
      <c r="B1500" s="46" t="s">
        <v>3056</v>
      </c>
      <c r="C1500" s="47">
        <v>1998</v>
      </c>
      <c r="D1500" s="48" t="s">
        <v>365</v>
      </c>
    </row>
    <row r="1501" spans="2:4" x14ac:dyDescent="0.15">
      <c r="B1501" s="46" t="s">
        <v>390</v>
      </c>
      <c r="C1501" s="47">
        <v>1999</v>
      </c>
      <c r="D1501" s="48" t="s">
        <v>365</v>
      </c>
    </row>
    <row r="1502" spans="2:4" x14ac:dyDescent="0.15">
      <c r="B1502" s="46" t="s">
        <v>3057</v>
      </c>
      <c r="C1502" s="47">
        <v>2000</v>
      </c>
      <c r="D1502" s="48" t="s">
        <v>365</v>
      </c>
    </row>
    <row r="1503" spans="2:4" x14ac:dyDescent="0.15">
      <c r="B1503" s="46" t="s">
        <v>3058</v>
      </c>
      <c r="C1503" s="47">
        <v>2001</v>
      </c>
      <c r="D1503" s="48" t="s">
        <v>365</v>
      </c>
    </row>
    <row r="1504" spans="2:4" x14ac:dyDescent="0.15">
      <c r="B1504" s="46" t="s">
        <v>3059</v>
      </c>
      <c r="C1504" s="47">
        <v>2002</v>
      </c>
      <c r="D1504" s="48" t="s">
        <v>365</v>
      </c>
    </row>
    <row r="1505" spans="2:4" x14ac:dyDescent="0.15">
      <c r="B1505" s="46" t="s">
        <v>3060</v>
      </c>
      <c r="C1505" s="47">
        <v>2003</v>
      </c>
      <c r="D1505" s="48" t="s">
        <v>365</v>
      </c>
    </row>
    <row r="1506" spans="2:4" x14ac:dyDescent="0.15">
      <c r="B1506" s="46" t="s">
        <v>3061</v>
      </c>
      <c r="C1506" s="47">
        <v>2004</v>
      </c>
      <c r="D1506" s="48" t="s">
        <v>365</v>
      </c>
    </row>
    <row r="1507" spans="2:4" x14ac:dyDescent="0.15">
      <c r="B1507" s="46" t="s">
        <v>3062</v>
      </c>
      <c r="C1507" s="47">
        <v>2005</v>
      </c>
      <c r="D1507" s="48" t="s">
        <v>365</v>
      </c>
    </row>
    <row r="1508" spans="2:4" x14ac:dyDescent="0.15">
      <c r="B1508" s="46" t="s">
        <v>1833</v>
      </c>
      <c r="C1508" s="47">
        <v>2006</v>
      </c>
      <c r="D1508" s="48" t="s">
        <v>365</v>
      </c>
    </row>
    <row r="1509" spans="2:4" x14ac:dyDescent="0.15">
      <c r="B1509" s="46" t="s">
        <v>3063</v>
      </c>
      <c r="C1509" s="47">
        <v>2007</v>
      </c>
      <c r="D1509" s="48" t="s">
        <v>365</v>
      </c>
    </row>
    <row r="1510" spans="2:4" x14ac:dyDescent="0.15">
      <c r="B1510" s="46" t="s">
        <v>3064</v>
      </c>
      <c r="C1510" s="47">
        <v>2008</v>
      </c>
      <c r="D1510" s="48" t="s">
        <v>365</v>
      </c>
    </row>
    <row r="1511" spans="2:4" x14ac:dyDescent="0.15">
      <c r="B1511" s="46" t="s">
        <v>3065</v>
      </c>
      <c r="C1511" s="47">
        <v>2009</v>
      </c>
      <c r="D1511" s="48" t="s">
        <v>365</v>
      </c>
    </row>
    <row r="1512" spans="2:4" x14ac:dyDescent="0.15">
      <c r="B1512" s="46" t="s">
        <v>3066</v>
      </c>
      <c r="C1512" s="47">
        <v>2010</v>
      </c>
      <c r="D1512" s="48" t="s">
        <v>365</v>
      </c>
    </row>
    <row r="1513" spans="2:4" x14ac:dyDescent="0.15">
      <c r="B1513" s="46" t="s">
        <v>3067</v>
      </c>
      <c r="C1513" s="47">
        <v>2011</v>
      </c>
      <c r="D1513" s="48" t="s">
        <v>365</v>
      </c>
    </row>
    <row r="1514" spans="2:4" x14ac:dyDescent="0.15">
      <c r="B1514" s="46" t="s">
        <v>3068</v>
      </c>
      <c r="C1514" s="47">
        <v>2012</v>
      </c>
      <c r="D1514" s="48" t="s">
        <v>365</v>
      </c>
    </row>
    <row r="1515" spans="2:4" x14ac:dyDescent="0.15">
      <c r="B1515" s="46" t="s">
        <v>3069</v>
      </c>
      <c r="C1515" s="47">
        <v>2013</v>
      </c>
      <c r="D1515" s="48" t="s">
        <v>365</v>
      </c>
    </row>
    <row r="1516" spans="2:4" x14ac:dyDescent="0.15">
      <c r="B1516" s="46" t="s">
        <v>3070</v>
      </c>
      <c r="C1516" s="47">
        <v>2014</v>
      </c>
      <c r="D1516" s="48" t="s">
        <v>365</v>
      </c>
    </row>
    <row r="1517" spans="2:4" x14ac:dyDescent="0.15">
      <c r="B1517" s="46" t="s">
        <v>3071</v>
      </c>
      <c r="C1517" s="47">
        <v>2015</v>
      </c>
      <c r="D1517" s="48" t="s">
        <v>365</v>
      </c>
    </row>
    <row r="1518" spans="2:4" x14ac:dyDescent="0.15">
      <c r="B1518" s="46" t="s">
        <v>3072</v>
      </c>
      <c r="C1518" s="47">
        <v>2016</v>
      </c>
      <c r="D1518" s="48" t="s">
        <v>365</v>
      </c>
    </row>
    <row r="1519" spans="2:4" x14ac:dyDescent="0.15">
      <c r="B1519" s="46" t="s">
        <v>3073</v>
      </c>
      <c r="C1519" s="47">
        <v>2017</v>
      </c>
      <c r="D1519" s="48" t="s">
        <v>365</v>
      </c>
    </row>
    <row r="1520" spans="2:4" x14ac:dyDescent="0.15">
      <c r="B1520" s="46" t="s">
        <v>3074</v>
      </c>
      <c r="C1520" s="47">
        <v>2018</v>
      </c>
      <c r="D1520" s="48" t="s">
        <v>365</v>
      </c>
    </row>
    <row r="1521" spans="2:4" x14ac:dyDescent="0.15">
      <c r="B1521" s="46" t="s">
        <v>3075</v>
      </c>
      <c r="C1521" s="47">
        <v>2019</v>
      </c>
      <c r="D1521" s="48" t="s">
        <v>365</v>
      </c>
    </row>
    <row r="1522" spans="2:4" x14ac:dyDescent="0.15">
      <c r="B1522" s="46" t="s">
        <v>3076</v>
      </c>
      <c r="C1522" s="47">
        <v>2020</v>
      </c>
      <c r="D1522" s="48" t="s">
        <v>365</v>
      </c>
    </row>
    <row r="1523" spans="2:4" x14ac:dyDescent="0.15">
      <c r="B1523" s="46" t="s">
        <v>3077</v>
      </c>
      <c r="C1523" s="47">
        <v>2021</v>
      </c>
      <c r="D1523" s="48" t="s">
        <v>365</v>
      </c>
    </row>
    <row r="1524" spans="2:4" x14ac:dyDescent="0.15">
      <c r="B1524" s="46" t="s">
        <v>3078</v>
      </c>
      <c r="C1524" s="47">
        <v>2022</v>
      </c>
      <c r="D1524" s="48" t="s">
        <v>365</v>
      </c>
    </row>
    <row r="1525" spans="2:4" x14ac:dyDescent="0.15">
      <c r="B1525" s="46" t="s">
        <v>3079</v>
      </c>
      <c r="C1525" s="47">
        <v>2023</v>
      </c>
      <c r="D1525" s="48" t="s">
        <v>365</v>
      </c>
    </row>
    <row r="1526" spans="2:4" x14ac:dyDescent="0.15">
      <c r="B1526" s="46" t="s">
        <v>3080</v>
      </c>
      <c r="C1526" s="47">
        <v>2024</v>
      </c>
      <c r="D1526" s="48" t="s">
        <v>365</v>
      </c>
    </row>
    <row r="1527" spans="2:4" x14ac:dyDescent="0.15">
      <c r="B1527" s="46" t="s">
        <v>3081</v>
      </c>
      <c r="C1527" s="47">
        <v>2025</v>
      </c>
      <c r="D1527" s="48" t="s">
        <v>365</v>
      </c>
    </row>
    <row r="1528" spans="2:4" x14ac:dyDescent="0.15">
      <c r="B1528" s="46" t="s">
        <v>3082</v>
      </c>
      <c r="C1528" s="47">
        <v>2026</v>
      </c>
      <c r="D1528" s="48" t="s">
        <v>365</v>
      </c>
    </row>
    <row r="1529" spans="2:4" x14ac:dyDescent="0.15">
      <c r="B1529" s="46" t="s">
        <v>3083</v>
      </c>
      <c r="C1529" s="47">
        <v>2027</v>
      </c>
      <c r="D1529" s="48" t="s">
        <v>365</v>
      </c>
    </row>
    <row r="1530" spans="2:4" x14ac:dyDescent="0.15">
      <c r="B1530" s="46" t="s">
        <v>3084</v>
      </c>
      <c r="C1530" s="47">
        <v>2028</v>
      </c>
      <c r="D1530" s="48" t="s">
        <v>365</v>
      </c>
    </row>
    <row r="1531" spans="2:4" x14ac:dyDescent="0.15">
      <c r="B1531" s="46" t="s">
        <v>3085</v>
      </c>
      <c r="C1531" s="47">
        <v>2029</v>
      </c>
      <c r="D1531" s="48" t="s">
        <v>365</v>
      </c>
    </row>
    <row r="1532" spans="2:4" x14ac:dyDescent="0.15">
      <c r="B1532" s="46" t="s">
        <v>3086</v>
      </c>
      <c r="C1532" s="47">
        <v>2030</v>
      </c>
      <c r="D1532" s="48" t="s">
        <v>365</v>
      </c>
    </row>
    <row r="1533" spans="2:4" x14ac:dyDescent="0.15">
      <c r="B1533" s="46" t="s">
        <v>3087</v>
      </c>
      <c r="C1533" s="47">
        <v>2031</v>
      </c>
      <c r="D1533" s="48" t="s">
        <v>365</v>
      </c>
    </row>
    <row r="1534" spans="2:4" x14ac:dyDescent="0.15">
      <c r="B1534" s="46" t="s">
        <v>3088</v>
      </c>
      <c r="C1534" s="47">
        <v>2032</v>
      </c>
      <c r="D1534" s="48" t="s">
        <v>365</v>
      </c>
    </row>
    <row r="1535" spans="2:4" x14ac:dyDescent="0.15">
      <c r="B1535" s="46" t="s">
        <v>3089</v>
      </c>
      <c r="C1535" s="47">
        <v>2033</v>
      </c>
      <c r="D1535" s="48" t="s">
        <v>365</v>
      </c>
    </row>
    <row r="1536" spans="2:4" x14ac:dyDescent="0.15">
      <c r="B1536" s="46" t="s">
        <v>3090</v>
      </c>
      <c r="C1536" s="47">
        <v>2034</v>
      </c>
      <c r="D1536" s="48" t="s">
        <v>365</v>
      </c>
    </row>
    <row r="1537" spans="2:4" x14ac:dyDescent="0.15">
      <c r="B1537" s="46" t="s">
        <v>3091</v>
      </c>
      <c r="C1537" s="47">
        <v>2035</v>
      </c>
      <c r="D1537" s="48" t="s">
        <v>365</v>
      </c>
    </row>
    <row r="1538" spans="2:4" x14ac:dyDescent="0.15">
      <c r="B1538" s="46" t="s">
        <v>3092</v>
      </c>
      <c r="C1538" s="47">
        <v>2036</v>
      </c>
      <c r="D1538" s="48" t="s">
        <v>365</v>
      </c>
    </row>
    <row r="1539" spans="2:4" x14ac:dyDescent="0.15">
      <c r="B1539" s="46" t="s">
        <v>3093</v>
      </c>
      <c r="C1539" s="47">
        <v>2037</v>
      </c>
      <c r="D1539" s="48" t="s">
        <v>365</v>
      </c>
    </row>
    <row r="1540" spans="2:4" x14ac:dyDescent="0.15">
      <c r="B1540" s="46" t="s">
        <v>3094</v>
      </c>
      <c r="C1540" s="47">
        <v>2038</v>
      </c>
      <c r="D1540" s="48" t="s">
        <v>365</v>
      </c>
    </row>
    <row r="1541" spans="2:4" x14ac:dyDescent="0.15">
      <c r="B1541" s="46" t="s">
        <v>3095</v>
      </c>
      <c r="C1541" s="47">
        <v>2039</v>
      </c>
      <c r="D1541" s="48" t="s">
        <v>365</v>
      </c>
    </row>
    <row r="1542" spans="2:4" x14ac:dyDescent="0.15">
      <c r="B1542" s="46" t="s">
        <v>3096</v>
      </c>
      <c r="C1542" s="47">
        <v>2040</v>
      </c>
      <c r="D1542" s="48" t="s">
        <v>365</v>
      </c>
    </row>
    <row r="1543" spans="2:4" x14ac:dyDescent="0.15">
      <c r="B1543" s="46" t="s">
        <v>3097</v>
      </c>
      <c r="C1543" s="47">
        <v>2041</v>
      </c>
      <c r="D1543" s="48" t="s">
        <v>365</v>
      </c>
    </row>
    <row r="1544" spans="2:4" x14ac:dyDescent="0.15">
      <c r="B1544" s="46" t="s">
        <v>3098</v>
      </c>
      <c r="C1544" s="47">
        <v>2042</v>
      </c>
      <c r="D1544" s="48" t="s">
        <v>365</v>
      </c>
    </row>
    <row r="1545" spans="2:4" x14ac:dyDescent="0.15">
      <c r="B1545" s="46" t="s">
        <v>3099</v>
      </c>
      <c r="C1545" s="47">
        <v>2043</v>
      </c>
      <c r="D1545" s="48" t="s">
        <v>365</v>
      </c>
    </row>
    <row r="1546" spans="2:4" x14ac:dyDescent="0.15">
      <c r="B1546" s="46" t="s">
        <v>1684</v>
      </c>
      <c r="C1546" s="47">
        <v>2044</v>
      </c>
      <c r="D1546" s="48" t="s">
        <v>365</v>
      </c>
    </row>
    <row r="1547" spans="2:4" x14ac:dyDescent="0.15">
      <c r="B1547" s="46" t="s">
        <v>1686</v>
      </c>
      <c r="C1547" s="47">
        <v>2045</v>
      </c>
      <c r="D1547" s="48" t="s">
        <v>365</v>
      </c>
    </row>
    <row r="1548" spans="2:4" x14ac:dyDescent="0.15">
      <c r="B1548" s="46" t="s">
        <v>3100</v>
      </c>
      <c r="C1548" s="47">
        <v>2046</v>
      </c>
      <c r="D1548" s="48" t="s">
        <v>365</v>
      </c>
    </row>
    <row r="1549" spans="2:4" x14ac:dyDescent="0.15">
      <c r="B1549" s="46" t="s">
        <v>3101</v>
      </c>
      <c r="C1549" s="47">
        <v>2047</v>
      </c>
      <c r="D1549" s="48" t="s">
        <v>365</v>
      </c>
    </row>
    <row r="1550" spans="2:4" x14ac:dyDescent="0.15">
      <c r="B1550" s="46" t="s">
        <v>3102</v>
      </c>
      <c r="C1550" s="47">
        <v>2048</v>
      </c>
      <c r="D1550" s="48" t="s">
        <v>365</v>
      </c>
    </row>
    <row r="1551" spans="2:4" x14ac:dyDescent="0.15">
      <c r="B1551" s="46" t="s">
        <v>3103</v>
      </c>
      <c r="C1551" s="47">
        <v>2049</v>
      </c>
      <c r="D1551" s="48" t="s">
        <v>365</v>
      </c>
    </row>
    <row r="1552" spans="2:4" x14ac:dyDescent="0.15">
      <c r="B1552" s="46" t="s">
        <v>3104</v>
      </c>
      <c r="C1552" s="47">
        <v>2050</v>
      </c>
      <c r="D1552" s="48" t="s">
        <v>365</v>
      </c>
    </row>
    <row r="1553" spans="2:4" x14ac:dyDescent="0.15">
      <c r="B1553" s="46" t="s">
        <v>3105</v>
      </c>
      <c r="C1553" s="47">
        <v>2051</v>
      </c>
      <c r="D1553" s="48" t="s">
        <v>365</v>
      </c>
    </row>
    <row r="1554" spans="2:4" x14ac:dyDescent="0.15">
      <c r="B1554" s="46" t="s">
        <v>3106</v>
      </c>
      <c r="C1554" s="47">
        <v>2052</v>
      </c>
      <c r="D1554" s="48" t="s">
        <v>365</v>
      </c>
    </row>
    <row r="1555" spans="2:4" x14ac:dyDescent="0.15">
      <c r="B1555" s="46" t="s">
        <v>3107</v>
      </c>
      <c r="C1555" s="47">
        <v>2053</v>
      </c>
      <c r="D1555" s="48" t="s">
        <v>365</v>
      </c>
    </row>
    <row r="1556" spans="2:4" x14ac:dyDescent="0.15">
      <c r="B1556" s="46" t="s">
        <v>3108</v>
      </c>
      <c r="C1556" s="47">
        <v>2054</v>
      </c>
      <c r="D1556" s="48" t="s">
        <v>365</v>
      </c>
    </row>
    <row r="1557" spans="2:4" x14ac:dyDescent="0.15">
      <c r="B1557" s="46" t="s">
        <v>3109</v>
      </c>
      <c r="C1557" s="47">
        <v>2055</v>
      </c>
      <c r="D1557" s="48" t="s">
        <v>365</v>
      </c>
    </row>
    <row r="1558" spans="2:4" x14ac:dyDescent="0.15">
      <c r="B1558" s="46" t="s">
        <v>3110</v>
      </c>
      <c r="C1558" s="47">
        <v>2056</v>
      </c>
      <c r="D1558" s="48" t="s">
        <v>365</v>
      </c>
    </row>
    <row r="1559" spans="2:4" x14ac:dyDescent="0.15">
      <c r="B1559" s="46" t="s">
        <v>3111</v>
      </c>
      <c r="C1559" s="47">
        <v>2057</v>
      </c>
      <c r="D1559" s="48" t="s">
        <v>365</v>
      </c>
    </row>
    <row r="1560" spans="2:4" x14ac:dyDescent="0.15">
      <c r="B1560" s="46" t="s">
        <v>3112</v>
      </c>
      <c r="C1560" s="47">
        <v>2058</v>
      </c>
      <c r="D1560" s="48" t="s">
        <v>365</v>
      </c>
    </row>
    <row r="1561" spans="2:4" x14ac:dyDescent="0.15">
      <c r="B1561" s="46" t="s">
        <v>3113</v>
      </c>
      <c r="C1561" s="47">
        <v>2059</v>
      </c>
      <c r="D1561" s="48" t="s">
        <v>365</v>
      </c>
    </row>
    <row r="1562" spans="2:4" x14ac:dyDescent="0.15">
      <c r="B1562" s="46" t="s">
        <v>3114</v>
      </c>
      <c r="C1562" s="47">
        <v>2060</v>
      </c>
      <c r="D1562" s="48" t="s">
        <v>365</v>
      </c>
    </row>
    <row r="1563" spans="2:4" x14ac:dyDescent="0.15">
      <c r="B1563" s="46" t="s">
        <v>1049</v>
      </c>
      <c r="C1563" s="47">
        <v>2061</v>
      </c>
      <c r="D1563" s="48" t="s">
        <v>365</v>
      </c>
    </row>
    <row r="1564" spans="2:4" x14ac:dyDescent="0.15">
      <c r="B1564" s="46" t="s">
        <v>3115</v>
      </c>
      <c r="C1564" s="47">
        <v>2062</v>
      </c>
      <c r="D1564" s="48" t="s">
        <v>365</v>
      </c>
    </row>
    <row r="1565" spans="2:4" x14ac:dyDescent="0.15">
      <c r="B1565" s="46" t="s">
        <v>3116</v>
      </c>
      <c r="C1565" s="47">
        <v>2063</v>
      </c>
      <c r="D1565" s="48" t="s">
        <v>365</v>
      </c>
    </row>
    <row r="1566" spans="2:4" x14ac:dyDescent="0.15">
      <c r="B1566" s="46" t="s">
        <v>3117</v>
      </c>
      <c r="C1566" s="47">
        <v>2064</v>
      </c>
      <c r="D1566" s="48" t="s">
        <v>365</v>
      </c>
    </row>
    <row r="1567" spans="2:4" x14ac:dyDescent="0.15">
      <c r="B1567" s="46" t="s">
        <v>3118</v>
      </c>
      <c r="C1567" s="47">
        <v>2065</v>
      </c>
      <c r="D1567" s="48" t="s">
        <v>365</v>
      </c>
    </row>
    <row r="1568" spans="2:4" x14ac:dyDescent="0.15">
      <c r="B1568" s="46" t="s">
        <v>3119</v>
      </c>
      <c r="C1568" s="47">
        <v>2067</v>
      </c>
      <c r="D1568" s="48" t="s">
        <v>365</v>
      </c>
    </row>
    <row r="1569" spans="2:4" x14ac:dyDescent="0.15">
      <c r="B1569" s="46" t="s">
        <v>3120</v>
      </c>
      <c r="C1569" s="47">
        <v>2068</v>
      </c>
      <c r="D1569" s="48" t="s">
        <v>365</v>
      </c>
    </row>
    <row r="1570" spans="2:4" x14ac:dyDescent="0.15">
      <c r="B1570" s="46" t="s">
        <v>3121</v>
      </c>
      <c r="C1570" s="47">
        <v>2069</v>
      </c>
      <c r="D1570" s="48" t="s">
        <v>365</v>
      </c>
    </row>
    <row r="1571" spans="2:4" x14ac:dyDescent="0.15">
      <c r="B1571" s="46" t="s">
        <v>3122</v>
      </c>
      <c r="C1571" s="47">
        <v>2070</v>
      </c>
      <c r="D1571" s="48" t="s">
        <v>365</v>
      </c>
    </row>
    <row r="1572" spans="2:4" x14ac:dyDescent="0.15">
      <c r="B1572" s="46" t="s">
        <v>3123</v>
      </c>
      <c r="C1572" s="47">
        <v>2071</v>
      </c>
      <c r="D1572" s="48" t="s">
        <v>365</v>
      </c>
    </row>
    <row r="1573" spans="2:4" x14ac:dyDescent="0.15">
      <c r="B1573" s="46" t="s">
        <v>3124</v>
      </c>
      <c r="C1573" s="47">
        <v>2072</v>
      </c>
      <c r="D1573" s="48" t="s">
        <v>365</v>
      </c>
    </row>
    <row r="1574" spans="2:4" x14ac:dyDescent="0.15">
      <c r="B1574" s="46" t="s">
        <v>3125</v>
      </c>
      <c r="C1574" s="47">
        <v>2073</v>
      </c>
      <c r="D1574" s="48" t="s">
        <v>365</v>
      </c>
    </row>
    <row r="1575" spans="2:4" x14ac:dyDescent="0.15">
      <c r="B1575" s="46" t="s">
        <v>3126</v>
      </c>
      <c r="C1575" s="47">
        <v>2074</v>
      </c>
      <c r="D1575" s="48" t="s">
        <v>365</v>
      </c>
    </row>
    <row r="1576" spans="2:4" x14ac:dyDescent="0.15">
      <c r="B1576" s="46" t="s">
        <v>3127</v>
      </c>
      <c r="C1576" s="47">
        <v>2075</v>
      </c>
      <c r="D1576" s="48" t="s">
        <v>365</v>
      </c>
    </row>
    <row r="1577" spans="2:4" x14ac:dyDescent="0.15">
      <c r="B1577" s="46" t="s">
        <v>3128</v>
      </c>
      <c r="C1577" s="47">
        <v>2076</v>
      </c>
      <c r="D1577" s="48" t="s">
        <v>365</v>
      </c>
    </row>
    <row r="1578" spans="2:4" x14ac:dyDescent="0.15">
      <c r="B1578" s="46" t="s">
        <v>3129</v>
      </c>
      <c r="C1578" s="47">
        <v>2077</v>
      </c>
      <c r="D1578" s="48" t="s">
        <v>365</v>
      </c>
    </row>
    <row r="1579" spans="2:4" x14ac:dyDescent="0.15">
      <c r="B1579" s="46" t="s">
        <v>3130</v>
      </c>
      <c r="C1579" s="47">
        <v>2078</v>
      </c>
      <c r="D1579" s="48" t="s">
        <v>365</v>
      </c>
    </row>
    <row r="1580" spans="2:4" x14ac:dyDescent="0.15">
      <c r="B1580" s="46" t="s">
        <v>3131</v>
      </c>
      <c r="C1580" s="47">
        <v>2079</v>
      </c>
      <c r="D1580" s="48" t="s">
        <v>365</v>
      </c>
    </row>
    <row r="1581" spans="2:4" x14ac:dyDescent="0.15">
      <c r="B1581" s="46" t="s">
        <v>3132</v>
      </c>
      <c r="C1581" s="47">
        <v>2080</v>
      </c>
      <c r="D1581" s="48" t="s">
        <v>365</v>
      </c>
    </row>
    <row r="1582" spans="2:4" x14ac:dyDescent="0.15">
      <c r="B1582" s="46" t="s">
        <v>3133</v>
      </c>
      <c r="C1582" s="47">
        <v>2081</v>
      </c>
      <c r="D1582" s="48" t="s">
        <v>365</v>
      </c>
    </row>
    <row r="1583" spans="2:4" x14ac:dyDescent="0.15">
      <c r="B1583" s="46" t="s">
        <v>3134</v>
      </c>
      <c r="C1583" s="47">
        <v>2082</v>
      </c>
      <c r="D1583" s="48" t="s">
        <v>365</v>
      </c>
    </row>
    <row r="1584" spans="2:4" x14ac:dyDescent="0.15">
      <c r="B1584" s="46" t="s">
        <v>3135</v>
      </c>
      <c r="C1584" s="47">
        <v>2083</v>
      </c>
      <c r="D1584" s="48" t="s">
        <v>365</v>
      </c>
    </row>
    <row r="1585" spans="2:4" x14ac:dyDescent="0.15">
      <c r="B1585" s="46" t="s">
        <v>3136</v>
      </c>
      <c r="C1585" s="47">
        <v>2090</v>
      </c>
      <c r="D1585" s="48" t="s">
        <v>365</v>
      </c>
    </row>
    <row r="1586" spans="2:4" x14ac:dyDescent="0.15">
      <c r="B1586" s="46" t="s">
        <v>3137</v>
      </c>
      <c r="C1586" s="47">
        <v>2091</v>
      </c>
      <c r="D1586" s="48" t="s">
        <v>365</v>
      </c>
    </row>
    <row r="1587" spans="2:4" x14ac:dyDescent="0.15">
      <c r="B1587" s="46" t="s">
        <v>571</v>
      </c>
      <c r="C1587" s="47">
        <v>2100</v>
      </c>
      <c r="D1587" s="48" t="s">
        <v>365</v>
      </c>
    </row>
    <row r="1588" spans="2:4" x14ac:dyDescent="0.15">
      <c r="B1588" s="46" t="s">
        <v>3138</v>
      </c>
      <c r="C1588" s="47">
        <v>2201</v>
      </c>
      <c r="D1588" s="48" t="s">
        <v>365</v>
      </c>
    </row>
    <row r="1589" spans="2:4" x14ac:dyDescent="0.15">
      <c r="B1589" s="46" t="s">
        <v>3139</v>
      </c>
      <c r="C1589" s="47">
        <v>2202</v>
      </c>
      <c r="D1589" s="48" t="s">
        <v>365</v>
      </c>
    </row>
    <row r="1590" spans="2:4" x14ac:dyDescent="0.15">
      <c r="B1590" s="46" t="s">
        <v>3140</v>
      </c>
      <c r="C1590" s="47">
        <v>2203</v>
      </c>
      <c r="D1590" s="48" t="s">
        <v>365</v>
      </c>
    </row>
    <row r="1591" spans="2:4" x14ac:dyDescent="0.15">
      <c r="B1591" s="46" t="s">
        <v>3141</v>
      </c>
      <c r="C1591" s="47">
        <v>2204</v>
      </c>
      <c r="D1591" s="48" t="s">
        <v>365</v>
      </c>
    </row>
    <row r="1592" spans="2:4" x14ac:dyDescent="0.15">
      <c r="B1592" s="46" t="s">
        <v>3142</v>
      </c>
      <c r="C1592" s="47">
        <v>2205</v>
      </c>
      <c r="D1592" s="48" t="s">
        <v>365</v>
      </c>
    </row>
    <row r="1593" spans="2:4" x14ac:dyDescent="0.15">
      <c r="B1593" s="46" t="s">
        <v>3143</v>
      </c>
      <c r="C1593" s="47">
        <v>2206</v>
      </c>
      <c r="D1593" s="48" t="s">
        <v>365</v>
      </c>
    </row>
    <row r="1594" spans="2:4" x14ac:dyDescent="0.15">
      <c r="B1594" s="46" t="s">
        <v>3144</v>
      </c>
      <c r="C1594" s="47">
        <v>2207</v>
      </c>
      <c r="D1594" s="48" t="s">
        <v>365</v>
      </c>
    </row>
    <row r="1595" spans="2:4" x14ac:dyDescent="0.15">
      <c r="B1595" s="46" t="s">
        <v>3145</v>
      </c>
      <c r="C1595" s="47">
        <v>2208</v>
      </c>
      <c r="D1595" s="48" t="s">
        <v>365</v>
      </c>
    </row>
    <row r="1596" spans="2:4" x14ac:dyDescent="0.15">
      <c r="B1596" s="46" t="s">
        <v>3146</v>
      </c>
      <c r="C1596" s="47">
        <v>2209</v>
      </c>
      <c r="D1596" s="48" t="s">
        <v>365</v>
      </c>
    </row>
    <row r="1597" spans="2:4" x14ac:dyDescent="0.15">
      <c r="B1597" s="46" t="s">
        <v>3147</v>
      </c>
      <c r="C1597" s="47">
        <v>2210</v>
      </c>
      <c r="D1597" s="48" t="s">
        <v>365</v>
      </c>
    </row>
    <row r="1598" spans="2:4" x14ac:dyDescent="0.15">
      <c r="B1598" s="46" t="s">
        <v>3148</v>
      </c>
      <c r="C1598" s="47">
        <v>2211</v>
      </c>
      <c r="D1598" s="48" t="s">
        <v>365</v>
      </c>
    </row>
    <row r="1599" spans="2:4" x14ac:dyDescent="0.15">
      <c r="B1599" s="46" t="s">
        <v>3149</v>
      </c>
      <c r="C1599" s="47">
        <v>2212</v>
      </c>
      <c r="D1599" s="48" t="s">
        <v>365</v>
      </c>
    </row>
    <row r="1600" spans="2:4" x14ac:dyDescent="0.15">
      <c r="B1600" s="46" t="s">
        <v>3150</v>
      </c>
      <c r="C1600" s="47">
        <v>2213</v>
      </c>
      <c r="D1600" s="48" t="s">
        <v>365</v>
      </c>
    </row>
    <row r="1601" spans="2:4" x14ac:dyDescent="0.15">
      <c r="B1601" s="46" t="s">
        <v>3151</v>
      </c>
      <c r="C1601" s="47">
        <v>2214</v>
      </c>
      <c r="D1601" s="48" t="s">
        <v>365</v>
      </c>
    </row>
    <row r="1602" spans="2:4" x14ac:dyDescent="0.15">
      <c r="B1602" s="46" t="s">
        <v>3152</v>
      </c>
      <c r="C1602" s="47">
        <v>2215</v>
      </c>
      <c r="D1602" s="48" t="s">
        <v>365</v>
      </c>
    </row>
    <row r="1603" spans="2:4" x14ac:dyDescent="0.15">
      <c r="B1603" s="46" t="s">
        <v>3153</v>
      </c>
      <c r="C1603" s="47">
        <v>2216</v>
      </c>
      <c r="D1603" s="48" t="s">
        <v>365</v>
      </c>
    </row>
    <row r="1604" spans="2:4" x14ac:dyDescent="0.15">
      <c r="B1604" s="46" t="s">
        <v>3154</v>
      </c>
      <c r="C1604" s="47">
        <v>2217</v>
      </c>
      <c r="D1604" s="48" t="s">
        <v>365</v>
      </c>
    </row>
    <row r="1605" spans="2:4" x14ac:dyDescent="0.15">
      <c r="B1605" s="46" t="s">
        <v>3155</v>
      </c>
      <c r="C1605" s="47">
        <v>2218</v>
      </c>
      <c r="D1605" s="48" t="s">
        <v>365</v>
      </c>
    </row>
    <row r="1606" spans="2:4" x14ac:dyDescent="0.15">
      <c r="B1606" s="46" t="s">
        <v>3156</v>
      </c>
      <c r="C1606" s="47">
        <v>2219</v>
      </c>
      <c r="D1606" s="48" t="s">
        <v>365</v>
      </c>
    </row>
    <row r="1607" spans="2:4" x14ac:dyDescent="0.15">
      <c r="B1607" s="46" t="s">
        <v>3157</v>
      </c>
      <c r="C1607" s="47">
        <v>2220</v>
      </c>
      <c r="D1607" s="48" t="s">
        <v>365</v>
      </c>
    </row>
    <row r="1608" spans="2:4" x14ac:dyDescent="0.15">
      <c r="B1608" s="46" t="s">
        <v>3158</v>
      </c>
      <c r="C1608" s="47">
        <v>2221</v>
      </c>
      <c r="D1608" s="48" t="s">
        <v>365</v>
      </c>
    </row>
    <row r="1609" spans="2:4" x14ac:dyDescent="0.15">
      <c r="B1609" s="46" t="s">
        <v>3159</v>
      </c>
      <c r="C1609" s="47">
        <v>2222</v>
      </c>
      <c r="D1609" s="48" t="s">
        <v>365</v>
      </c>
    </row>
    <row r="1610" spans="2:4" x14ac:dyDescent="0.15">
      <c r="B1610" s="46" t="s">
        <v>3160</v>
      </c>
      <c r="C1610" s="47">
        <v>2223</v>
      </c>
      <c r="D1610" s="48" t="s">
        <v>365</v>
      </c>
    </row>
    <row r="1611" spans="2:4" x14ac:dyDescent="0.15">
      <c r="B1611" s="46" t="s">
        <v>3161</v>
      </c>
      <c r="C1611" s="47">
        <v>2224</v>
      </c>
      <c r="D1611" s="48" t="s">
        <v>365</v>
      </c>
    </row>
    <row r="1612" spans="2:4" x14ac:dyDescent="0.15">
      <c r="B1612" s="46" t="s">
        <v>3162</v>
      </c>
      <c r="C1612" s="47">
        <v>2225</v>
      </c>
      <c r="D1612" s="48" t="s">
        <v>365</v>
      </c>
    </row>
    <row r="1613" spans="2:4" x14ac:dyDescent="0.15">
      <c r="B1613" s="46" t="s">
        <v>3163</v>
      </c>
      <c r="C1613" s="47">
        <v>2226</v>
      </c>
      <c r="D1613" s="48" t="s">
        <v>365</v>
      </c>
    </row>
    <row r="1614" spans="2:4" x14ac:dyDescent="0.15">
      <c r="B1614" s="46" t="s">
        <v>3164</v>
      </c>
      <c r="C1614" s="47">
        <v>2227</v>
      </c>
      <c r="D1614" s="48" t="s">
        <v>365</v>
      </c>
    </row>
    <row r="1615" spans="2:4" x14ac:dyDescent="0.15">
      <c r="B1615" s="46" t="s">
        <v>3165</v>
      </c>
      <c r="C1615" s="47">
        <v>2228</v>
      </c>
      <c r="D1615" s="48" t="s">
        <v>365</v>
      </c>
    </row>
    <row r="1616" spans="2:4" x14ac:dyDescent="0.15">
      <c r="B1616" s="46" t="s">
        <v>3166</v>
      </c>
      <c r="C1616" s="47">
        <v>2229</v>
      </c>
      <c r="D1616" s="48" t="s">
        <v>365</v>
      </c>
    </row>
    <row r="1617" spans="2:4" x14ac:dyDescent="0.15">
      <c r="B1617" s="46" t="s">
        <v>3167</v>
      </c>
      <c r="C1617" s="47">
        <v>2230</v>
      </c>
      <c r="D1617" s="48" t="s">
        <v>365</v>
      </c>
    </row>
    <row r="1618" spans="2:4" x14ac:dyDescent="0.15">
      <c r="B1618" s="46" t="s">
        <v>3168</v>
      </c>
      <c r="C1618" s="47">
        <v>2231</v>
      </c>
      <c r="D1618" s="48" t="s">
        <v>365</v>
      </c>
    </row>
    <row r="1619" spans="2:4" x14ac:dyDescent="0.15">
      <c r="B1619" s="46" t="s">
        <v>3169</v>
      </c>
      <c r="C1619" s="47">
        <v>2232</v>
      </c>
      <c r="D1619" s="48" t="s">
        <v>365</v>
      </c>
    </row>
    <row r="1620" spans="2:4" x14ac:dyDescent="0.15">
      <c r="B1620" s="46" t="s">
        <v>3170</v>
      </c>
      <c r="C1620" s="47">
        <v>2233</v>
      </c>
      <c r="D1620" s="48" t="s">
        <v>365</v>
      </c>
    </row>
    <row r="1621" spans="2:4" x14ac:dyDescent="0.15">
      <c r="B1621" s="46" t="s">
        <v>3171</v>
      </c>
      <c r="C1621" s="47">
        <v>2234</v>
      </c>
      <c r="D1621" s="48" t="s">
        <v>365</v>
      </c>
    </row>
    <row r="1622" spans="2:4" x14ac:dyDescent="0.15">
      <c r="B1622" s="46" t="s">
        <v>3172</v>
      </c>
      <c r="C1622" s="47">
        <v>2235</v>
      </c>
      <c r="D1622" s="48" t="s">
        <v>365</v>
      </c>
    </row>
    <row r="1623" spans="2:4" x14ac:dyDescent="0.15">
      <c r="B1623" s="46" t="s">
        <v>3173</v>
      </c>
      <c r="C1623" s="47">
        <v>2236</v>
      </c>
      <c r="D1623" s="48" t="s">
        <v>365</v>
      </c>
    </row>
    <row r="1624" spans="2:4" x14ac:dyDescent="0.15">
      <c r="B1624" s="46" t="s">
        <v>3174</v>
      </c>
      <c r="C1624" s="47">
        <v>2237</v>
      </c>
      <c r="D1624" s="48" t="s">
        <v>365</v>
      </c>
    </row>
    <row r="1625" spans="2:4" x14ac:dyDescent="0.15">
      <c r="B1625" s="46" t="s">
        <v>3175</v>
      </c>
      <c r="C1625" s="47">
        <v>2238</v>
      </c>
      <c r="D1625" s="48" t="s">
        <v>365</v>
      </c>
    </row>
    <row r="1626" spans="2:4" x14ac:dyDescent="0.15">
      <c r="B1626" s="46" t="s">
        <v>3176</v>
      </c>
      <c r="C1626" s="47">
        <v>2239</v>
      </c>
      <c r="D1626" s="48" t="s">
        <v>365</v>
      </c>
    </row>
    <row r="1627" spans="2:4" x14ac:dyDescent="0.15">
      <c r="B1627" s="46" t="s">
        <v>3177</v>
      </c>
      <c r="C1627" s="47">
        <v>2240</v>
      </c>
      <c r="D1627" s="48" t="s">
        <v>365</v>
      </c>
    </row>
    <row r="1628" spans="2:4" x14ac:dyDescent="0.15">
      <c r="B1628" s="46" t="s">
        <v>3178</v>
      </c>
      <c r="C1628" s="47">
        <v>2241</v>
      </c>
      <c r="D1628" s="48" t="s">
        <v>365</v>
      </c>
    </row>
    <row r="1629" spans="2:4" x14ac:dyDescent="0.15">
      <c r="B1629" s="46" t="s">
        <v>3179</v>
      </c>
      <c r="C1629" s="47">
        <v>2242</v>
      </c>
      <c r="D1629" s="48" t="s">
        <v>365</v>
      </c>
    </row>
    <row r="1630" spans="2:4" x14ac:dyDescent="0.15">
      <c r="B1630" s="46" t="s">
        <v>3180</v>
      </c>
      <c r="C1630" s="47">
        <v>2243</v>
      </c>
      <c r="D1630" s="48" t="s">
        <v>365</v>
      </c>
    </row>
    <row r="1631" spans="2:4" x14ac:dyDescent="0.15">
      <c r="B1631" s="46" t="s">
        <v>3181</v>
      </c>
      <c r="C1631" s="47">
        <v>2244</v>
      </c>
      <c r="D1631" s="48" t="s">
        <v>365</v>
      </c>
    </row>
    <row r="1632" spans="2:4" x14ac:dyDescent="0.15">
      <c r="B1632" s="46" t="s">
        <v>3182</v>
      </c>
      <c r="C1632" s="47">
        <v>2245</v>
      </c>
      <c r="D1632" s="48" t="s">
        <v>365</v>
      </c>
    </row>
    <row r="1633" spans="2:4" x14ac:dyDescent="0.15">
      <c r="B1633" s="46" t="s">
        <v>3183</v>
      </c>
      <c r="C1633" s="47">
        <v>2246</v>
      </c>
      <c r="D1633" s="48" t="s">
        <v>365</v>
      </c>
    </row>
    <row r="1634" spans="2:4" x14ac:dyDescent="0.15">
      <c r="B1634" s="46" t="s">
        <v>3184</v>
      </c>
      <c r="C1634" s="47">
        <v>2247</v>
      </c>
      <c r="D1634" s="48" t="s">
        <v>365</v>
      </c>
    </row>
    <row r="1635" spans="2:4" x14ac:dyDescent="0.15">
      <c r="B1635" s="46" t="s">
        <v>3185</v>
      </c>
      <c r="C1635" s="47">
        <v>2248</v>
      </c>
      <c r="D1635" s="48" t="s">
        <v>365</v>
      </c>
    </row>
    <row r="1636" spans="2:4" x14ac:dyDescent="0.15">
      <c r="B1636" s="46" t="s">
        <v>3186</v>
      </c>
      <c r="C1636" s="47">
        <v>2249</v>
      </c>
      <c r="D1636" s="48" t="s">
        <v>365</v>
      </c>
    </row>
    <row r="1637" spans="2:4" x14ac:dyDescent="0.15">
      <c r="B1637" s="46" t="s">
        <v>3187</v>
      </c>
      <c r="C1637" s="47">
        <v>2250</v>
      </c>
      <c r="D1637" s="48" t="s">
        <v>365</v>
      </c>
    </row>
    <row r="1638" spans="2:4" x14ac:dyDescent="0.15">
      <c r="B1638" s="46" t="s">
        <v>3188</v>
      </c>
      <c r="C1638" s="47">
        <v>2251</v>
      </c>
      <c r="D1638" s="48" t="s">
        <v>365</v>
      </c>
    </row>
    <row r="1639" spans="2:4" x14ac:dyDescent="0.15">
      <c r="B1639" s="46" t="s">
        <v>3189</v>
      </c>
      <c r="C1639" s="47">
        <v>2252</v>
      </c>
      <c r="D1639" s="48" t="s">
        <v>365</v>
      </c>
    </row>
    <row r="1640" spans="2:4" x14ac:dyDescent="0.15">
      <c r="B1640" s="46" t="s">
        <v>3190</v>
      </c>
      <c r="C1640" s="47">
        <v>2253</v>
      </c>
      <c r="D1640" s="48" t="s">
        <v>365</v>
      </c>
    </row>
    <row r="1641" spans="2:4" x14ac:dyDescent="0.15">
      <c r="B1641" s="46" t="s">
        <v>3191</v>
      </c>
      <c r="C1641" s="47">
        <v>2254</v>
      </c>
      <c r="D1641" s="48" t="s">
        <v>365</v>
      </c>
    </row>
    <row r="1642" spans="2:4" x14ac:dyDescent="0.15">
      <c r="B1642" s="46" t="s">
        <v>3192</v>
      </c>
      <c r="C1642" s="47">
        <v>2255</v>
      </c>
      <c r="D1642" s="48" t="s">
        <v>365</v>
      </c>
    </row>
    <row r="1643" spans="2:4" x14ac:dyDescent="0.15">
      <c r="B1643" s="46" t="s">
        <v>3193</v>
      </c>
      <c r="C1643" s="47">
        <v>2256</v>
      </c>
      <c r="D1643" s="48" t="s">
        <v>365</v>
      </c>
    </row>
    <row r="1644" spans="2:4" x14ac:dyDescent="0.15">
      <c r="B1644" s="46" t="s">
        <v>4092</v>
      </c>
      <c r="C1644" s="47">
        <v>2289</v>
      </c>
      <c r="D1644" s="48" t="s">
        <v>4096</v>
      </c>
    </row>
    <row r="1645" spans="2:4" x14ac:dyDescent="0.15">
      <c r="B1645" s="46" t="s">
        <v>1051</v>
      </c>
      <c r="C1645" s="47">
        <v>2300</v>
      </c>
      <c r="D1645" s="48" t="s">
        <v>365</v>
      </c>
    </row>
    <row r="1646" spans="2:4" x14ac:dyDescent="0.15">
      <c r="B1646" s="46" t="s">
        <v>1053</v>
      </c>
      <c r="C1646" s="47">
        <v>2301</v>
      </c>
      <c r="D1646" s="48" t="s">
        <v>365</v>
      </c>
    </row>
    <row r="1647" spans="2:4" x14ac:dyDescent="0.15">
      <c r="B1647" s="46" t="s">
        <v>1055</v>
      </c>
      <c r="C1647" s="47">
        <v>2302</v>
      </c>
      <c r="D1647" s="48" t="s">
        <v>365</v>
      </c>
    </row>
    <row r="1648" spans="2:4" x14ac:dyDescent="0.15">
      <c r="B1648" s="46" t="s">
        <v>1057</v>
      </c>
      <c r="C1648" s="47">
        <v>2303</v>
      </c>
      <c r="D1648" s="48" t="s">
        <v>365</v>
      </c>
    </row>
    <row r="1649" spans="2:4" x14ac:dyDescent="0.15">
      <c r="B1649" s="46" t="s">
        <v>1614</v>
      </c>
      <c r="C1649" s="47">
        <v>2304</v>
      </c>
      <c r="D1649" s="48" t="s">
        <v>365</v>
      </c>
    </row>
    <row r="1650" spans="2:4" x14ac:dyDescent="0.15">
      <c r="B1650" s="46" t="s">
        <v>1617</v>
      </c>
      <c r="C1650" s="47">
        <v>2305</v>
      </c>
      <c r="D1650" s="48" t="s">
        <v>365</v>
      </c>
    </row>
    <row r="1651" spans="2:4" x14ac:dyDescent="0.15">
      <c r="B1651" s="46" t="s">
        <v>1064</v>
      </c>
      <c r="C1651" s="47">
        <v>2306</v>
      </c>
      <c r="D1651" s="48" t="s">
        <v>365</v>
      </c>
    </row>
    <row r="1652" spans="2:4" x14ac:dyDescent="0.15">
      <c r="B1652" s="46" t="s">
        <v>3194</v>
      </c>
      <c r="C1652" s="47">
        <v>2307</v>
      </c>
      <c r="D1652" s="48" t="s">
        <v>365</v>
      </c>
    </row>
    <row r="1653" spans="2:4" x14ac:dyDescent="0.15">
      <c r="B1653" s="46" t="s">
        <v>3195</v>
      </c>
      <c r="C1653" s="47">
        <v>2308</v>
      </c>
      <c r="D1653" s="48" t="s">
        <v>365</v>
      </c>
    </row>
    <row r="1654" spans="2:4" x14ac:dyDescent="0.15">
      <c r="B1654" s="46" t="s">
        <v>763</v>
      </c>
      <c r="C1654" s="47">
        <v>2309</v>
      </c>
      <c r="D1654" s="48" t="s">
        <v>365</v>
      </c>
    </row>
    <row r="1655" spans="2:4" x14ac:dyDescent="0.15">
      <c r="B1655" s="46" t="s">
        <v>1161</v>
      </c>
      <c r="C1655" s="47">
        <v>2310</v>
      </c>
      <c r="D1655" s="48" t="s">
        <v>365</v>
      </c>
    </row>
    <row r="1656" spans="2:4" x14ac:dyDescent="0.15">
      <c r="B1656" s="46" t="s">
        <v>1625</v>
      </c>
      <c r="C1656" s="47">
        <v>2311</v>
      </c>
      <c r="D1656" s="48" t="s">
        <v>365</v>
      </c>
    </row>
    <row r="1657" spans="2:4" x14ac:dyDescent="0.15">
      <c r="B1657" s="46" t="s">
        <v>3196</v>
      </c>
      <c r="C1657" s="47">
        <v>2312</v>
      </c>
      <c r="D1657" s="48" t="s">
        <v>365</v>
      </c>
    </row>
    <row r="1658" spans="2:4" x14ac:dyDescent="0.15">
      <c r="B1658" s="46" t="s">
        <v>3197</v>
      </c>
      <c r="C1658" s="47">
        <v>2313</v>
      </c>
      <c r="D1658" s="48" t="s">
        <v>365</v>
      </c>
    </row>
    <row r="1659" spans="2:4" x14ac:dyDescent="0.15">
      <c r="B1659" s="46" t="s">
        <v>1074</v>
      </c>
      <c r="C1659" s="47">
        <v>2314</v>
      </c>
      <c r="D1659" s="48" t="s">
        <v>365</v>
      </c>
    </row>
    <row r="1660" spans="2:4" x14ac:dyDescent="0.15">
      <c r="B1660" s="46" t="s">
        <v>3198</v>
      </c>
      <c r="C1660" s="47">
        <v>2315</v>
      </c>
      <c r="D1660" s="48" t="s">
        <v>365</v>
      </c>
    </row>
    <row r="1661" spans="2:4" x14ac:dyDescent="0.15">
      <c r="B1661" s="46" t="s">
        <v>3199</v>
      </c>
      <c r="C1661" s="47">
        <v>2316</v>
      </c>
      <c r="D1661" s="48" t="s">
        <v>365</v>
      </c>
    </row>
    <row r="1662" spans="2:4" x14ac:dyDescent="0.15">
      <c r="B1662" s="46" t="s">
        <v>3200</v>
      </c>
      <c r="C1662" s="47">
        <v>2317</v>
      </c>
      <c r="D1662" s="48" t="s">
        <v>365</v>
      </c>
    </row>
    <row r="1663" spans="2:4" x14ac:dyDescent="0.15">
      <c r="B1663" s="46" t="s">
        <v>3201</v>
      </c>
      <c r="C1663" s="47">
        <v>2318</v>
      </c>
      <c r="D1663" s="48" t="s">
        <v>365</v>
      </c>
    </row>
    <row r="1664" spans="2:4" x14ac:dyDescent="0.15">
      <c r="B1664" s="46" t="s">
        <v>3202</v>
      </c>
      <c r="C1664" s="47">
        <v>2319</v>
      </c>
      <c r="D1664" s="48" t="s">
        <v>365</v>
      </c>
    </row>
    <row r="1665" spans="2:4" x14ac:dyDescent="0.15">
      <c r="B1665" s="46" t="s">
        <v>3203</v>
      </c>
      <c r="C1665" s="47">
        <v>2320</v>
      </c>
      <c r="D1665" s="48" t="s">
        <v>365</v>
      </c>
    </row>
    <row r="1666" spans="2:4" x14ac:dyDescent="0.15">
      <c r="B1666" s="46" t="s">
        <v>3204</v>
      </c>
      <c r="C1666" s="47">
        <v>2321</v>
      </c>
      <c r="D1666" s="48" t="s">
        <v>365</v>
      </c>
    </row>
    <row r="1667" spans="2:4" x14ac:dyDescent="0.15">
      <c r="B1667" s="46" t="s">
        <v>3205</v>
      </c>
      <c r="C1667" s="47">
        <v>2322</v>
      </c>
      <c r="D1667" s="48" t="s">
        <v>365</v>
      </c>
    </row>
    <row r="1668" spans="2:4" x14ac:dyDescent="0.15">
      <c r="B1668" s="46" t="s">
        <v>3206</v>
      </c>
      <c r="C1668" s="47">
        <v>2323</v>
      </c>
      <c r="D1668" s="48" t="s">
        <v>365</v>
      </c>
    </row>
    <row r="1669" spans="2:4" x14ac:dyDescent="0.15">
      <c r="B1669" s="46" t="s">
        <v>1033</v>
      </c>
      <c r="C1669" s="47">
        <v>2329</v>
      </c>
      <c r="D1669" s="48" t="s">
        <v>365</v>
      </c>
    </row>
    <row r="1670" spans="2:4" x14ac:dyDescent="0.15">
      <c r="B1670" s="46" t="s">
        <v>4048</v>
      </c>
      <c r="C1670" s="47">
        <v>2380</v>
      </c>
      <c r="D1670" s="48" t="s">
        <v>4096</v>
      </c>
    </row>
    <row r="1671" spans="2:4" x14ac:dyDescent="0.15">
      <c r="B1671" s="46" t="s">
        <v>3207</v>
      </c>
      <c r="C1671" s="47">
        <v>2502</v>
      </c>
      <c r="D1671" s="48" t="s">
        <v>365</v>
      </c>
    </row>
    <row r="1672" spans="2:4" x14ac:dyDescent="0.15">
      <c r="B1672" s="46" t="s">
        <v>3208</v>
      </c>
      <c r="C1672" s="47">
        <v>2503</v>
      </c>
      <c r="D1672" s="48" t="s">
        <v>365</v>
      </c>
    </row>
    <row r="1673" spans="2:4" x14ac:dyDescent="0.15">
      <c r="B1673" s="46" t="s">
        <v>1789</v>
      </c>
      <c r="C1673" s="47">
        <v>2504</v>
      </c>
      <c r="D1673" s="48" t="s">
        <v>365</v>
      </c>
    </row>
    <row r="1674" spans="2:4" x14ac:dyDescent="0.15">
      <c r="B1674" s="46" t="s">
        <v>1623</v>
      </c>
      <c r="C1674" s="47">
        <v>2505</v>
      </c>
      <c r="D1674" s="48" t="s">
        <v>365</v>
      </c>
    </row>
    <row r="1675" spans="2:4" x14ac:dyDescent="0.15">
      <c r="B1675" s="46" t="s">
        <v>1845</v>
      </c>
      <c r="C1675" s="47">
        <v>2506</v>
      </c>
      <c r="D1675" s="48" t="s">
        <v>365</v>
      </c>
    </row>
    <row r="1676" spans="2:4" x14ac:dyDescent="0.15">
      <c r="B1676" s="46" t="s">
        <v>3209</v>
      </c>
      <c r="C1676" s="47">
        <v>2507</v>
      </c>
      <c r="D1676" s="48" t="s">
        <v>365</v>
      </c>
    </row>
    <row r="1677" spans="2:4" x14ac:dyDescent="0.15">
      <c r="B1677" s="46" t="s">
        <v>1309</v>
      </c>
      <c r="C1677" s="47">
        <v>2508</v>
      </c>
      <c r="D1677" s="48" t="s">
        <v>365</v>
      </c>
    </row>
    <row r="1678" spans="2:4" x14ac:dyDescent="0.15">
      <c r="B1678" s="46" t="s">
        <v>3210</v>
      </c>
      <c r="C1678" s="47">
        <v>2509</v>
      </c>
      <c r="D1678" s="48" t="s">
        <v>365</v>
      </c>
    </row>
    <row r="1679" spans="2:4" x14ac:dyDescent="0.15">
      <c r="B1679" s="46" t="s">
        <v>3211</v>
      </c>
      <c r="C1679" s="47">
        <v>2510</v>
      </c>
      <c r="D1679" s="48" t="s">
        <v>365</v>
      </c>
    </row>
    <row r="1680" spans="2:4" x14ac:dyDescent="0.15">
      <c r="B1680" s="46" t="s">
        <v>1681</v>
      </c>
      <c r="C1680" s="47">
        <v>2514</v>
      </c>
      <c r="D1680" s="48" t="s">
        <v>365</v>
      </c>
    </row>
    <row r="1681" spans="2:4" x14ac:dyDescent="0.15">
      <c r="B1681" s="46" t="s">
        <v>3212</v>
      </c>
      <c r="C1681" s="47">
        <v>2522</v>
      </c>
      <c r="D1681" s="48" t="s">
        <v>365</v>
      </c>
    </row>
    <row r="1682" spans="2:4" x14ac:dyDescent="0.15">
      <c r="B1682" s="46" t="s">
        <v>3213</v>
      </c>
      <c r="C1682" s="47">
        <v>2523</v>
      </c>
      <c r="D1682" s="48" t="s">
        <v>365</v>
      </c>
    </row>
    <row r="1683" spans="2:4" x14ac:dyDescent="0.15">
      <c r="B1683" s="46" t="s">
        <v>3214</v>
      </c>
      <c r="C1683" s="47">
        <v>2524</v>
      </c>
      <c r="D1683" s="48" t="s">
        <v>365</v>
      </c>
    </row>
    <row r="1684" spans="2:4" x14ac:dyDescent="0.15">
      <c r="B1684" s="46" t="s">
        <v>3215</v>
      </c>
      <c r="C1684" s="47">
        <v>2525</v>
      </c>
      <c r="D1684" s="48" t="s">
        <v>365</v>
      </c>
    </row>
    <row r="1685" spans="2:4" x14ac:dyDescent="0.15">
      <c r="B1685" s="46" t="s">
        <v>3216</v>
      </c>
      <c r="C1685" s="47">
        <v>2600</v>
      </c>
      <c r="D1685" s="48" t="s">
        <v>365</v>
      </c>
    </row>
    <row r="1686" spans="2:4" x14ac:dyDescent="0.15">
      <c r="B1686" s="46" t="s">
        <v>1825</v>
      </c>
      <c r="C1686" s="47">
        <v>2704</v>
      </c>
      <c r="D1686" s="48" t="s">
        <v>365</v>
      </c>
    </row>
    <row r="1687" spans="2:4" x14ac:dyDescent="0.15">
      <c r="B1687" s="46" t="s">
        <v>4056</v>
      </c>
      <c r="C1687" s="47">
        <v>2856</v>
      </c>
      <c r="D1687" s="48" t="s">
        <v>4096</v>
      </c>
    </row>
    <row r="1688" spans="2:4" x14ac:dyDescent="0.15">
      <c r="B1688" s="46" t="s">
        <v>3217</v>
      </c>
      <c r="C1688" s="47">
        <v>3002</v>
      </c>
      <c r="D1688" s="48" t="s">
        <v>365</v>
      </c>
    </row>
    <row r="1689" spans="2:4" x14ac:dyDescent="0.15">
      <c r="B1689" s="46" t="s">
        <v>3218</v>
      </c>
      <c r="C1689" s="47">
        <v>3004</v>
      </c>
      <c r="D1689" s="48" t="s">
        <v>365</v>
      </c>
    </row>
    <row r="1690" spans="2:4" x14ac:dyDescent="0.15">
      <c r="B1690" s="46" t="s">
        <v>3219</v>
      </c>
      <c r="C1690" s="47">
        <v>3006</v>
      </c>
      <c r="D1690" s="48" t="s">
        <v>365</v>
      </c>
    </row>
    <row r="1691" spans="2:4" x14ac:dyDescent="0.15">
      <c r="B1691" s="46" t="s">
        <v>3220</v>
      </c>
      <c r="C1691" s="47">
        <v>3007</v>
      </c>
      <c r="D1691" s="48" t="s">
        <v>365</v>
      </c>
    </row>
    <row r="1692" spans="2:4" x14ac:dyDescent="0.15">
      <c r="B1692" s="46" t="s">
        <v>3221</v>
      </c>
      <c r="C1692" s="47">
        <v>3008</v>
      </c>
      <c r="D1692" s="48" t="s">
        <v>365</v>
      </c>
    </row>
    <row r="1693" spans="2:4" x14ac:dyDescent="0.15">
      <c r="B1693" s="46" t="s">
        <v>3222</v>
      </c>
      <c r="C1693" s="47">
        <v>3009</v>
      </c>
      <c r="D1693" s="48" t="s">
        <v>365</v>
      </c>
    </row>
    <row r="1694" spans="2:4" x14ac:dyDescent="0.15">
      <c r="B1694" s="46" t="s">
        <v>3223</v>
      </c>
      <c r="C1694" s="47">
        <v>3010</v>
      </c>
      <c r="D1694" s="48" t="s">
        <v>365</v>
      </c>
    </row>
    <row r="1695" spans="2:4" x14ac:dyDescent="0.15">
      <c r="B1695" s="46" t="s">
        <v>3224</v>
      </c>
      <c r="C1695" s="47">
        <v>3011</v>
      </c>
      <c r="D1695" s="48" t="s">
        <v>365</v>
      </c>
    </row>
    <row r="1696" spans="2:4" x14ac:dyDescent="0.15">
      <c r="B1696" s="46" t="s">
        <v>3225</v>
      </c>
      <c r="C1696" s="47">
        <v>3021</v>
      </c>
      <c r="D1696" s="48" t="s">
        <v>365</v>
      </c>
    </row>
    <row r="1697" spans="2:4" x14ac:dyDescent="0.15">
      <c r="B1697" s="46" t="s">
        <v>1234</v>
      </c>
      <c r="C1697" s="47">
        <v>3022</v>
      </c>
      <c r="D1697" s="48" t="s">
        <v>365</v>
      </c>
    </row>
    <row r="1698" spans="2:4" x14ac:dyDescent="0.15">
      <c r="B1698" s="46" t="s">
        <v>3226</v>
      </c>
      <c r="C1698" s="47">
        <v>3023</v>
      </c>
      <c r="D1698" s="48" t="s">
        <v>365</v>
      </c>
    </row>
    <row r="1699" spans="2:4" x14ac:dyDescent="0.15">
      <c r="B1699" s="46" t="s">
        <v>3227</v>
      </c>
      <c r="C1699" s="47">
        <v>3024</v>
      </c>
      <c r="D1699" s="48" t="s">
        <v>365</v>
      </c>
    </row>
    <row r="1700" spans="2:4" x14ac:dyDescent="0.15">
      <c r="B1700" s="46" t="s">
        <v>3228</v>
      </c>
      <c r="C1700" s="47">
        <v>3027</v>
      </c>
      <c r="D1700" s="48" t="s">
        <v>365</v>
      </c>
    </row>
    <row r="1701" spans="2:4" x14ac:dyDescent="0.15">
      <c r="B1701" s="46" t="s">
        <v>3229</v>
      </c>
      <c r="C1701" s="47">
        <v>3028</v>
      </c>
      <c r="D1701" s="48" t="s">
        <v>365</v>
      </c>
    </row>
    <row r="1702" spans="2:4" x14ac:dyDescent="0.15">
      <c r="B1702" s="46" t="s">
        <v>3230</v>
      </c>
      <c r="C1702" s="47">
        <v>3029</v>
      </c>
      <c r="D1702" s="48" t="s">
        <v>365</v>
      </c>
    </row>
    <row r="1703" spans="2:4" x14ac:dyDescent="0.15">
      <c r="B1703" s="46" t="s">
        <v>1031</v>
      </c>
      <c r="C1703" s="47">
        <v>3030</v>
      </c>
      <c r="D1703" s="48" t="s">
        <v>365</v>
      </c>
    </row>
    <row r="1704" spans="2:4" x14ac:dyDescent="0.15">
      <c r="B1704" s="46" t="s">
        <v>3231</v>
      </c>
      <c r="C1704" s="47">
        <v>3031</v>
      </c>
      <c r="D1704" s="48" t="s">
        <v>365</v>
      </c>
    </row>
    <row r="1705" spans="2:4" x14ac:dyDescent="0.15">
      <c r="B1705" s="46" t="s">
        <v>3232</v>
      </c>
      <c r="C1705" s="47">
        <v>3032</v>
      </c>
      <c r="D1705" s="48" t="s">
        <v>365</v>
      </c>
    </row>
    <row r="1706" spans="2:4" x14ac:dyDescent="0.15">
      <c r="B1706" s="46" t="s">
        <v>3233</v>
      </c>
      <c r="C1706" s="47">
        <v>3033</v>
      </c>
      <c r="D1706" s="48" t="s">
        <v>365</v>
      </c>
    </row>
    <row r="1707" spans="2:4" x14ac:dyDescent="0.15">
      <c r="B1707" s="46" t="s">
        <v>3234</v>
      </c>
      <c r="C1707" s="47">
        <v>3034</v>
      </c>
      <c r="D1707" s="48" t="s">
        <v>365</v>
      </c>
    </row>
    <row r="1708" spans="2:4" x14ac:dyDescent="0.15">
      <c r="B1708" s="46" t="s">
        <v>3235</v>
      </c>
      <c r="C1708" s="47">
        <v>3035</v>
      </c>
      <c r="D1708" s="48" t="s">
        <v>365</v>
      </c>
    </row>
    <row r="1709" spans="2:4" x14ac:dyDescent="0.15">
      <c r="B1709" s="46" t="s">
        <v>3236</v>
      </c>
      <c r="C1709" s="47">
        <v>3036</v>
      </c>
      <c r="D1709" s="48" t="s">
        <v>365</v>
      </c>
    </row>
    <row r="1710" spans="2:4" x14ac:dyDescent="0.15">
      <c r="B1710" s="46" t="s">
        <v>3237</v>
      </c>
      <c r="C1710" s="47">
        <v>3037</v>
      </c>
      <c r="D1710" s="48" t="s">
        <v>365</v>
      </c>
    </row>
    <row r="1711" spans="2:4" x14ac:dyDescent="0.15">
      <c r="B1711" s="46" t="s">
        <v>3238</v>
      </c>
      <c r="C1711" s="47">
        <v>3038</v>
      </c>
      <c r="D1711" s="48" t="s">
        <v>365</v>
      </c>
    </row>
    <row r="1712" spans="2:4" x14ac:dyDescent="0.15">
      <c r="B1712" s="46" t="s">
        <v>3239</v>
      </c>
      <c r="C1712" s="47">
        <v>3040</v>
      </c>
      <c r="D1712" s="48" t="s">
        <v>365</v>
      </c>
    </row>
    <row r="1713" spans="2:4" x14ac:dyDescent="0.15">
      <c r="B1713" s="46" t="s">
        <v>3240</v>
      </c>
      <c r="C1713" s="47">
        <v>3041</v>
      </c>
      <c r="D1713" s="48" t="s">
        <v>365</v>
      </c>
    </row>
    <row r="1714" spans="2:4" x14ac:dyDescent="0.15">
      <c r="B1714" s="46" t="s">
        <v>3241</v>
      </c>
      <c r="C1714" s="47">
        <v>3042</v>
      </c>
      <c r="D1714" s="48" t="s">
        <v>365</v>
      </c>
    </row>
    <row r="1715" spans="2:4" x14ac:dyDescent="0.15">
      <c r="B1715" s="46" t="s">
        <v>3242</v>
      </c>
      <c r="C1715" s="47">
        <v>3043</v>
      </c>
      <c r="D1715" s="48" t="s">
        <v>365</v>
      </c>
    </row>
    <row r="1716" spans="2:4" x14ac:dyDescent="0.15">
      <c r="B1716" s="46" t="s">
        <v>3243</v>
      </c>
      <c r="C1716" s="47">
        <v>3044</v>
      </c>
      <c r="D1716" s="48" t="s">
        <v>365</v>
      </c>
    </row>
    <row r="1717" spans="2:4" x14ac:dyDescent="0.15">
      <c r="B1717" s="46" t="s">
        <v>3244</v>
      </c>
      <c r="C1717" s="47">
        <v>3045</v>
      </c>
      <c r="D1717" s="48" t="s">
        <v>365</v>
      </c>
    </row>
    <row r="1718" spans="2:4" x14ac:dyDescent="0.15">
      <c r="B1718" s="46" t="s">
        <v>3245</v>
      </c>
      <c r="C1718" s="47">
        <v>3046</v>
      </c>
      <c r="D1718" s="48" t="s">
        <v>365</v>
      </c>
    </row>
    <row r="1719" spans="2:4" x14ac:dyDescent="0.15">
      <c r="B1719" s="46" t="s">
        <v>3246</v>
      </c>
      <c r="C1719" s="47">
        <v>3047</v>
      </c>
      <c r="D1719" s="48" t="s">
        <v>365</v>
      </c>
    </row>
    <row r="1720" spans="2:4" x14ac:dyDescent="0.15">
      <c r="B1720" s="46" t="s">
        <v>3247</v>
      </c>
      <c r="C1720" s="47">
        <v>3050</v>
      </c>
      <c r="D1720" s="48" t="s">
        <v>365</v>
      </c>
    </row>
    <row r="1721" spans="2:4" x14ac:dyDescent="0.15">
      <c r="B1721" s="46" t="s">
        <v>3248</v>
      </c>
      <c r="C1721" s="47">
        <v>3051</v>
      </c>
      <c r="D1721" s="48" t="s">
        <v>365</v>
      </c>
    </row>
    <row r="1722" spans="2:4" x14ac:dyDescent="0.15">
      <c r="B1722" s="46" t="s">
        <v>3249</v>
      </c>
      <c r="C1722" s="47">
        <v>3053</v>
      </c>
      <c r="D1722" s="48" t="s">
        <v>365</v>
      </c>
    </row>
    <row r="1723" spans="2:4" x14ac:dyDescent="0.15">
      <c r="B1723" s="46" t="s">
        <v>3250</v>
      </c>
      <c r="C1723" s="47">
        <v>3054</v>
      </c>
      <c r="D1723" s="48" t="s">
        <v>365</v>
      </c>
    </row>
    <row r="1724" spans="2:4" x14ac:dyDescent="0.15">
      <c r="B1724" s="46" t="s">
        <v>3251</v>
      </c>
      <c r="C1724" s="47">
        <v>3060</v>
      </c>
      <c r="D1724" s="48" t="s">
        <v>365</v>
      </c>
    </row>
    <row r="1725" spans="2:4" x14ac:dyDescent="0.15">
      <c r="B1725" s="46" t="s">
        <v>3252</v>
      </c>
      <c r="C1725" s="47">
        <v>3061</v>
      </c>
      <c r="D1725" s="48" t="s">
        <v>365</v>
      </c>
    </row>
    <row r="1726" spans="2:4" x14ac:dyDescent="0.15">
      <c r="B1726" s="46" t="s">
        <v>3253</v>
      </c>
      <c r="C1726" s="47">
        <v>3062</v>
      </c>
      <c r="D1726" s="48" t="s">
        <v>365</v>
      </c>
    </row>
    <row r="1727" spans="2:4" x14ac:dyDescent="0.15">
      <c r="B1727" s="46" t="s">
        <v>3254</v>
      </c>
      <c r="C1727" s="47">
        <v>3063</v>
      </c>
      <c r="D1727" s="48" t="s">
        <v>365</v>
      </c>
    </row>
    <row r="1728" spans="2:4" x14ac:dyDescent="0.15">
      <c r="B1728" s="46" t="s">
        <v>3255</v>
      </c>
      <c r="C1728" s="47">
        <v>3064</v>
      </c>
      <c r="D1728" s="48" t="s">
        <v>365</v>
      </c>
    </row>
    <row r="1729" spans="2:4" x14ac:dyDescent="0.15">
      <c r="B1729" s="46" t="s">
        <v>3256</v>
      </c>
      <c r="C1729" s="47">
        <v>3065</v>
      </c>
      <c r="D1729" s="48" t="s">
        <v>365</v>
      </c>
    </row>
    <row r="1730" spans="2:4" x14ac:dyDescent="0.15">
      <c r="B1730" s="46" t="s">
        <v>3257</v>
      </c>
      <c r="C1730" s="47">
        <v>3071</v>
      </c>
      <c r="D1730" s="48" t="s">
        <v>365</v>
      </c>
    </row>
    <row r="1731" spans="2:4" x14ac:dyDescent="0.15">
      <c r="B1731" s="46" t="s">
        <v>3258</v>
      </c>
      <c r="C1731" s="47">
        <v>3072</v>
      </c>
      <c r="D1731" s="48" t="s">
        <v>365</v>
      </c>
    </row>
    <row r="1732" spans="2:4" x14ac:dyDescent="0.15">
      <c r="B1732" s="46" t="s">
        <v>3259</v>
      </c>
      <c r="C1732" s="47">
        <v>3073</v>
      </c>
      <c r="D1732" s="48" t="s">
        <v>365</v>
      </c>
    </row>
    <row r="1733" spans="2:4" x14ac:dyDescent="0.15">
      <c r="B1733" s="46" t="s">
        <v>3260</v>
      </c>
      <c r="C1733" s="47">
        <v>3075</v>
      </c>
      <c r="D1733" s="48" t="s">
        <v>365</v>
      </c>
    </row>
    <row r="1734" spans="2:4" x14ac:dyDescent="0.15">
      <c r="B1734" s="46" t="s">
        <v>3261</v>
      </c>
      <c r="C1734" s="47">
        <v>3076</v>
      </c>
      <c r="D1734" s="48" t="s">
        <v>365</v>
      </c>
    </row>
    <row r="1735" spans="2:4" x14ac:dyDescent="0.15">
      <c r="B1735" s="46" t="s">
        <v>3262</v>
      </c>
      <c r="C1735" s="47">
        <v>3077</v>
      </c>
      <c r="D1735" s="48" t="s">
        <v>365</v>
      </c>
    </row>
    <row r="1736" spans="2:4" x14ac:dyDescent="0.15">
      <c r="B1736" s="46" t="s">
        <v>3263</v>
      </c>
      <c r="C1736" s="47">
        <v>3078</v>
      </c>
      <c r="D1736" s="48" t="s">
        <v>365</v>
      </c>
    </row>
    <row r="1737" spans="2:4" x14ac:dyDescent="0.15">
      <c r="B1737" s="46" t="s">
        <v>3264</v>
      </c>
      <c r="C1737" s="47">
        <v>3081</v>
      </c>
      <c r="D1737" s="48" t="s">
        <v>365</v>
      </c>
    </row>
    <row r="1738" spans="2:4" x14ac:dyDescent="0.15">
      <c r="B1738" s="46" t="s">
        <v>1026</v>
      </c>
      <c r="C1738" s="47">
        <v>3082</v>
      </c>
      <c r="D1738" s="48" t="s">
        <v>365</v>
      </c>
    </row>
    <row r="1739" spans="2:4" x14ac:dyDescent="0.15">
      <c r="B1739" s="46" t="s">
        <v>1634</v>
      </c>
      <c r="C1739" s="47">
        <v>3085</v>
      </c>
      <c r="D1739" s="48" t="s">
        <v>365</v>
      </c>
    </row>
    <row r="1740" spans="2:4" x14ac:dyDescent="0.15">
      <c r="B1740" s="46" t="s">
        <v>1636</v>
      </c>
      <c r="C1740" s="47">
        <v>3086</v>
      </c>
      <c r="D1740" s="48" t="s">
        <v>365</v>
      </c>
    </row>
    <row r="1741" spans="2:4" x14ac:dyDescent="0.15">
      <c r="B1741" s="46" t="s">
        <v>3265</v>
      </c>
      <c r="C1741" s="47">
        <v>3087</v>
      </c>
      <c r="D1741" s="48" t="s">
        <v>365</v>
      </c>
    </row>
    <row r="1742" spans="2:4" x14ac:dyDescent="0.15">
      <c r="B1742" s="46" t="s">
        <v>3266</v>
      </c>
      <c r="C1742" s="47">
        <v>3090</v>
      </c>
      <c r="D1742" s="48" t="s">
        <v>365</v>
      </c>
    </row>
    <row r="1743" spans="2:4" x14ac:dyDescent="0.15">
      <c r="B1743" s="46" t="s">
        <v>3267</v>
      </c>
      <c r="C1743" s="47">
        <v>3107</v>
      </c>
      <c r="D1743" s="48" t="s">
        <v>365</v>
      </c>
    </row>
    <row r="1744" spans="2:4" x14ac:dyDescent="0.15">
      <c r="B1744" s="46" t="s">
        <v>3268</v>
      </c>
      <c r="C1744" s="47">
        <v>3108</v>
      </c>
      <c r="D1744" s="48" t="s">
        <v>365</v>
      </c>
    </row>
    <row r="1745" spans="2:4" x14ac:dyDescent="0.15">
      <c r="B1745" s="46" t="s">
        <v>3269</v>
      </c>
      <c r="C1745" s="47">
        <v>3109</v>
      </c>
      <c r="D1745" s="48" t="s">
        <v>365</v>
      </c>
    </row>
    <row r="1746" spans="2:4" x14ac:dyDescent="0.15">
      <c r="B1746" s="46" t="s">
        <v>3270</v>
      </c>
      <c r="C1746" s="47">
        <v>3110</v>
      </c>
      <c r="D1746" s="48" t="s">
        <v>365</v>
      </c>
    </row>
    <row r="1747" spans="2:4" x14ac:dyDescent="0.15">
      <c r="B1747" s="46" t="s">
        <v>3271</v>
      </c>
      <c r="C1747" s="47">
        <v>3113</v>
      </c>
      <c r="D1747" s="48" t="s">
        <v>365</v>
      </c>
    </row>
    <row r="1748" spans="2:4" x14ac:dyDescent="0.15">
      <c r="B1748" s="46" t="s">
        <v>3272</v>
      </c>
      <c r="C1748" s="47">
        <v>3114</v>
      </c>
      <c r="D1748" s="48" t="s">
        <v>365</v>
      </c>
    </row>
    <row r="1749" spans="2:4" x14ac:dyDescent="0.15">
      <c r="B1749" s="46" t="s">
        <v>3273</v>
      </c>
      <c r="C1749" s="47">
        <v>3115</v>
      </c>
      <c r="D1749" s="48" t="s">
        <v>365</v>
      </c>
    </row>
    <row r="1750" spans="2:4" x14ac:dyDescent="0.15">
      <c r="B1750" s="46" t="s">
        <v>3274</v>
      </c>
      <c r="C1750" s="47">
        <v>3116</v>
      </c>
      <c r="D1750" s="48" t="s">
        <v>365</v>
      </c>
    </row>
    <row r="1751" spans="2:4" x14ac:dyDescent="0.15">
      <c r="B1751" s="46" t="s">
        <v>3275</v>
      </c>
      <c r="C1751" s="47">
        <v>3200</v>
      </c>
      <c r="D1751" s="48" t="s">
        <v>365</v>
      </c>
    </row>
    <row r="1752" spans="2:4" x14ac:dyDescent="0.15">
      <c r="B1752" s="46" t="s">
        <v>1872</v>
      </c>
      <c r="C1752" s="47">
        <v>3202</v>
      </c>
      <c r="D1752" s="48" t="s">
        <v>365</v>
      </c>
    </row>
    <row r="1753" spans="2:4" x14ac:dyDescent="0.15">
      <c r="B1753" s="46" t="s">
        <v>3276</v>
      </c>
      <c r="C1753" s="47">
        <v>3800</v>
      </c>
      <c r="D1753" s="48" t="s">
        <v>365</v>
      </c>
    </row>
    <row r="1754" spans="2:4" x14ac:dyDescent="0.15">
      <c r="B1754" s="46" t="s">
        <v>3277</v>
      </c>
      <c r="C1754" s="47">
        <v>3801</v>
      </c>
      <c r="D1754" s="48" t="s">
        <v>365</v>
      </c>
    </row>
    <row r="1755" spans="2:4" x14ac:dyDescent="0.15">
      <c r="B1755" s="46" t="s">
        <v>3278</v>
      </c>
      <c r="C1755" s="47">
        <v>3802</v>
      </c>
      <c r="D1755" s="48" t="s">
        <v>365</v>
      </c>
    </row>
    <row r="1756" spans="2:4" x14ac:dyDescent="0.15">
      <c r="B1756" s="46" t="s">
        <v>3279</v>
      </c>
      <c r="C1756" s="47">
        <v>3803</v>
      </c>
      <c r="D1756" s="48" t="s">
        <v>365</v>
      </c>
    </row>
    <row r="1757" spans="2:4" x14ac:dyDescent="0.15">
      <c r="B1757" s="46" t="s">
        <v>3280</v>
      </c>
      <c r="C1757" s="47">
        <v>3804</v>
      </c>
      <c r="D1757" s="48" t="s">
        <v>365</v>
      </c>
    </row>
    <row r="1758" spans="2:4" x14ac:dyDescent="0.15">
      <c r="B1758" s="46" t="s">
        <v>3281</v>
      </c>
      <c r="C1758" s="47">
        <v>3839</v>
      </c>
      <c r="D1758" s="48" t="s">
        <v>365</v>
      </c>
    </row>
    <row r="1759" spans="2:4" x14ac:dyDescent="0.15">
      <c r="B1759" s="46" t="s">
        <v>3282</v>
      </c>
      <c r="C1759" s="47">
        <v>3840</v>
      </c>
      <c r="D1759" s="48" t="s">
        <v>365</v>
      </c>
    </row>
    <row r="1760" spans="2:4" x14ac:dyDescent="0.15">
      <c r="B1760" s="46" t="s">
        <v>3283</v>
      </c>
      <c r="C1760" s="47">
        <v>3841</v>
      </c>
      <c r="D1760" s="48" t="s">
        <v>365</v>
      </c>
    </row>
    <row r="1761" spans="2:4" x14ac:dyDescent="0.15">
      <c r="B1761" s="46" t="s">
        <v>3284</v>
      </c>
      <c r="C1761" s="47">
        <v>3900</v>
      </c>
      <c r="D1761" s="48" t="s">
        <v>365</v>
      </c>
    </row>
    <row r="1762" spans="2:4" x14ac:dyDescent="0.15">
      <c r="B1762" s="46" t="s">
        <v>3285</v>
      </c>
      <c r="C1762" s="47">
        <v>3901</v>
      </c>
      <c r="D1762" s="48" t="s">
        <v>365</v>
      </c>
    </row>
    <row r="1763" spans="2:4" x14ac:dyDescent="0.15">
      <c r="B1763" s="46" t="s">
        <v>3286</v>
      </c>
      <c r="C1763" s="47">
        <v>3902</v>
      </c>
      <c r="D1763" s="48" t="s">
        <v>365</v>
      </c>
    </row>
    <row r="1764" spans="2:4" x14ac:dyDescent="0.15">
      <c r="B1764" s="46" t="s">
        <v>3287</v>
      </c>
      <c r="C1764" s="47">
        <v>4001</v>
      </c>
      <c r="D1764" s="48" t="s">
        <v>365</v>
      </c>
    </row>
    <row r="1765" spans="2:4" x14ac:dyDescent="0.15">
      <c r="B1765" s="46" t="s">
        <v>3288</v>
      </c>
      <c r="C1765" s="47">
        <v>4002</v>
      </c>
      <c r="D1765" s="48" t="s">
        <v>365</v>
      </c>
    </row>
    <row r="1766" spans="2:4" x14ac:dyDescent="0.15">
      <c r="B1766" s="46" t="s">
        <v>3289</v>
      </c>
      <c r="C1766" s="47">
        <v>4003</v>
      </c>
      <c r="D1766" s="48" t="s">
        <v>365</v>
      </c>
    </row>
    <row r="1767" spans="2:4" x14ac:dyDescent="0.15">
      <c r="B1767" s="46" t="s">
        <v>3290</v>
      </c>
      <c r="C1767" s="47">
        <v>4004</v>
      </c>
      <c r="D1767" s="48" t="s">
        <v>365</v>
      </c>
    </row>
    <row r="1768" spans="2:4" x14ac:dyDescent="0.15">
      <c r="B1768" s="46" t="s">
        <v>3291</v>
      </c>
      <c r="C1768" s="47">
        <v>4005</v>
      </c>
      <c r="D1768" s="48" t="s">
        <v>365</v>
      </c>
    </row>
    <row r="1769" spans="2:4" x14ac:dyDescent="0.15">
      <c r="B1769" s="46" t="s">
        <v>3292</v>
      </c>
      <c r="C1769" s="47">
        <v>4006</v>
      </c>
      <c r="D1769" s="48" t="s">
        <v>365</v>
      </c>
    </row>
    <row r="1770" spans="2:4" x14ac:dyDescent="0.15">
      <c r="B1770" s="46" t="s">
        <v>3293</v>
      </c>
      <c r="C1770" s="47">
        <v>4007</v>
      </c>
      <c r="D1770" s="48" t="s">
        <v>365</v>
      </c>
    </row>
    <row r="1771" spans="2:4" x14ac:dyDescent="0.15">
      <c r="B1771" s="46" t="s">
        <v>3294</v>
      </c>
      <c r="C1771" s="47">
        <v>4008</v>
      </c>
      <c r="D1771" s="48" t="s">
        <v>365</v>
      </c>
    </row>
    <row r="1772" spans="2:4" x14ac:dyDescent="0.15">
      <c r="B1772" s="46" t="s">
        <v>3295</v>
      </c>
      <c r="C1772" s="47">
        <v>4009</v>
      </c>
      <c r="D1772" s="48" t="s">
        <v>365</v>
      </c>
    </row>
    <row r="1773" spans="2:4" x14ac:dyDescent="0.15">
      <c r="B1773" s="46" t="s">
        <v>3296</v>
      </c>
      <c r="C1773" s="47">
        <v>4010</v>
      </c>
      <c r="D1773" s="48" t="s">
        <v>365</v>
      </c>
    </row>
    <row r="1774" spans="2:4" x14ac:dyDescent="0.15">
      <c r="B1774" s="46" t="s">
        <v>1679</v>
      </c>
      <c r="C1774" s="47">
        <v>4011</v>
      </c>
      <c r="D1774" s="48" t="s">
        <v>365</v>
      </c>
    </row>
    <row r="1775" spans="2:4" x14ac:dyDescent="0.15">
      <c r="B1775" s="46" t="s">
        <v>3297</v>
      </c>
      <c r="C1775" s="47">
        <v>4012</v>
      </c>
      <c r="D1775" s="48" t="s">
        <v>365</v>
      </c>
    </row>
    <row r="1776" spans="2:4" x14ac:dyDescent="0.15">
      <c r="B1776" s="46" t="s">
        <v>3298</v>
      </c>
      <c r="C1776" s="47">
        <v>4013</v>
      </c>
      <c r="D1776" s="48" t="s">
        <v>365</v>
      </c>
    </row>
    <row r="1777" spans="2:4" x14ac:dyDescent="0.15">
      <c r="B1777" s="46" t="s">
        <v>3299</v>
      </c>
      <c r="C1777" s="47">
        <v>4014</v>
      </c>
      <c r="D1777" s="48" t="s">
        <v>365</v>
      </c>
    </row>
    <row r="1778" spans="2:4" x14ac:dyDescent="0.15">
      <c r="B1778" s="46" t="s">
        <v>3300</v>
      </c>
      <c r="C1778" s="47">
        <v>4015</v>
      </c>
      <c r="D1778" s="48" t="s">
        <v>365</v>
      </c>
    </row>
    <row r="1779" spans="2:4" x14ac:dyDescent="0.15">
      <c r="B1779" s="46" t="s">
        <v>3301</v>
      </c>
      <c r="C1779" s="47">
        <v>4016</v>
      </c>
      <c r="D1779" s="48" t="s">
        <v>365</v>
      </c>
    </row>
    <row r="1780" spans="2:4" x14ac:dyDescent="0.15">
      <c r="B1780" s="46" t="s">
        <v>3302</v>
      </c>
      <c r="C1780" s="47">
        <v>4017</v>
      </c>
      <c r="D1780" s="48" t="s">
        <v>365</v>
      </c>
    </row>
    <row r="1781" spans="2:4" x14ac:dyDescent="0.15">
      <c r="B1781" s="46" t="s">
        <v>3303</v>
      </c>
      <c r="C1781" s="47">
        <v>4018</v>
      </c>
      <c r="D1781" s="48" t="s">
        <v>365</v>
      </c>
    </row>
    <row r="1782" spans="2:4" x14ac:dyDescent="0.15">
      <c r="B1782" s="46" t="s">
        <v>3304</v>
      </c>
      <c r="C1782" s="47">
        <v>4019</v>
      </c>
      <c r="D1782" s="48" t="s">
        <v>365</v>
      </c>
    </row>
    <row r="1783" spans="2:4" x14ac:dyDescent="0.15">
      <c r="B1783" s="46" t="s">
        <v>3305</v>
      </c>
      <c r="C1783" s="47">
        <v>4020</v>
      </c>
      <c r="D1783" s="48" t="s">
        <v>365</v>
      </c>
    </row>
    <row r="1784" spans="2:4" x14ac:dyDescent="0.15">
      <c r="B1784" s="46" t="s">
        <v>3306</v>
      </c>
      <c r="C1784" s="47">
        <v>4021</v>
      </c>
      <c r="D1784" s="48" t="s">
        <v>365</v>
      </c>
    </row>
    <row r="1785" spans="2:4" x14ac:dyDescent="0.15">
      <c r="B1785" s="46" t="s">
        <v>3307</v>
      </c>
      <c r="C1785" s="47">
        <v>4022</v>
      </c>
      <c r="D1785" s="48" t="s">
        <v>365</v>
      </c>
    </row>
    <row r="1786" spans="2:4" x14ac:dyDescent="0.15">
      <c r="B1786" s="46" t="s">
        <v>3308</v>
      </c>
      <c r="C1786" s="47">
        <v>4023</v>
      </c>
      <c r="D1786" s="48" t="s">
        <v>365</v>
      </c>
    </row>
    <row r="1787" spans="2:4" x14ac:dyDescent="0.15">
      <c r="B1787" s="46" t="s">
        <v>3309</v>
      </c>
      <c r="C1787" s="47">
        <v>4024</v>
      </c>
      <c r="D1787" s="48" t="s">
        <v>365</v>
      </c>
    </row>
    <row r="1788" spans="2:4" x14ac:dyDescent="0.15">
      <c r="B1788" s="46" t="s">
        <v>3310</v>
      </c>
      <c r="C1788" s="47">
        <v>4025</v>
      </c>
      <c r="D1788" s="48" t="s">
        <v>365</v>
      </c>
    </row>
    <row r="1789" spans="2:4" x14ac:dyDescent="0.15">
      <c r="B1789" s="46" t="s">
        <v>3311</v>
      </c>
      <c r="C1789" s="47">
        <v>4026</v>
      </c>
      <c r="D1789" s="48" t="s">
        <v>365</v>
      </c>
    </row>
    <row r="1790" spans="2:4" x14ac:dyDescent="0.15">
      <c r="B1790" s="46" t="s">
        <v>3312</v>
      </c>
      <c r="C1790" s="47">
        <v>4027</v>
      </c>
      <c r="D1790" s="48" t="s">
        <v>365</v>
      </c>
    </row>
    <row r="1791" spans="2:4" x14ac:dyDescent="0.15">
      <c r="B1791" s="46" t="s">
        <v>3313</v>
      </c>
      <c r="C1791" s="47">
        <v>4028</v>
      </c>
      <c r="D1791" s="48" t="s">
        <v>365</v>
      </c>
    </row>
    <row r="1792" spans="2:4" x14ac:dyDescent="0.15">
      <c r="B1792" s="46" t="s">
        <v>3314</v>
      </c>
      <c r="C1792" s="47">
        <v>4029</v>
      </c>
      <c r="D1792" s="48" t="s">
        <v>365</v>
      </c>
    </row>
    <row r="1793" spans="2:4" x14ac:dyDescent="0.15">
      <c r="B1793" s="46" t="s">
        <v>3315</v>
      </c>
      <c r="C1793" s="47">
        <v>4030</v>
      </c>
      <c r="D1793" s="48" t="s">
        <v>365</v>
      </c>
    </row>
    <row r="1794" spans="2:4" x14ac:dyDescent="0.15">
      <c r="B1794" s="46" t="s">
        <v>3316</v>
      </c>
      <c r="C1794" s="47">
        <v>4031</v>
      </c>
      <c r="D1794" s="48" t="s">
        <v>365</v>
      </c>
    </row>
    <row r="1795" spans="2:4" x14ac:dyDescent="0.15">
      <c r="B1795" s="46" t="s">
        <v>3317</v>
      </c>
      <c r="C1795" s="47">
        <v>4032</v>
      </c>
      <c r="D1795" s="48" t="s">
        <v>365</v>
      </c>
    </row>
    <row r="1796" spans="2:4" x14ac:dyDescent="0.15">
      <c r="B1796" s="46" t="s">
        <v>3318</v>
      </c>
      <c r="C1796" s="47">
        <v>4033</v>
      </c>
      <c r="D1796" s="48" t="s">
        <v>365</v>
      </c>
    </row>
    <row r="1797" spans="2:4" x14ac:dyDescent="0.15">
      <c r="B1797" s="46" t="s">
        <v>3319</v>
      </c>
      <c r="C1797" s="47">
        <v>4034</v>
      </c>
      <c r="D1797" s="48" t="s">
        <v>365</v>
      </c>
    </row>
    <row r="1798" spans="2:4" x14ac:dyDescent="0.15">
      <c r="B1798" s="46" t="s">
        <v>3320</v>
      </c>
      <c r="C1798" s="47">
        <v>4035</v>
      </c>
      <c r="D1798" s="48" t="s">
        <v>365</v>
      </c>
    </row>
    <row r="1799" spans="2:4" x14ac:dyDescent="0.15">
      <c r="B1799" s="46" t="s">
        <v>3321</v>
      </c>
      <c r="C1799" s="47">
        <v>4036</v>
      </c>
      <c r="D1799" s="48" t="s">
        <v>365</v>
      </c>
    </row>
    <row r="1800" spans="2:4" x14ac:dyDescent="0.15">
      <c r="B1800" s="46" t="s">
        <v>3322</v>
      </c>
      <c r="C1800" s="47">
        <v>4037</v>
      </c>
      <c r="D1800" s="48" t="s">
        <v>365</v>
      </c>
    </row>
    <row r="1801" spans="2:4" x14ac:dyDescent="0.15">
      <c r="B1801" s="46" t="s">
        <v>3323</v>
      </c>
      <c r="C1801" s="47">
        <v>4038</v>
      </c>
      <c r="D1801" s="48" t="s">
        <v>365</v>
      </c>
    </row>
    <row r="1802" spans="2:4" x14ac:dyDescent="0.15">
      <c r="B1802" s="46" t="s">
        <v>3324</v>
      </c>
      <c r="C1802" s="47">
        <v>4039</v>
      </c>
      <c r="D1802" s="48" t="s">
        <v>365</v>
      </c>
    </row>
    <row r="1803" spans="2:4" x14ac:dyDescent="0.15">
      <c r="B1803" s="46" t="s">
        <v>3325</v>
      </c>
      <c r="C1803" s="47">
        <v>4040</v>
      </c>
      <c r="D1803" s="48" t="s">
        <v>365</v>
      </c>
    </row>
    <row r="1804" spans="2:4" x14ac:dyDescent="0.15">
      <c r="B1804" s="46" t="s">
        <v>3326</v>
      </c>
      <c r="C1804" s="47">
        <v>4041</v>
      </c>
      <c r="D1804" s="48" t="s">
        <v>365</v>
      </c>
    </row>
    <row r="1805" spans="2:4" x14ac:dyDescent="0.15">
      <c r="B1805" s="46" t="s">
        <v>3327</v>
      </c>
      <c r="C1805" s="47">
        <v>4042</v>
      </c>
      <c r="D1805" s="48" t="s">
        <v>365</v>
      </c>
    </row>
    <row r="1806" spans="2:4" x14ac:dyDescent="0.15">
      <c r="B1806" s="46" t="s">
        <v>3328</v>
      </c>
      <c r="C1806" s="47">
        <v>4043</v>
      </c>
      <c r="D1806" s="48" t="s">
        <v>365</v>
      </c>
    </row>
    <row r="1807" spans="2:4" x14ac:dyDescent="0.15">
      <c r="B1807" s="46" t="s">
        <v>3329</v>
      </c>
      <c r="C1807" s="47">
        <v>4044</v>
      </c>
      <c r="D1807" s="48" t="s">
        <v>365</v>
      </c>
    </row>
    <row r="1808" spans="2:4" x14ac:dyDescent="0.15">
      <c r="B1808" s="46" t="s">
        <v>3330</v>
      </c>
      <c r="C1808" s="47">
        <v>4045</v>
      </c>
      <c r="D1808" s="48" t="s">
        <v>365</v>
      </c>
    </row>
    <row r="1809" spans="2:4" x14ac:dyDescent="0.15">
      <c r="B1809" s="46" t="s">
        <v>757</v>
      </c>
      <c r="C1809" s="47">
        <v>4046</v>
      </c>
      <c r="D1809" s="48" t="s">
        <v>365</v>
      </c>
    </row>
    <row r="1810" spans="2:4" x14ac:dyDescent="0.15">
      <c r="B1810" s="46" t="s">
        <v>3331</v>
      </c>
      <c r="C1810" s="47">
        <v>4047</v>
      </c>
      <c r="D1810" s="48" t="s">
        <v>365</v>
      </c>
    </row>
    <row r="1811" spans="2:4" x14ac:dyDescent="0.15">
      <c r="B1811" s="46" t="s">
        <v>3332</v>
      </c>
      <c r="C1811" s="47">
        <v>4048</v>
      </c>
      <c r="D1811" s="48" t="s">
        <v>365</v>
      </c>
    </row>
    <row r="1812" spans="2:4" x14ac:dyDescent="0.15">
      <c r="B1812" s="46" t="s">
        <v>3333</v>
      </c>
      <c r="C1812" s="47">
        <v>4049</v>
      </c>
      <c r="D1812" s="48" t="s">
        <v>365</v>
      </c>
    </row>
    <row r="1813" spans="2:4" x14ac:dyDescent="0.15">
      <c r="B1813" s="46" t="s">
        <v>3334</v>
      </c>
      <c r="C1813" s="47">
        <v>4050</v>
      </c>
      <c r="D1813" s="48" t="s">
        <v>365</v>
      </c>
    </row>
    <row r="1814" spans="2:4" x14ac:dyDescent="0.15">
      <c r="B1814" s="46" t="s">
        <v>3335</v>
      </c>
      <c r="C1814" s="47">
        <v>4051</v>
      </c>
      <c r="D1814" s="48" t="s">
        <v>365</v>
      </c>
    </row>
    <row r="1815" spans="2:4" x14ac:dyDescent="0.15">
      <c r="B1815" s="46" t="s">
        <v>3336</v>
      </c>
      <c r="C1815" s="47">
        <v>4052</v>
      </c>
      <c r="D1815" s="48" t="s">
        <v>365</v>
      </c>
    </row>
    <row r="1816" spans="2:4" x14ac:dyDescent="0.15">
      <c r="B1816" s="46" t="s">
        <v>3337</v>
      </c>
      <c r="C1816" s="47">
        <v>4053</v>
      </c>
      <c r="D1816" s="48" t="s">
        <v>365</v>
      </c>
    </row>
    <row r="1817" spans="2:4" x14ac:dyDescent="0.15">
      <c r="B1817" s="46" t="s">
        <v>3338</v>
      </c>
      <c r="C1817" s="47">
        <v>4054</v>
      </c>
      <c r="D1817" s="48" t="s">
        <v>365</v>
      </c>
    </row>
    <row r="1818" spans="2:4" x14ac:dyDescent="0.15">
      <c r="B1818" s="46" t="s">
        <v>3339</v>
      </c>
      <c r="C1818" s="47">
        <v>4055</v>
      </c>
      <c r="D1818" s="48" t="s">
        <v>365</v>
      </c>
    </row>
    <row r="1819" spans="2:4" x14ac:dyDescent="0.15">
      <c r="B1819" s="46" t="s">
        <v>3340</v>
      </c>
      <c r="C1819" s="47">
        <v>4056</v>
      </c>
      <c r="D1819" s="48" t="s">
        <v>365</v>
      </c>
    </row>
    <row r="1820" spans="2:4" x14ac:dyDescent="0.15">
      <c r="B1820" s="46" t="s">
        <v>3341</v>
      </c>
      <c r="C1820" s="47">
        <v>4057</v>
      </c>
      <c r="D1820" s="48" t="s">
        <v>365</v>
      </c>
    </row>
    <row r="1821" spans="2:4" x14ac:dyDescent="0.15">
      <c r="B1821" s="46" t="s">
        <v>3342</v>
      </c>
      <c r="C1821" s="47">
        <v>4058</v>
      </c>
      <c r="D1821" s="48" t="s">
        <v>365</v>
      </c>
    </row>
    <row r="1822" spans="2:4" x14ac:dyDescent="0.15">
      <c r="B1822" s="46" t="s">
        <v>3343</v>
      </c>
      <c r="C1822" s="47">
        <v>4059</v>
      </c>
      <c r="D1822" s="48" t="s">
        <v>365</v>
      </c>
    </row>
    <row r="1823" spans="2:4" x14ac:dyDescent="0.15">
      <c r="B1823" s="46" t="s">
        <v>3344</v>
      </c>
      <c r="C1823" s="47">
        <v>4060</v>
      </c>
      <c r="D1823" s="48" t="s">
        <v>365</v>
      </c>
    </row>
    <row r="1824" spans="2:4" x14ac:dyDescent="0.15">
      <c r="B1824" s="46" t="s">
        <v>3345</v>
      </c>
      <c r="C1824" s="47">
        <v>4061</v>
      </c>
      <c r="D1824" s="48" t="s">
        <v>365</v>
      </c>
    </row>
    <row r="1825" spans="2:4" x14ac:dyDescent="0.15">
      <c r="B1825" s="46" t="s">
        <v>3346</v>
      </c>
      <c r="C1825" s="47">
        <v>4062</v>
      </c>
      <c r="D1825" s="48" t="s">
        <v>365</v>
      </c>
    </row>
    <row r="1826" spans="2:4" x14ac:dyDescent="0.15">
      <c r="B1826" s="46" t="s">
        <v>3347</v>
      </c>
      <c r="C1826" s="47">
        <v>4063</v>
      </c>
      <c r="D1826" s="48" t="s">
        <v>365</v>
      </c>
    </row>
    <row r="1827" spans="2:4" x14ac:dyDescent="0.15">
      <c r="B1827" s="46" t="s">
        <v>3348</v>
      </c>
      <c r="C1827" s="47">
        <v>4064</v>
      </c>
      <c r="D1827" s="48" t="s">
        <v>365</v>
      </c>
    </row>
    <row r="1828" spans="2:4" x14ac:dyDescent="0.15">
      <c r="B1828" s="46" t="s">
        <v>3349</v>
      </c>
      <c r="C1828" s="47">
        <v>4065</v>
      </c>
      <c r="D1828" s="48" t="s">
        <v>365</v>
      </c>
    </row>
    <row r="1829" spans="2:4" x14ac:dyDescent="0.15">
      <c r="B1829" s="46" t="s">
        <v>3350</v>
      </c>
      <c r="C1829" s="47">
        <v>4066</v>
      </c>
      <c r="D1829" s="48" t="s">
        <v>365</v>
      </c>
    </row>
    <row r="1830" spans="2:4" x14ac:dyDescent="0.15">
      <c r="B1830" s="46" t="s">
        <v>3351</v>
      </c>
      <c r="C1830" s="47">
        <v>4068</v>
      </c>
      <c r="D1830" s="48" t="s">
        <v>365</v>
      </c>
    </row>
    <row r="1831" spans="2:4" x14ac:dyDescent="0.15">
      <c r="B1831" s="46" t="s">
        <v>3352</v>
      </c>
      <c r="C1831" s="47">
        <v>4069</v>
      </c>
      <c r="D1831" s="48" t="s">
        <v>365</v>
      </c>
    </row>
    <row r="1832" spans="2:4" x14ac:dyDescent="0.15">
      <c r="B1832" s="46" t="s">
        <v>3353</v>
      </c>
      <c r="C1832" s="47">
        <v>4070</v>
      </c>
      <c r="D1832" s="48" t="s">
        <v>365</v>
      </c>
    </row>
    <row r="1833" spans="2:4" x14ac:dyDescent="0.15">
      <c r="B1833" s="46" t="s">
        <v>3354</v>
      </c>
      <c r="C1833" s="47">
        <v>4071</v>
      </c>
      <c r="D1833" s="48" t="s">
        <v>365</v>
      </c>
    </row>
    <row r="1834" spans="2:4" x14ac:dyDescent="0.15">
      <c r="B1834" s="46" t="s">
        <v>3355</v>
      </c>
      <c r="C1834" s="47">
        <v>4072</v>
      </c>
      <c r="D1834" s="48" t="s">
        <v>365</v>
      </c>
    </row>
    <row r="1835" spans="2:4" x14ac:dyDescent="0.15">
      <c r="B1835" s="46" t="s">
        <v>3356</v>
      </c>
      <c r="C1835" s="47">
        <v>4073</v>
      </c>
      <c r="D1835" s="48" t="s">
        <v>365</v>
      </c>
    </row>
    <row r="1836" spans="2:4" x14ac:dyDescent="0.15">
      <c r="B1836" s="46" t="s">
        <v>3357</v>
      </c>
      <c r="C1836" s="47">
        <v>4074</v>
      </c>
      <c r="D1836" s="48" t="s">
        <v>365</v>
      </c>
    </row>
    <row r="1837" spans="2:4" x14ac:dyDescent="0.15">
      <c r="B1837" s="46" t="s">
        <v>3358</v>
      </c>
      <c r="C1837" s="47">
        <v>4075</v>
      </c>
      <c r="D1837" s="48" t="s">
        <v>365</v>
      </c>
    </row>
    <row r="1838" spans="2:4" x14ac:dyDescent="0.15">
      <c r="B1838" s="46" t="s">
        <v>3359</v>
      </c>
      <c r="C1838" s="47">
        <v>4077</v>
      </c>
      <c r="D1838" s="48" t="s">
        <v>365</v>
      </c>
    </row>
    <row r="1839" spans="2:4" x14ac:dyDescent="0.15">
      <c r="B1839" s="46" t="s">
        <v>3360</v>
      </c>
      <c r="C1839" s="47">
        <v>4078</v>
      </c>
      <c r="D1839" s="48" t="s">
        <v>365</v>
      </c>
    </row>
    <row r="1840" spans="2:4" x14ac:dyDescent="0.15">
      <c r="B1840" s="46" t="s">
        <v>3361</v>
      </c>
      <c r="C1840" s="47">
        <v>4079</v>
      </c>
      <c r="D1840" s="48" t="s">
        <v>365</v>
      </c>
    </row>
    <row r="1841" spans="2:4" x14ac:dyDescent="0.15">
      <c r="B1841" s="46" t="s">
        <v>3362</v>
      </c>
      <c r="C1841" s="47">
        <v>4080</v>
      </c>
      <c r="D1841" s="48" t="s">
        <v>365</v>
      </c>
    </row>
    <row r="1842" spans="2:4" x14ac:dyDescent="0.15">
      <c r="B1842" s="46" t="s">
        <v>3363</v>
      </c>
      <c r="C1842" s="47">
        <v>4081</v>
      </c>
      <c r="D1842" s="48" t="s">
        <v>365</v>
      </c>
    </row>
    <row r="1843" spans="2:4" x14ac:dyDescent="0.15">
      <c r="B1843" s="46" t="s">
        <v>3364</v>
      </c>
      <c r="C1843" s="47">
        <v>4082</v>
      </c>
      <c r="D1843" s="48" t="s">
        <v>365</v>
      </c>
    </row>
    <row r="1844" spans="2:4" x14ac:dyDescent="0.15">
      <c r="B1844" s="46" t="s">
        <v>3365</v>
      </c>
      <c r="C1844" s="47">
        <v>4083</v>
      </c>
      <c r="D1844" s="48" t="s">
        <v>365</v>
      </c>
    </row>
    <row r="1845" spans="2:4" x14ac:dyDescent="0.15">
      <c r="B1845" s="46" t="s">
        <v>3366</v>
      </c>
      <c r="C1845" s="47">
        <v>4084</v>
      </c>
      <c r="D1845" s="48" t="s">
        <v>365</v>
      </c>
    </row>
    <row r="1846" spans="2:4" x14ac:dyDescent="0.15">
      <c r="B1846" s="46" t="s">
        <v>3367</v>
      </c>
      <c r="C1846" s="47">
        <v>4086</v>
      </c>
      <c r="D1846" s="48" t="s">
        <v>365</v>
      </c>
    </row>
    <row r="1847" spans="2:4" x14ac:dyDescent="0.15">
      <c r="B1847" s="46" t="s">
        <v>3368</v>
      </c>
      <c r="C1847" s="47">
        <v>4087</v>
      </c>
      <c r="D1847" s="48" t="s">
        <v>365</v>
      </c>
    </row>
    <row r="1848" spans="2:4" x14ac:dyDescent="0.15">
      <c r="B1848" s="46" t="s">
        <v>3369</v>
      </c>
      <c r="C1848" s="47">
        <v>4088</v>
      </c>
      <c r="D1848" s="48" t="s">
        <v>365</v>
      </c>
    </row>
    <row r="1849" spans="2:4" x14ac:dyDescent="0.15">
      <c r="B1849" s="46" t="s">
        <v>3370</v>
      </c>
      <c r="C1849" s="47">
        <v>4089</v>
      </c>
      <c r="D1849" s="48" t="s">
        <v>365</v>
      </c>
    </row>
    <row r="1850" spans="2:4" x14ac:dyDescent="0.15">
      <c r="B1850" s="46" t="s">
        <v>3371</v>
      </c>
      <c r="C1850" s="47">
        <v>4090</v>
      </c>
      <c r="D1850" s="48" t="s">
        <v>365</v>
      </c>
    </row>
    <row r="1851" spans="2:4" x14ac:dyDescent="0.15">
      <c r="B1851" s="46" t="s">
        <v>3372</v>
      </c>
      <c r="C1851" s="47">
        <v>4091</v>
      </c>
      <c r="D1851" s="48" t="s">
        <v>365</v>
      </c>
    </row>
    <row r="1852" spans="2:4" x14ac:dyDescent="0.15">
      <c r="B1852" s="46" t="s">
        <v>3373</v>
      </c>
      <c r="C1852" s="47">
        <v>4092</v>
      </c>
      <c r="D1852" s="48" t="s">
        <v>365</v>
      </c>
    </row>
    <row r="1853" spans="2:4" x14ac:dyDescent="0.15">
      <c r="B1853" s="46" t="s">
        <v>3374</v>
      </c>
      <c r="C1853" s="47">
        <v>4093</v>
      </c>
      <c r="D1853" s="48" t="s">
        <v>365</v>
      </c>
    </row>
    <row r="1854" spans="2:4" x14ac:dyDescent="0.15">
      <c r="B1854" s="46" t="s">
        <v>3375</v>
      </c>
      <c r="C1854" s="47">
        <v>4094</v>
      </c>
      <c r="D1854" s="48" t="s">
        <v>365</v>
      </c>
    </row>
    <row r="1855" spans="2:4" x14ac:dyDescent="0.15">
      <c r="B1855" s="46" t="s">
        <v>3376</v>
      </c>
      <c r="C1855" s="47">
        <v>4095</v>
      </c>
      <c r="D1855" s="48" t="s">
        <v>365</v>
      </c>
    </row>
    <row r="1856" spans="2:4" x14ac:dyDescent="0.15">
      <c r="B1856" s="46" t="s">
        <v>3377</v>
      </c>
      <c r="C1856" s="47">
        <v>4096</v>
      </c>
      <c r="D1856" s="48" t="s">
        <v>365</v>
      </c>
    </row>
    <row r="1857" spans="2:4" x14ac:dyDescent="0.15">
      <c r="B1857" s="46" t="s">
        <v>3378</v>
      </c>
      <c r="C1857" s="47">
        <v>4097</v>
      </c>
      <c r="D1857" s="48" t="s">
        <v>365</v>
      </c>
    </row>
    <row r="1858" spans="2:4" x14ac:dyDescent="0.15">
      <c r="B1858" s="46" t="s">
        <v>3379</v>
      </c>
      <c r="C1858" s="47">
        <v>4098</v>
      </c>
      <c r="D1858" s="48" t="s">
        <v>365</v>
      </c>
    </row>
    <row r="1859" spans="2:4" x14ac:dyDescent="0.15">
      <c r="B1859" s="46" t="s">
        <v>1794</v>
      </c>
      <c r="C1859" s="47">
        <v>4099</v>
      </c>
      <c r="D1859" s="48" t="s">
        <v>365</v>
      </c>
    </row>
    <row r="1860" spans="2:4" x14ac:dyDescent="0.15">
      <c r="B1860" s="46" t="s">
        <v>3380</v>
      </c>
      <c r="C1860" s="47">
        <v>4100</v>
      </c>
      <c r="D1860" s="48" t="s">
        <v>365</v>
      </c>
    </row>
    <row r="1861" spans="2:4" x14ac:dyDescent="0.15">
      <c r="B1861" s="46" t="s">
        <v>3381</v>
      </c>
      <c r="C1861" s="47">
        <v>4101</v>
      </c>
      <c r="D1861" s="48" t="s">
        <v>365</v>
      </c>
    </row>
    <row r="1862" spans="2:4" x14ac:dyDescent="0.15">
      <c r="B1862" s="46" t="s">
        <v>3382</v>
      </c>
      <c r="C1862" s="47">
        <v>4102</v>
      </c>
      <c r="D1862" s="48" t="s">
        <v>365</v>
      </c>
    </row>
    <row r="1863" spans="2:4" x14ac:dyDescent="0.15">
      <c r="B1863" s="46" t="s">
        <v>3383</v>
      </c>
      <c r="C1863" s="47">
        <v>4103</v>
      </c>
      <c r="D1863" s="48" t="s">
        <v>365</v>
      </c>
    </row>
    <row r="1864" spans="2:4" x14ac:dyDescent="0.15">
      <c r="B1864" s="46" t="s">
        <v>3384</v>
      </c>
      <c r="C1864" s="47">
        <v>4104</v>
      </c>
      <c r="D1864" s="48" t="s">
        <v>365</v>
      </c>
    </row>
    <row r="1865" spans="2:4" x14ac:dyDescent="0.15">
      <c r="B1865" s="46" t="s">
        <v>3385</v>
      </c>
      <c r="C1865" s="47">
        <v>4105</v>
      </c>
      <c r="D1865" s="48" t="s">
        <v>365</v>
      </c>
    </row>
    <row r="1866" spans="2:4" x14ac:dyDescent="0.15">
      <c r="B1866" s="46" t="s">
        <v>3386</v>
      </c>
      <c r="C1866" s="47">
        <v>4106</v>
      </c>
      <c r="D1866" s="48" t="s">
        <v>365</v>
      </c>
    </row>
    <row r="1867" spans="2:4" x14ac:dyDescent="0.15">
      <c r="B1867" s="46" t="s">
        <v>1831</v>
      </c>
      <c r="C1867" s="47">
        <v>4107</v>
      </c>
      <c r="D1867" s="48" t="s">
        <v>365</v>
      </c>
    </row>
    <row r="1868" spans="2:4" x14ac:dyDescent="0.15">
      <c r="B1868" s="46" t="s">
        <v>3387</v>
      </c>
      <c r="C1868" s="47">
        <v>4108</v>
      </c>
      <c r="D1868" s="48" t="s">
        <v>365</v>
      </c>
    </row>
    <row r="1869" spans="2:4" x14ac:dyDescent="0.15">
      <c r="B1869" s="46" t="s">
        <v>3388</v>
      </c>
      <c r="C1869" s="47">
        <v>4109</v>
      </c>
      <c r="D1869" s="48" t="s">
        <v>365</v>
      </c>
    </row>
    <row r="1870" spans="2:4" x14ac:dyDescent="0.15">
      <c r="B1870" s="46" t="s">
        <v>3389</v>
      </c>
      <c r="C1870" s="47">
        <v>4110</v>
      </c>
      <c r="D1870" s="48" t="s">
        <v>365</v>
      </c>
    </row>
    <row r="1871" spans="2:4" x14ac:dyDescent="0.15">
      <c r="B1871" s="46" t="s">
        <v>3390</v>
      </c>
      <c r="C1871" s="47">
        <v>4111</v>
      </c>
      <c r="D1871" s="48" t="s">
        <v>365</v>
      </c>
    </row>
    <row r="1872" spans="2:4" x14ac:dyDescent="0.15">
      <c r="B1872" s="46" t="s">
        <v>3391</v>
      </c>
      <c r="C1872" s="47">
        <v>4112</v>
      </c>
      <c r="D1872" s="48" t="s">
        <v>365</v>
      </c>
    </row>
    <row r="1873" spans="2:4" x14ac:dyDescent="0.15">
      <c r="B1873" s="46" t="s">
        <v>3392</v>
      </c>
      <c r="C1873" s="47">
        <v>4113</v>
      </c>
      <c r="D1873" s="48" t="s">
        <v>365</v>
      </c>
    </row>
    <row r="1874" spans="2:4" x14ac:dyDescent="0.15">
      <c r="B1874" s="46" t="s">
        <v>3393</v>
      </c>
      <c r="C1874" s="47">
        <v>4114</v>
      </c>
      <c r="D1874" s="48" t="s">
        <v>365</v>
      </c>
    </row>
    <row r="1875" spans="2:4" x14ac:dyDescent="0.15">
      <c r="B1875" s="46" t="s">
        <v>3394</v>
      </c>
      <c r="C1875" s="47">
        <v>4115</v>
      </c>
      <c r="D1875" s="48" t="s">
        <v>365</v>
      </c>
    </row>
    <row r="1876" spans="2:4" x14ac:dyDescent="0.15">
      <c r="B1876" s="46" t="s">
        <v>3395</v>
      </c>
      <c r="C1876" s="47">
        <v>4116</v>
      </c>
      <c r="D1876" s="48" t="s">
        <v>365</v>
      </c>
    </row>
    <row r="1877" spans="2:4" x14ac:dyDescent="0.15">
      <c r="B1877" s="46" t="s">
        <v>3396</v>
      </c>
      <c r="C1877" s="47">
        <v>4117</v>
      </c>
      <c r="D1877" s="48" t="s">
        <v>365</v>
      </c>
    </row>
    <row r="1878" spans="2:4" x14ac:dyDescent="0.15">
      <c r="B1878" s="46" t="s">
        <v>3397</v>
      </c>
      <c r="C1878" s="47">
        <v>4118</v>
      </c>
      <c r="D1878" s="48" t="s">
        <v>365</v>
      </c>
    </row>
    <row r="1879" spans="2:4" x14ac:dyDescent="0.15">
      <c r="B1879" s="46" t="s">
        <v>3398</v>
      </c>
      <c r="C1879" s="47">
        <v>4119</v>
      </c>
      <c r="D1879" s="48" t="s">
        <v>365</v>
      </c>
    </row>
    <row r="1880" spans="2:4" x14ac:dyDescent="0.15">
      <c r="B1880" s="46" t="s">
        <v>3399</v>
      </c>
      <c r="C1880" s="47">
        <v>4120</v>
      </c>
      <c r="D1880" s="48" t="s">
        <v>365</v>
      </c>
    </row>
    <row r="1881" spans="2:4" x14ac:dyDescent="0.15">
      <c r="B1881" s="46" t="s">
        <v>3400</v>
      </c>
      <c r="C1881" s="47">
        <v>4121</v>
      </c>
      <c r="D1881" s="48" t="s">
        <v>365</v>
      </c>
    </row>
    <row r="1882" spans="2:4" x14ac:dyDescent="0.15">
      <c r="B1882" s="46" t="s">
        <v>3401</v>
      </c>
      <c r="C1882" s="47">
        <v>4122</v>
      </c>
      <c r="D1882" s="48" t="s">
        <v>365</v>
      </c>
    </row>
    <row r="1883" spans="2:4" x14ac:dyDescent="0.15">
      <c r="B1883" s="46" t="s">
        <v>3402</v>
      </c>
      <c r="C1883" s="47">
        <v>4123</v>
      </c>
      <c r="D1883" s="48" t="s">
        <v>365</v>
      </c>
    </row>
    <row r="1884" spans="2:4" x14ac:dyDescent="0.15">
      <c r="B1884" s="46" t="s">
        <v>3403</v>
      </c>
      <c r="C1884" s="47">
        <v>4124</v>
      </c>
      <c r="D1884" s="48" t="s">
        <v>365</v>
      </c>
    </row>
    <row r="1885" spans="2:4" x14ac:dyDescent="0.15">
      <c r="B1885" s="46" t="s">
        <v>3404</v>
      </c>
      <c r="C1885" s="47">
        <v>4125</v>
      </c>
      <c r="D1885" s="48" t="s">
        <v>365</v>
      </c>
    </row>
    <row r="1886" spans="2:4" x14ac:dyDescent="0.15">
      <c r="B1886" s="46" t="s">
        <v>3405</v>
      </c>
      <c r="C1886" s="47">
        <v>4126</v>
      </c>
      <c r="D1886" s="48" t="s">
        <v>365</v>
      </c>
    </row>
    <row r="1887" spans="2:4" x14ac:dyDescent="0.15">
      <c r="B1887" s="46" t="s">
        <v>3406</v>
      </c>
      <c r="C1887" s="47">
        <v>4127</v>
      </c>
      <c r="D1887" s="48" t="s">
        <v>365</v>
      </c>
    </row>
    <row r="1888" spans="2:4" x14ac:dyDescent="0.15">
      <c r="B1888" s="46" t="s">
        <v>3407</v>
      </c>
      <c r="C1888" s="47">
        <v>4128</v>
      </c>
      <c r="D1888" s="48" t="s">
        <v>365</v>
      </c>
    </row>
    <row r="1889" spans="2:4" x14ac:dyDescent="0.15">
      <c r="B1889" s="46" t="s">
        <v>3408</v>
      </c>
      <c r="C1889" s="47">
        <v>4129</v>
      </c>
      <c r="D1889" s="48" t="s">
        <v>365</v>
      </c>
    </row>
    <row r="1890" spans="2:4" x14ac:dyDescent="0.15">
      <c r="B1890" s="46" t="s">
        <v>3409</v>
      </c>
      <c r="C1890" s="47">
        <v>4130</v>
      </c>
      <c r="D1890" s="48" t="s">
        <v>365</v>
      </c>
    </row>
    <row r="1891" spans="2:4" x14ac:dyDescent="0.15">
      <c r="B1891" s="46" t="s">
        <v>3410</v>
      </c>
      <c r="C1891" s="47">
        <v>4131</v>
      </c>
      <c r="D1891" s="48" t="s">
        <v>365</v>
      </c>
    </row>
    <row r="1892" spans="2:4" x14ac:dyDescent="0.15">
      <c r="B1892" s="46" t="s">
        <v>3411</v>
      </c>
      <c r="C1892" s="47">
        <v>4132</v>
      </c>
      <c r="D1892" s="48" t="s">
        <v>365</v>
      </c>
    </row>
    <row r="1893" spans="2:4" x14ac:dyDescent="0.15">
      <c r="B1893" s="46" t="s">
        <v>3412</v>
      </c>
      <c r="C1893" s="47">
        <v>4133</v>
      </c>
      <c r="D1893" s="48" t="s">
        <v>365</v>
      </c>
    </row>
    <row r="1894" spans="2:4" x14ac:dyDescent="0.15">
      <c r="B1894" s="46" t="s">
        <v>3413</v>
      </c>
      <c r="C1894" s="47">
        <v>4134</v>
      </c>
      <c r="D1894" s="48" t="s">
        <v>365</v>
      </c>
    </row>
    <row r="1895" spans="2:4" x14ac:dyDescent="0.15">
      <c r="B1895" s="46" t="s">
        <v>3414</v>
      </c>
      <c r="C1895" s="47">
        <v>4135</v>
      </c>
      <c r="D1895" s="48" t="s">
        <v>365</v>
      </c>
    </row>
    <row r="1896" spans="2:4" x14ac:dyDescent="0.15">
      <c r="B1896" s="46" t="s">
        <v>1814</v>
      </c>
      <c r="C1896" s="47">
        <v>4136</v>
      </c>
      <c r="D1896" s="48" t="s">
        <v>365</v>
      </c>
    </row>
    <row r="1897" spans="2:4" x14ac:dyDescent="0.15">
      <c r="B1897" s="46" t="s">
        <v>3415</v>
      </c>
      <c r="C1897" s="47">
        <v>4137</v>
      </c>
      <c r="D1897" s="48" t="s">
        <v>365</v>
      </c>
    </row>
    <row r="1898" spans="2:4" x14ac:dyDescent="0.15">
      <c r="B1898" s="46" t="s">
        <v>3416</v>
      </c>
      <c r="C1898" s="47">
        <v>4138</v>
      </c>
      <c r="D1898" s="48" t="s">
        <v>365</v>
      </c>
    </row>
    <row r="1899" spans="2:4" x14ac:dyDescent="0.15">
      <c r="B1899" s="46" t="s">
        <v>3417</v>
      </c>
      <c r="C1899" s="47">
        <v>4139</v>
      </c>
      <c r="D1899" s="48" t="s">
        <v>365</v>
      </c>
    </row>
    <row r="1900" spans="2:4" x14ac:dyDescent="0.15">
      <c r="B1900" s="46" t="s">
        <v>3418</v>
      </c>
      <c r="C1900" s="47">
        <v>4140</v>
      </c>
      <c r="D1900" s="48" t="s">
        <v>365</v>
      </c>
    </row>
    <row r="1901" spans="2:4" x14ac:dyDescent="0.15">
      <c r="B1901" s="46" t="s">
        <v>3419</v>
      </c>
      <c r="C1901" s="47">
        <v>4141</v>
      </c>
      <c r="D1901" s="48" t="s">
        <v>365</v>
      </c>
    </row>
    <row r="1902" spans="2:4" x14ac:dyDescent="0.15">
      <c r="B1902" s="46" t="s">
        <v>3420</v>
      </c>
      <c r="C1902" s="47">
        <v>4142</v>
      </c>
      <c r="D1902" s="48" t="s">
        <v>365</v>
      </c>
    </row>
    <row r="1903" spans="2:4" x14ac:dyDescent="0.15">
      <c r="B1903" s="46" t="s">
        <v>3421</v>
      </c>
      <c r="C1903" s="47">
        <v>4143</v>
      </c>
      <c r="D1903" s="48" t="s">
        <v>365</v>
      </c>
    </row>
    <row r="1904" spans="2:4" x14ac:dyDescent="0.15">
      <c r="B1904" s="46" t="s">
        <v>3422</v>
      </c>
      <c r="C1904" s="47">
        <v>4144</v>
      </c>
      <c r="D1904" s="48" t="s">
        <v>365</v>
      </c>
    </row>
    <row r="1905" spans="2:4" x14ac:dyDescent="0.15">
      <c r="B1905" s="46" t="s">
        <v>3423</v>
      </c>
      <c r="C1905" s="47">
        <v>4145</v>
      </c>
      <c r="D1905" s="48" t="s">
        <v>365</v>
      </c>
    </row>
    <row r="1906" spans="2:4" x14ac:dyDescent="0.15">
      <c r="B1906" s="46" t="s">
        <v>1759</v>
      </c>
      <c r="C1906" s="47">
        <v>4146</v>
      </c>
      <c r="D1906" s="48" t="s">
        <v>365</v>
      </c>
    </row>
    <row r="1907" spans="2:4" x14ac:dyDescent="0.15">
      <c r="B1907" s="46" t="s">
        <v>3424</v>
      </c>
      <c r="C1907" s="47">
        <v>4147</v>
      </c>
      <c r="D1907" s="48" t="s">
        <v>365</v>
      </c>
    </row>
    <row r="1908" spans="2:4" x14ac:dyDescent="0.15">
      <c r="B1908" s="46" t="s">
        <v>3425</v>
      </c>
      <c r="C1908" s="47">
        <v>4148</v>
      </c>
      <c r="D1908" s="48" t="s">
        <v>365</v>
      </c>
    </row>
    <row r="1909" spans="2:4" x14ac:dyDescent="0.15">
      <c r="B1909" s="46" t="s">
        <v>3426</v>
      </c>
      <c r="C1909" s="47">
        <v>4149</v>
      </c>
      <c r="D1909" s="48" t="s">
        <v>365</v>
      </c>
    </row>
    <row r="1910" spans="2:4" x14ac:dyDescent="0.15">
      <c r="B1910" s="46" t="s">
        <v>3427</v>
      </c>
      <c r="C1910" s="47">
        <v>4150</v>
      </c>
      <c r="D1910" s="48" t="s">
        <v>365</v>
      </c>
    </row>
    <row r="1911" spans="2:4" x14ac:dyDescent="0.15">
      <c r="B1911" s="46" t="s">
        <v>3428</v>
      </c>
      <c r="C1911" s="47">
        <v>4151</v>
      </c>
      <c r="D1911" s="48" t="s">
        <v>365</v>
      </c>
    </row>
    <row r="1912" spans="2:4" x14ac:dyDescent="0.15">
      <c r="B1912" s="46" t="s">
        <v>3429</v>
      </c>
      <c r="C1912" s="47">
        <v>4152</v>
      </c>
      <c r="D1912" s="48" t="s">
        <v>365</v>
      </c>
    </row>
    <row r="1913" spans="2:4" x14ac:dyDescent="0.15">
      <c r="B1913" s="46" t="s">
        <v>3430</v>
      </c>
      <c r="C1913" s="47">
        <v>4153</v>
      </c>
      <c r="D1913" s="48" t="s">
        <v>365</v>
      </c>
    </row>
    <row r="1914" spans="2:4" x14ac:dyDescent="0.15">
      <c r="B1914" s="46" t="s">
        <v>3431</v>
      </c>
      <c r="C1914" s="47">
        <v>4154</v>
      </c>
      <c r="D1914" s="48" t="s">
        <v>365</v>
      </c>
    </row>
    <row r="1915" spans="2:4" x14ac:dyDescent="0.15">
      <c r="B1915" s="46" t="s">
        <v>3432</v>
      </c>
      <c r="C1915" s="47">
        <v>4155</v>
      </c>
      <c r="D1915" s="48" t="s">
        <v>365</v>
      </c>
    </row>
    <row r="1916" spans="2:4" x14ac:dyDescent="0.15">
      <c r="B1916" s="46" t="s">
        <v>3433</v>
      </c>
      <c r="C1916" s="47">
        <v>4156</v>
      </c>
      <c r="D1916" s="48" t="s">
        <v>365</v>
      </c>
    </row>
    <row r="1917" spans="2:4" x14ac:dyDescent="0.15">
      <c r="B1917" s="46" t="s">
        <v>3434</v>
      </c>
      <c r="C1917" s="47">
        <v>4157</v>
      </c>
      <c r="D1917" s="48" t="s">
        <v>365</v>
      </c>
    </row>
    <row r="1918" spans="2:4" x14ac:dyDescent="0.15">
      <c r="B1918" s="46" t="s">
        <v>3435</v>
      </c>
      <c r="C1918" s="47">
        <v>4158</v>
      </c>
      <c r="D1918" s="48" t="s">
        <v>365</v>
      </c>
    </row>
    <row r="1919" spans="2:4" x14ac:dyDescent="0.15">
      <c r="B1919" s="46" t="s">
        <v>3436</v>
      </c>
      <c r="C1919" s="47">
        <v>4159</v>
      </c>
      <c r="D1919" s="48" t="s">
        <v>365</v>
      </c>
    </row>
    <row r="1920" spans="2:4" x14ac:dyDescent="0.15">
      <c r="B1920" s="46" t="s">
        <v>3437</v>
      </c>
      <c r="C1920" s="47">
        <v>4160</v>
      </c>
      <c r="D1920" s="48" t="s">
        <v>365</v>
      </c>
    </row>
    <row r="1921" spans="2:4" x14ac:dyDescent="0.15">
      <c r="B1921" s="46" t="s">
        <v>3438</v>
      </c>
      <c r="C1921" s="47">
        <v>4161</v>
      </c>
      <c r="D1921" s="48" t="s">
        <v>365</v>
      </c>
    </row>
    <row r="1922" spans="2:4" x14ac:dyDescent="0.15">
      <c r="B1922" s="46" t="s">
        <v>3439</v>
      </c>
      <c r="C1922" s="47">
        <v>4162</v>
      </c>
      <c r="D1922" s="48" t="s">
        <v>365</v>
      </c>
    </row>
    <row r="1923" spans="2:4" x14ac:dyDescent="0.15">
      <c r="B1923" s="46" t="s">
        <v>3440</v>
      </c>
      <c r="C1923" s="47">
        <v>4163</v>
      </c>
      <c r="D1923" s="48" t="s">
        <v>365</v>
      </c>
    </row>
    <row r="1924" spans="2:4" x14ac:dyDescent="0.15">
      <c r="B1924" s="46" t="s">
        <v>3441</v>
      </c>
      <c r="C1924" s="47">
        <v>4164</v>
      </c>
      <c r="D1924" s="48" t="s">
        <v>365</v>
      </c>
    </row>
    <row r="1925" spans="2:4" x14ac:dyDescent="0.15">
      <c r="B1925" s="46" t="s">
        <v>3442</v>
      </c>
      <c r="C1925" s="47">
        <v>4165</v>
      </c>
      <c r="D1925" s="48" t="s">
        <v>365</v>
      </c>
    </row>
    <row r="1926" spans="2:4" x14ac:dyDescent="0.15">
      <c r="B1926" s="46" t="s">
        <v>3443</v>
      </c>
      <c r="C1926" s="47">
        <v>4166</v>
      </c>
      <c r="D1926" s="48" t="s">
        <v>365</v>
      </c>
    </row>
    <row r="1927" spans="2:4" x14ac:dyDescent="0.15">
      <c r="B1927" s="46" t="s">
        <v>3444</v>
      </c>
      <c r="C1927" s="47">
        <v>4167</v>
      </c>
      <c r="D1927" s="48" t="s">
        <v>365</v>
      </c>
    </row>
    <row r="1928" spans="2:4" x14ac:dyDescent="0.15">
      <c r="B1928" s="46" t="s">
        <v>3445</v>
      </c>
      <c r="C1928" s="47">
        <v>4168</v>
      </c>
      <c r="D1928" s="48" t="s">
        <v>365</v>
      </c>
    </row>
    <row r="1929" spans="2:4" x14ac:dyDescent="0.15">
      <c r="B1929" s="46" t="s">
        <v>3446</v>
      </c>
      <c r="C1929" s="47">
        <v>4169</v>
      </c>
      <c r="D1929" s="48" t="s">
        <v>365</v>
      </c>
    </row>
    <row r="1930" spans="2:4" x14ac:dyDescent="0.15">
      <c r="B1930" s="46" t="s">
        <v>3447</v>
      </c>
      <c r="C1930" s="47">
        <v>4170</v>
      </c>
      <c r="D1930" s="48" t="s">
        <v>365</v>
      </c>
    </row>
    <row r="1931" spans="2:4" x14ac:dyDescent="0.15">
      <c r="B1931" s="46" t="s">
        <v>3448</v>
      </c>
      <c r="C1931" s="47">
        <v>4171</v>
      </c>
      <c r="D1931" s="48" t="s">
        <v>365</v>
      </c>
    </row>
    <row r="1932" spans="2:4" x14ac:dyDescent="0.15">
      <c r="B1932" s="46" t="s">
        <v>1856</v>
      </c>
      <c r="C1932" s="47">
        <v>4172</v>
      </c>
      <c r="D1932" s="48" t="s">
        <v>365</v>
      </c>
    </row>
    <row r="1933" spans="2:4" x14ac:dyDescent="0.15">
      <c r="B1933" s="46" t="s">
        <v>1232</v>
      </c>
      <c r="C1933" s="47">
        <v>4173</v>
      </c>
      <c r="D1933" s="48" t="s">
        <v>365</v>
      </c>
    </row>
    <row r="1934" spans="2:4" x14ac:dyDescent="0.15">
      <c r="B1934" s="46" t="s">
        <v>3449</v>
      </c>
      <c r="C1934" s="47">
        <v>4174</v>
      </c>
      <c r="D1934" s="48" t="s">
        <v>365</v>
      </c>
    </row>
    <row r="1935" spans="2:4" x14ac:dyDescent="0.15">
      <c r="B1935" s="46" t="s">
        <v>3450</v>
      </c>
      <c r="C1935" s="47">
        <v>4175</v>
      </c>
      <c r="D1935" s="48" t="s">
        <v>365</v>
      </c>
    </row>
    <row r="1936" spans="2:4" x14ac:dyDescent="0.15">
      <c r="B1936" s="46" t="s">
        <v>1014</v>
      </c>
      <c r="C1936" s="47">
        <v>4176</v>
      </c>
      <c r="D1936" s="48" t="s">
        <v>365</v>
      </c>
    </row>
    <row r="1937" spans="2:4" x14ac:dyDescent="0.15">
      <c r="B1937" s="46" t="s">
        <v>3451</v>
      </c>
      <c r="C1937" s="47">
        <v>4177</v>
      </c>
      <c r="D1937" s="48" t="s">
        <v>365</v>
      </c>
    </row>
    <row r="1938" spans="2:4" x14ac:dyDescent="0.15">
      <c r="B1938" s="46" t="s">
        <v>3452</v>
      </c>
      <c r="C1938" s="47">
        <v>4178</v>
      </c>
      <c r="D1938" s="48" t="s">
        <v>365</v>
      </c>
    </row>
    <row r="1939" spans="2:4" x14ac:dyDescent="0.15">
      <c r="B1939" s="46" t="s">
        <v>3453</v>
      </c>
      <c r="C1939" s="47">
        <v>4179</v>
      </c>
      <c r="D1939" s="48" t="s">
        <v>365</v>
      </c>
    </row>
    <row r="1940" spans="2:4" x14ac:dyDescent="0.15">
      <c r="B1940" s="46" t="s">
        <v>3454</v>
      </c>
      <c r="C1940" s="47">
        <v>4180</v>
      </c>
      <c r="D1940" s="48" t="s">
        <v>365</v>
      </c>
    </row>
    <row r="1941" spans="2:4" x14ac:dyDescent="0.15">
      <c r="B1941" s="46" t="s">
        <v>3455</v>
      </c>
      <c r="C1941" s="47">
        <v>4181</v>
      </c>
      <c r="D1941" s="48" t="s">
        <v>365</v>
      </c>
    </row>
    <row r="1942" spans="2:4" x14ac:dyDescent="0.15">
      <c r="B1942" s="46" t="s">
        <v>3456</v>
      </c>
      <c r="C1942" s="47">
        <v>4182</v>
      </c>
      <c r="D1942" s="48" t="s">
        <v>365</v>
      </c>
    </row>
    <row r="1943" spans="2:4" x14ac:dyDescent="0.15">
      <c r="B1943" s="46" t="s">
        <v>3457</v>
      </c>
      <c r="C1943" s="47">
        <v>4183</v>
      </c>
      <c r="D1943" s="48" t="s">
        <v>365</v>
      </c>
    </row>
    <row r="1944" spans="2:4" x14ac:dyDescent="0.15">
      <c r="B1944" s="46" t="s">
        <v>3458</v>
      </c>
      <c r="C1944" s="47">
        <v>4184</v>
      </c>
      <c r="D1944" s="48" t="s">
        <v>365</v>
      </c>
    </row>
    <row r="1945" spans="2:4" x14ac:dyDescent="0.15">
      <c r="B1945" s="46" t="s">
        <v>3459</v>
      </c>
      <c r="C1945" s="47">
        <v>4185</v>
      </c>
      <c r="D1945" s="48" t="s">
        <v>365</v>
      </c>
    </row>
    <row r="1946" spans="2:4" x14ac:dyDescent="0.15">
      <c r="B1946" s="46" t="s">
        <v>3460</v>
      </c>
      <c r="C1946" s="47">
        <v>4186</v>
      </c>
      <c r="D1946" s="48" t="s">
        <v>365</v>
      </c>
    </row>
    <row r="1947" spans="2:4" x14ac:dyDescent="0.15">
      <c r="B1947" s="46" t="s">
        <v>3461</v>
      </c>
      <c r="C1947" s="47">
        <v>4187</v>
      </c>
      <c r="D1947" s="48" t="s">
        <v>365</v>
      </c>
    </row>
    <row r="1948" spans="2:4" x14ac:dyDescent="0.15">
      <c r="B1948" s="46" t="s">
        <v>3462</v>
      </c>
      <c r="C1948" s="47">
        <v>4188</v>
      </c>
      <c r="D1948" s="48" t="s">
        <v>365</v>
      </c>
    </row>
    <row r="1949" spans="2:4" x14ac:dyDescent="0.15">
      <c r="B1949" s="46" t="s">
        <v>3463</v>
      </c>
      <c r="C1949" s="47">
        <v>4189</v>
      </c>
      <c r="D1949" s="48" t="s">
        <v>365</v>
      </c>
    </row>
    <row r="1950" spans="2:4" x14ac:dyDescent="0.15">
      <c r="B1950" s="46" t="s">
        <v>3464</v>
      </c>
      <c r="C1950" s="47">
        <v>4190</v>
      </c>
      <c r="D1950" s="48" t="s">
        <v>365</v>
      </c>
    </row>
    <row r="1951" spans="2:4" x14ac:dyDescent="0.15">
      <c r="B1951" s="46" t="s">
        <v>3465</v>
      </c>
      <c r="C1951" s="47">
        <v>4191</v>
      </c>
      <c r="D1951" s="48" t="s">
        <v>365</v>
      </c>
    </row>
    <row r="1952" spans="2:4" x14ac:dyDescent="0.15">
      <c r="B1952" s="46" t="s">
        <v>3466</v>
      </c>
      <c r="C1952" s="47">
        <v>4192</v>
      </c>
      <c r="D1952" s="48" t="s">
        <v>365</v>
      </c>
    </row>
    <row r="1953" spans="2:4" x14ac:dyDescent="0.15">
      <c r="B1953" s="46" t="s">
        <v>3467</v>
      </c>
      <c r="C1953" s="47">
        <v>4193</v>
      </c>
      <c r="D1953" s="48" t="s">
        <v>365</v>
      </c>
    </row>
    <row r="1954" spans="2:4" x14ac:dyDescent="0.15">
      <c r="B1954" s="46" t="s">
        <v>1627</v>
      </c>
      <c r="C1954" s="47">
        <v>4194</v>
      </c>
      <c r="D1954" s="48" t="s">
        <v>365</v>
      </c>
    </row>
    <row r="1955" spans="2:4" x14ac:dyDescent="0.15">
      <c r="B1955" s="46" t="s">
        <v>3468</v>
      </c>
      <c r="C1955" s="47">
        <v>4195</v>
      </c>
      <c r="D1955" s="48" t="s">
        <v>365</v>
      </c>
    </row>
    <row r="1956" spans="2:4" x14ac:dyDescent="0.15">
      <c r="B1956" s="46" t="s">
        <v>3469</v>
      </c>
      <c r="C1956" s="47">
        <v>4196</v>
      </c>
      <c r="D1956" s="48" t="s">
        <v>365</v>
      </c>
    </row>
    <row r="1957" spans="2:4" x14ac:dyDescent="0.15">
      <c r="B1957" s="46" t="s">
        <v>3470</v>
      </c>
      <c r="C1957" s="47">
        <v>4197</v>
      </c>
      <c r="D1957" s="48" t="s">
        <v>365</v>
      </c>
    </row>
    <row r="1958" spans="2:4" x14ac:dyDescent="0.15">
      <c r="B1958" s="46" t="s">
        <v>3471</v>
      </c>
      <c r="C1958" s="47">
        <v>4198</v>
      </c>
      <c r="D1958" s="48" t="s">
        <v>365</v>
      </c>
    </row>
    <row r="1959" spans="2:4" x14ac:dyDescent="0.15">
      <c r="B1959" s="46" t="s">
        <v>3472</v>
      </c>
      <c r="C1959" s="47">
        <v>4199</v>
      </c>
      <c r="D1959" s="48" t="s">
        <v>365</v>
      </c>
    </row>
    <row r="1960" spans="2:4" x14ac:dyDescent="0.15">
      <c r="B1960" s="46" t="s">
        <v>3473</v>
      </c>
      <c r="C1960" s="47">
        <v>4200</v>
      </c>
      <c r="D1960" s="48" t="s">
        <v>365</v>
      </c>
    </row>
    <row r="1961" spans="2:4" x14ac:dyDescent="0.15">
      <c r="B1961" s="46" t="s">
        <v>3474</v>
      </c>
      <c r="C1961" s="47">
        <v>4201</v>
      </c>
      <c r="D1961" s="48" t="s">
        <v>365</v>
      </c>
    </row>
    <row r="1962" spans="2:4" x14ac:dyDescent="0.15">
      <c r="B1962" s="46" t="s">
        <v>3475</v>
      </c>
      <c r="C1962" s="47">
        <v>4202</v>
      </c>
      <c r="D1962" s="48" t="s">
        <v>365</v>
      </c>
    </row>
    <row r="1963" spans="2:4" x14ac:dyDescent="0.15">
      <c r="B1963" s="46" t="s">
        <v>3476</v>
      </c>
      <c r="C1963" s="47">
        <v>4203</v>
      </c>
      <c r="D1963" s="48" t="s">
        <v>365</v>
      </c>
    </row>
    <row r="1964" spans="2:4" x14ac:dyDescent="0.15">
      <c r="B1964" s="46" t="s">
        <v>3477</v>
      </c>
      <c r="C1964" s="47">
        <v>4204</v>
      </c>
      <c r="D1964" s="48" t="s">
        <v>365</v>
      </c>
    </row>
    <row r="1965" spans="2:4" x14ac:dyDescent="0.15">
      <c r="B1965" s="46" t="s">
        <v>3478</v>
      </c>
      <c r="C1965" s="47">
        <v>4205</v>
      </c>
      <c r="D1965" s="48" t="s">
        <v>365</v>
      </c>
    </row>
    <row r="1966" spans="2:4" x14ac:dyDescent="0.15">
      <c r="B1966" s="46" t="s">
        <v>3479</v>
      </c>
      <c r="C1966" s="47">
        <v>4206</v>
      </c>
      <c r="D1966" s="48" t="s">
        <v>365</v>
      </c>
    </row>
    <row r="1967" spans="2:4" x14ac:dyDescent="0.15">
      <c r="B1967" s="46" t="s">
        <v>3480</v>
      </c>
      <c r="C1967" s="47">
        <v>4207</v>
      </c>
      <c r="D1967" s="48" t="s">
        <v>365</v>
      </c>
    </row>
    <row r="1968" spans="2:4" x14ac:dyDescent="0.15">
      <c r="B1968" s="46" t="s">
        <v>3481</v>
      </c>
      <c r="C1968" s="47">
        <v>4208</v>
      </c>
      <c r="D1968" s="48" t="s">
        <v>365</v>
      </c>
    </row>
    <row r="1969" spans="2:4" x14ac:dyDescent="0.15">
      <c r="B1969" s="46" t="s">
        <v>3482</v>
      </c>
      <c r="C1969" s="47">
        <v>4209</v>
      </c>
      <c r="D1969" s="48" t="s">
        <v>365</v>
      </c>
    </row>
    <row r="1970" spans="2:4" x14ac:dyDescent="0.15">
      <c r="B1970" s="46" t="s">
        <v>3483</v>
      </c>
      <c r="C1970" s="47">
        <v>4210</v>
      </c>
      <c r="D1970" s="48" t="s">
        <v>365</v>
      </c>
    </row>
    <row r="1971" spans="2:4" x14ac:dyDescent="0.15">
      <c r="B1971" s="46" t="s">
        <v>1605</v>
      </c>
      <c r="C1971" s="47">
        <v>4211</v>
      </c>
      <c r="D1971" s="48" t="s">
        <v>365</v>
      </c>
    </row>
    <row r="1972" spans="2:4" x14ac:dyDescent="0.15">
      <c r="B1972" s="46" t="s">
        <v>3484</v>
      </c>
      <c r="C1972" s="47">
        <v>4212</v>
      </c>
      <c r="D1972" s="48" t="s">
        <v>365</v>
      </c>
    </row>
    <row r="1973" spans="2:4" x14ac:dyDescent="0.15">
      <c r="B1973" s="46" t="s">
        <v>3485</v>
      </c>
      <c r="C1973" s="47">
        <v>4213</v>
      </c>
      <c r="D1973" s="48" t="s">
        <v>365</v>
      </c>
    </row>
    <row r="1974" spans="2:4" x14ac:dyDescent="0.15">
      <c r="B1974" s="46" t="s">
        <v>3486</v>
      </c>
      <c r="C1974" s="47">
        <v>4214</v>
      </c>
      <c r="D1974" s="48" t="s">
        <v>365</v>
      </c>
    </row>
    <row r="1975" spans="2:4" x14ac:dyDescent="0.15">
      <c r="B1975" s="46" t="s">
        <v>1811</v>
      </c>
      <c r="C1975" s="47">
        <v>4219</v>
      </c>
      <c r="D1975" s="48" t="s">
        <v>365</v>
      </c>
    </row>
    <row r="1976" spans="2:4" x14ac:dyDescent="0.15">
      <c r="B1976" s="46" t="s">
        <v>1602</v>
      </c>
      <c r="C1976" s="47">
        <v>4220</v>
      </c>
      <c r="D1976" s="48" t="s">
        <v>365</v>
      </c>
    </row>
    <row r="1977" spans="2:4" x14ac:dyDescent="0.15">
      <c r="B1977" s="46" t="s">
        <v>1816</v>
      </c>
      <c r="C1977" s="47">
        <v>4221</v>
      </c>
      <c r="D1977" s="48" t="s">
        <v>365</v>
      </c>
    </row>
    <row r="1978" spans="2:4" x14ac:dyDescent="0.15">
      <c r="B1978" s="46" t="s">
        <v>1822</v>
      </c>
      <c r="C1978" s="47">
        <v>9001</v>
      </c>
      <c r="D1978" s="48" t="s">
        <v>365</v>
      </c>
    </row>
    <row r="1979" spans="2:4" x14ac:dyDescent="0.15">
      <c r="B1979" s="46" t="s">
        <v>3487</v>
      </c>
      <c r="C1979" s="47">
        <v>9002</v>
      </c>
      <c r="D1979" s="48" t="s">
        <v>365</v>
      </c>
    </row>
    <row r="1980" spans="2:4" x14ac:dyDescent="0.15">
      <c r="B1980" s="46" t="s">
        <v>3488</v>
      </c>
      <c r="C1980" s="47">
        <v>9003</v>
      </c>
      <c r="D1980" s="48" t="s">
        <v>365</v>
      </c>
    </row>
    <row r="1981" spans="2:4" x14ac:dyDescent="0.15">
      <c r="B1981" s="46" t="s">
        <v>3489</v>
      </c>
      <c r="C1981" s="47">
        <v>9004</v>
      </c>
      <c r="D1981" s="48" t="s">
        <v>365</v>
      </c>
    </row>
    <row r="1982" spans="2:4" x14ac:dyDescent="0.15">
      <c r="B1982" s="46" t="s">
        <v>3490</v>
      </c>
      <c r="C1982" s="47">
        <v>9006</v>
      </c>
      <c r="D1982" s="48" t="s">
        <v>365</v>
      </c>
    </row>
    <row r="1983" spans="2:4" x14ac:dyDescent="0.15">
      <c r="B1983" s="46" t="s">
        <v>3491</v>
      </c>
      <c r="C1983" s="47">
        <v>9007</v>
      </c>
      <c r="D1983" s="48" t="s">
        <v>365</v>
      </c>
    </row>
    <row r="1984" spans="2:4" x14ac:dyDescent="0.15">
      <c r="B1984" s="46" t="s">
        <v>3492</v>
      </c>
      <c r="C1984" s="47">
        <v>9008</v>
      </c>
      <c r="D1984" s="48" t="s">
        <v>365</v>
      </c>
    </row>
    <row r="1985" spans="2:4" x14ac:dyDescent="0.15">
      <c r="B1985" s="46" t="s">
        <v>3493</v>
      </c>
      <c r="C1985" s="47">
        <v>9009</v>
      </c>
      <c r="D1985" s="48" t="s">
        <v>365</v>
      </c>
    </row>
    <row r="1986" spans="2:4" x14ac:dyDescent="0.15">
      <c r="B1986" s="46" t="s">
        <v>3494</v>
      </c>
      <c r="C1986" s="47">
        <v>9011</v>
      </c>
      <c r="D1986" s="48" t="s">
        <v>365</v>
      </c>
    </row>
    <row r="1987" spans="2:4" x14ac:dyDescent="0.15">
      <c r="B1987" s="46" t="s">
        <v>3495</v>
      </c>
      <c r="C1987" s="47">
        <v>9012</v>
      </c>
      <c r="D1987" s="48" t="s">
        <v>365</v>
      </c>
    </row>
    <row r="1988" spans="2:4" x14ac:dyDescent="0.15">
      <c r="B1988" s="46" t="s">
        <v>3496</v>
      </c>
      <c r="C1988" s="47">
        <v>9013</v>
      </c>
      <c r="D1988" s="48" t="s">
        <v>365</v>
      </c>
    </row>
    <row r="1989" spans="2:4" x14ac:dyDescent="0.15">
      <c r="B1989" s="46" t="s">
        <v>3497</v>
      </c>
      <c r="C1989" s="47">
        <v>9014</v>
      </c>
      <c r="D1989" s="48" t="s">
        <v>365</v>
      </c>
    </row>
    <row r="1990" spans="2:4" x14ac:dyDescent="0.15">
      <c r="B1990" s="46" t="s">
        <v>3498</v>
      </c>
      <c r="C1990" s="47">
        <v>9015</v>
      </c>
      <c r="D1990" s="48" t="s">
        <v>365</v>
      </c>
    </row>
    <row r="1991" spans="2:4" x14ac:dyDescent="0.15">
      <c r="B1991" s="46" t="s">
        <v>3499</v>
      </c>
      <c r="C1991" s="47">
        <v>9016</v>
      </c>
      <c r="D1991" s="48" t="s">
        <v>365</v>
      </c>
    </row>
    <row r="1992" spans="2:4" x14ac:dyDescent="0.15">
      <c r="B1992" s="46" t="s">
        <v>3500</v>
      </c>
      <c r="C1992" s="47">
        <v>9017</v>
      </c>
      <c r="D1992" s="48" t="s">
        <v>365</v>
      </c>
    </row>
    <row r="1993" spans="2:4" x14ac:dyDescent="0.15">
      <c r="B1993" s="46" t="s">
        <v>3501</v>
      </c>
      <c r="C1993" s="47">
        <v>9018</v>
      </c>
      <c r="D1993" s="48" t="s">
        <v>365</v>
      </c>
    </row>
    <row r="1994" spans="2:4" x14ac:dyDescent="0.15">
      <c r="B1994" s="46" t="s">
        <v>3502</v>
      </c>
      <c r="C1994" s="47">
        <v>9019</v>
      </c>
      <c r="D1994" s="48" t="s">
        <v>365</v>
      </c>
    </row>
    <row r="1995" spans="2:4" x14ac:dyDescent="0.15">
      <c r="B1995" s="46" t="s">
        <v>585</v>
      </c>
      <c r="C1995" s="47">
        <v>9020</v>
      </c>
      <c r="D1995" s="48" t="s">
        <v>365</v>
      </c>
    </row>
    <row r="1996" spans="2:4" x14ac:dyDescent="0.15">
      <c r="B1996" s="46" t="s">
        <v>3503</v>
      </c>
      <c r="C1996" s="47">
        <v>9021</v>
      </c>
      <c r="D1996" s="48" t="s">
        <v>365</v>
      </c>
    </row>
    <row r="1997" spans="2:4" x14ac:dyDescent="0.15">
      <c r="B1997" s="46" t="s">
        <v>3504</v>
      </c>
      <c r="C1997" s="47">
        <v>9022</v>
      </c>
      <c r="D1997" s="48" t="s">
        <v>365</v>
      </c>
    </row>
    <row r="1998" spans="2:4" x14ac:dyDescent="0.15">
      <c r="B1998" s="46" t="s">
        <v>3505</v>
      </c>
      <c r="C1998" s="47">
        <v>9023</v>
      </c>
      <c r="D1998" s="48" t="s">
        <v>365</v>
      </c>
    </row>
    <row r="1999" spans="2:4" x14ac:dyDescent="0.15">
      <c r="B1999" s="46" t="s">
        <v>3506</v>
      </c>
      <c r="C1999" s="47">
        <v>9024</v>
      </c>
      <c r="D1999" s="48" t="s">
        <v>365</v>
      </c>
    </row>
    <row r="2000" spans="2:4" x14ac:dyDescent="0.15">
      <c r="B2000" s="46" t="s">
        <v>3507</v>
      </c>
      <c r="C2000" s="47">
        <v>9025</v>
      </c>
      <c r="D2000" s="48" t="s">
        <v>365</v>
      </c>
    </row>
    <row r="2001" spans="2:4" x14ac:dyDescent="0.15">
      <c r="B2001" s="46" t="s">
        <v>3508</v>
      </c>
      <c r="C2001" s="47">
        <v>9026</v>
      </c>
      <c r="D2001" s="48" t="s">
        <v>365</v>
      </c>
    </row>
    <row r="2002" spans="2:4" x14ac:dyDescent="0.15">
      <c r="B2002" s="46" t="s">
        <v>3509</v>
      </c>
      <c r="C2002" s="47">
        <v>9027</v>
      </c>
      <c r="D2002" s="48" t="s">
        <v>365</v>
      </c>
    </row>
    <row r="2003" spans="2:4" x14ac:dyDescent="0.15">
      <c r="B2003" s="46" t="s">
        <v>3510</v>
      </c>
      <c r="C2003" s="47">
        <v>9028</v>
      </c>
      <c r="D2003" s="48" t="s">
        <v>365</v>
      </c>
    </row>
    <row r="2004" spans="2:4" x14ac:dyDescent="0.15">
      <c r="B2004" s="46" t="s">
        <v>3511</v>
      </c>
      <c r="C2004" s="47">
        <v>9029</v>
      </c>
      <c r="D2004" s="48" t="s">
        <v>365</v>
      </c>
    </row>
    <row r="2005" spans="2:4" x14ac:dyDescent="0.15">
      <c r="B2005" s="46" t="s">
        <v>3512</v>
      </c>
      <c r="C2005" s="47">
        <v>9030</v>
      </c>
      <c r="D2005" s="48" t="s">
        <v>365</v>
      </c>
    </row>
    <row r="2006" spans="2:4" x14ac:dyDescent="0.15">
      <c r="B2006" s="46" t="s">
        <v>3513</v>
      </c>
      <c r="C2006" s="47">
        <v>9031</v>
      </c>
      <c r="D2006" s="48" t="s">
        <v>365</v>
      </c>
    </row>
    <row r="2007" spans="2:4" x14ac:dyDescent="0.15">
      <c r="B2007" s="46" t="s">
        <v>3514</v>
      </c>
      <c r="C2007" s="47">
        <v>9032</v>
      </c>
      <c r="D2007" s="48" t="s">
        <v>365</v>
      </c>
    </row>
    <row r="2008" spans="2:4" x14ac:dyDescent="0.15">
      <c r="B2008" s="46" t="s">
        <v>3515</v>
      </c>
      <c r="C2008" s="47">
        <v>9033</v>
      </c>
      <c r="D2008" s="48" t="s">
        <v>365</v>
      </c>
    </row>
    <row r="2009" spans="2:4" x14ac:dyDescent="0.15">
      <c r="B2009" s="46" t="s">
        <v>3516</v>
      </c>
      <c r="C2009" s="47">
        <v>9034</v>
      </c>
      <c r="D2009" s="48" t="s">
        <v>365</v>
      </c>
    </row>
    <row r="2010" spans="2:4" x14ac:dyDescent="0.15">
      <c r="B2010" s="46" t="s">
        <v>3517</v>
      </c>
      <c r="C2010" s="47">
        <v>9035</v>
      </c>
      <c r="D2010" s="48" t="s">
        <v>365</v>
      </c>
    </row>
    <row r="2011" spans="2:4" x14ac:dyDescent="0.15">
      <c r="B2011" s="46" t="s">
        <v>3518</v>
      </c>
      <c r="C2011" s="47">
        <v>9036</v>
      </c>
      <c r="D2011" s="48" t="s">
        <v>365</v>
      </c>
    </row>
    <row r="2012" spans="2:4" x14ac:dyDescent="0.15">
      <c r="B2012" s="46" t="s">
        <v>3519</v>
      </c>
      <c r="C2012" s="47">
        <v>9037</v>
      </c>
      <c r="D2012" s="48" t="s">
        <v>365</v>
      </c>
    </row>
    <row r="2013" spans="2:4" x14ac:dyDescent="0.15">
      <c r="B2013" s="46" t="s">
        <v>3520</v>
      </c>
      <c r="C2013" s="47">
        <v>9038</v>
      </c>
      <c r="D2013" s="48" t="s">
        <v>365</v>
      </c>
    </row>
    <row r="2014" spans="2:4" x14ac:dyDescent="0.15">
      <c r="B2014" s="46" t="s">
        <v>3521</v>
      </c>
      <c r="C2014" s="47">
        <v>9039</v>
      </c>
      <c r="D2014" s="48" t="s">
        <v>365</v>
      </c>
    </row>
    <row r="2015" spans="2:4" x14ac:dyDescent="0.15">
      <c r="B2015" s="46" t="s">
        <v>3522</v>
      </c>
      <c r="C2015" s="47">
        <v>9040</v>
      </c>
      <c r="D2015" s="48" t="s">
        <v>365</v>
      </c>
    </row>
    <row r="2016" spans="2:4" x14ac:dyDescent="0.15">
      <c r="B2016" s="46" t="s">
        <v>3523</v>
      </c>
      <c r="C2016" s="47">
        <v>9041</v>
      </c>
      <c r="D2016" s="48" t="s">
        <v>365</v>
      </c>
    </row>
    <row r="2017" spans="2:4" x14ac:dyDescent="0.15">
      <c r="B2017" s="46" t="s">
        <v>3524</v>
      </c>
      <c r="C2017" s="47">
        <v>9042</v>
      </c>
      <c r="D2017" s="48" t="s">
        <v>365</v>
      </c>
    </row>
    <row r="2018" spans="2:4" x14ac:dyDescent="0.15">
      <c r="B2018" s="46" t="s">
        <v>3525</v>
      </c>
      <c r="C2018" s="47">
        <v>9043</v>
      </c>
      <c r="D2018" s="48" t="s">
        <v>365</v>
      </c>
    </row>
    <row r="2019" spans="2:4" x14ac:dyDescent="0.15">
      <c r="B2019" s="46" t="s">
        <v>3526</v>
      </c>
      <c r="C2019" s="47">
        <v>9044</v>
      </c>
      <c r="D2019" s="48" t="s">
        <v>365</v>
      </c>
    </row>
    <row r="2020" spans="2:4" x14ac:dyDescent="0.15">
      <c r="B2020" s="46" t="s">
        <v>3527</v>
      </c>
      <c r="C2020" s="47">
        <v>9045</v>
      </c>
      <c r="D2020" s="48" t="s">
        <v>365</v>
      </c>
    </row>
    <row r="2021" spans="2:4" x14ac:dyDescent="0.15">
      <c r="B2021" s="46" t="s">
        <v>3528</v>
      </c>
      <c r="C2021" s="47">
        <v>9046</v>
      </c>
      <c r="D2021" s="48" t="s">
        <v>365</v>
      </c>
    </row>
    <row r="2022" spans="2:4" x14ac:dyDescent="0.15">
      <c r="B2022" s="46" t="s">
        <v>3529</v>
      </c>
      <c r="C2022" s="47">
        <v>9047</v>
      </c>
      <c r="D2022" s="48" t="s">
        <v>365</v>
      </c>
    </row>
    <row r="2023" spans="2:4" x14ac:dyDescent="0.15">
      <c r="B2023" s="46" t="s">
        <v>3530</v>
      </c>
      <c r="C2023" s="47">
        <v>9048</v>
      </c>
      <c r="D2023" s="48" t="s">
        <v>365</v>
      </c>
    </row>
    <row r="2024" spans="2:4" x14ac:dyDescent="0.15">
      <c r="B2024" s="46" t="s">
        <v>3531</v>
      </c>
      <c r="C2024" s="47">
        <v>9049</v>
      </c>
      <c r="D2024" s="48" t="s">
        <v>365</v>
      </c>
    </row>
    <row r="2025" spans="2:4" x14ac:dyDescent="0.15">
      <c r="B2025" s="46" t="s">
        <v>3532</v>
      </c>
      <c r="C2025" s="47">
        <v>9050</v>
      </c>
      <c r="D2025" s="48" t="s">
        <v>365</v>
      </c>
    </row>
    <row r="2026" spans="2:4" x14ac:dyDescent="0.15">
      <c r="B2026" s="46" t="s">
        <v>3533</v>
      </c>
      <c r="C2026" s="47">
        <v>9051</v>
      </c>
      <c r="D2026" s="48" t="s">
        <v>365</v>
      </c>
    </row>
    <row r="2027" spans="2:4" x14ac:dyDescent="0.15">
      <c r="B2027" s="46" t="s">
        <v>3534</v>
      </c>
      <c r="C2027" s="47">
        <v>9052</v>
      </c>
      <c r="D2027" s="48" t="s">
        <v>365</v>
      </c>
    </row>
    <row r="2028" spans="2:4" x14ac:dyDescent="0.15">
      <c r="B2028" s="46" t="s">
        <v>3535</v>
      </c>
      <c r="C2028" s="47">
        <v>9053</v>
      </c>
      <c r="D2028" s="48" t="s">
        <v>365</v>
      </c>
    </row>
    <row r="2029" spans="2:4" x14ac:dyDescent="0.15">
      <c r="B2029" s="46" t="s">
        <v>3536</v>
      </c>
      <c r="C2029" s="47">
        <v>9054</v>
      </c>
      <c r="D2029" s="48" t="s">
        <v>365</v>
      </c>
    </row>
    <row r="2030" spans="2:4" x14ac:dyDescent="0.15">
      <c r="B2030" s="46" t="s">
        <v>3537</v>
      </c>
      <c r="C2030" s="47">
        <v>9055</v>
      </c>
      <c r="D2030" s="48" t="s">
        <v>365</v>
      </c>
    </row>
    <row r="2031" spans="2:4" x14ac:dyDescent="0.15">
      <c r="B2031" s="46" t="s">
        <v>3538</v>
      </c>
      <c r="C2031" s="47">
        <v>9056</v>
      </c>
      <c r="D2031" s="48" t="s">
        <v>365</v>
      </c>
    </row>
    <row r="2032" spans="2:4" x14ac:dyDescent="0.15">
      <c r="B2032" s="46" t="s">
        <v>3539</v>
      </c>
      <c r="C2032" s="47">
        <v>9057</v>
      </c>
      <c r="D2032" s="48" t="s">
        <v>365</v>
      </c>
    </row>
    <row r="2033" spans="2:4" x14ac:dyDescent="0.15">
      <c r="B2033" s="46" t="s">
        <v>3540</v>
      </c>
      <c r="C2033" s="47">
        <v>9058</v>
      </c>
      <c r="D2033" s="48" t="s">
        <v>365</v>
      </c>
    </row>
    <row r="2034" spans="2:4" x14ac:dyDescent="0.15">
      <c r="B2034" s="46" t="s">
        <v>3541</v>
      </c>
      <c r="C2034" s="47">
        <v>9059</v>
      </c>
      <c r="D2034" s="48" t="s">
        <v>365</v>
      </c>
    </row>
    <row r="2035" spans="2:4" x14ac:dyDescent="0.15">
      <c r="B2035" s="46" t="s">
        <v>3542</v>
      </c>
      <c r="C2035" s="47">
        <v>9060</v>
      </c>
      <c r="D2035" s="48" t="s">
        <v>365</v>
      </c>
    </row>
    <row r="2036" spans="2:4" x14ac:dyDescent="0.15">
      <c r="B2036" s="46" t="s">
        <v>1384</v>
      </c>
      <c r="C2036" s="47">
        <v>9061</v>
      </c>
      <c r="D2036" s="48" t="s">
        <v>365</v>
      </c>
    </row>
    <row r="2037" spans="2:4" x14ac:dyDescent="0.15">
      <c r="B2037" s="46" t="s">
        <v>3543</v>
      </c>
      <c r="C2037" s="47">
        <v>9062</v>
      </c>
      <c r="D2037" s="48" t="s">
        <v>365</v>
      </c>
    </row>
    <row r="2038" spans="2:4" x14ac:dyDescent="0.15">
      <c r="B2038" s="46" t="s">
        <v>3544</v>
      </c>
      <c r="C2038" s="47">
        <v>9063</v>
      </c>
      <c r="D2038" s="48" t="s">
        <v>365</v>
      </c>
    </row>
    <row r="2039" spans="2:4" x14ac:dyDescent="0.15">
      <c r="B2039" s="46" t="s">
        <v>3545</v>
      </c>
      <c r="C2039" s="47">
        <v>9064</v>
      </c>
      <c r="D2039" s="48" t="s">
        <v>365</v>
      </c>
    </row>
    <row r="2040" spans="2:4" x14ac:dyDescent="0.15">
      <c r="B2040" s="46" t="s">
        <v>3546</v>
      </c>
      <c r="C2040" s="47">
        <v>9065</v>
      </c>
      <c r="D2040" s="48" t="s">
        <v>365</v>
      </c>
    </row>
    <row r="2041" spans="2:4" x14ac:dyDescent="0.15">
      <c r="B2041" s="46" t="s">
        <v>3547</v>
      </c>
      <c r="C2041" s="47">
        <v>9066</v>
      </c>
      <c r="D2041" s="48" t="s">
        <v>365</v>
      </c>
    </row>
    <row r="2042" spans="2:4" x14ac:dyDescent="0.15">
      <c r="B2042" s="46" t="s">
        <v>3548</v>
      </c>
      <c r="C2042" s="47">
        <v>9067</v>
      </c>
      <c r="D2042" s="48" t="s">
        <v>365</v>
      </c>
    </row>
    <row r="2043" spans="2:4" x14ac:dyDescent="0.15">
      <c r="B2043" s="46" t="s">
        <v>3549</v>
      </c>
      <c r="C2043" s="47">
        <v>9068</v>
      </c>
      <c r="D2043" s="48" t="s">
        <v>365</v>
      </c>
    </row>
    <row r="2044" spans="2:4" x14ac:dyDescent="0.15">
      <c r="B2044" s="46" t="s">
        <v>3550</v>
      </c>
      <c r="C2044" s="47">
        <v>9070</v>
      </c>
      <c r="D2044" s="48" t="s">
        <v>365</v>
      </c>
    </row>
    <row r="2045" spans="2:4" x14ac:dyDescent="0.15">
      <c r="B2045" s="46" t="s">
        <v>3551</v>
      </c>
      <c r="C2045" s="47">
        <v>9071</v>
      </c>
      <c r="D2045" s="48" t="s">
        <v>365</v>
      </c>
    </row>
    <row r="2046" spans="2:4" x14ac:dyDescent="0.15">
      <c r="B2046" s="46" t="s">
        <v>3552</v>
      </c>
      <c r="C2046" s="47">
        <v>9072</v>
      </c>
      <c r="D2046" s="48" t="s">
        <v>365</v>
      </c>
    </row>
    <row r="2047" spans="2:4" x14ac:dyDescent="0.15">
      <c r="B2047" s="46" t="s">
        <v>3553</v>
      </c>
      <c r="C2047" s="47">
        <v>9073</v>
      </c>
      <c r="D2047" s="48" t="s">
        <v>365</v>
      </c>
    </row>
    <row r="2048" spans="2:4" x14ac:dyDescent="0.15">
      <c r="B2048" s="46" t="s">
        <v>3554</v>
      </c>
      <c r="C2048" s="47">
        <v>9074</v>
      </c>
      <c r="D2048" s="48" t="s">
        <v>365</v>
      </c>
    </row>
    <row r="2049" spans="2:4" x14ac:dyDescent="0.15">
      <c r="B2049" s="46" t="s">
        <v>3555</v>
      </c>
      <c r="C2049" s="47">
        <v>9075</v>
      </c>
      <c r="D2049" s="48" t="s">
        <v>365</v>
      </c>
    </row>
    <row r="2050" spans="2:4" x14ac:dyDescent="0.15">
      <c r="B2050" s="46" t="s">
        <v>1020</v>
      </c>
      <c r="C2050" s="47">
        <v>9076</v>
      </c>
      <c r="D2050" s="48" t="s">
        <v>365</v>
      </c>
    </row>
    <row r="2051" spans="2:4" x14ac:dyDescent="0.15">
      <c r="B2051" s="46" t="s">
        <v>3556</v>
      </c>
      <c r="C2051" s="47">
        <v>9077</v>
      </c>
      <c r="D2051" s="48" t="s">
        <v>365</v>
      </c>
    </row>
    <row r="2052" spans="2:4" x14ac:dyDescent="0.15">
      <c r="B2052" s="46" t="s">
        <v>3557</v>
      </c>
      <c r="C2052" s="47">
        <v>9078</v>
      </c>
      <c r="D2052" s="48" t="s">
        <v>365</v>
      </c>
    </row>
    <row r="2053" spans="2:4" x14ac:dyDescent="0.15">
      <c r="B2053" s="46" t="s">
        <v>3558</v>
      </c>
      <c r="C2053" s="47">
        <v>9079</v>
      </c>
      <c r="D2053" s="48" t="s">
        <v>365</v>
      </c>
    </row>
    <row r="2054" spans="2:4" x14ac:dyDescent="0.15">
      <c r="B2054" s="46" t="s">
        <v>3559</v>
      </c>
      <c r="C2054" s="47">
        <v>9080</v>
      </c>
      <c r="D2054" s="48" t="s">
        <v>365</v>
      </c>
    </row>
    <row r="2055" spans="2:4" x14ac:dyDescent="0.15">
      <c r="B2055" s="46" t="s">
        <v>3560</v>
      </c>
      <c r="C2055" s="47">
        <v>9081</v>
      </c>
      <c r="D2055" s="48" t="s">
        <v>365</v>
      </c>
    </row>
    <row r="2056" spans="2:4" x14ac:dyDescent="0.15">
      <c r="B2056" s="46" t="s">
        <v>3561</v>
      </c>
      <c r="C2056" s="47">
        <v>9082</v>
      </c>
      <c r="D2056" s="48" t="s">
        <v>365</v>
      </c>
    </row>
    <row r="2057" spans="2:4" x14ac:dyDescent="0.15">
      <c r="B2057" s="46" t="s">
        <v>3562</v>
      </c>
      <c r="C2057" s="47">
        <v>9083</v>
      </c>
      <c r="D2057" s="48" t="s">
        <v>365</v>
      </c>
    </row>
    <row r="2058" spans="2:4" x14ac:dyDescent="0.15">
      <c r="B2058" s="46" t="s">
        <v>3563</v>
      </c>
      <c r="C2058" s="47">
        <v>9084</v>
      </c>
      <c r="D2058" s="48" t="s">
        <v>365</v>
      </c>
    </row>
    <row r="2059" spans="2:4" x14ac:dyDescent="0.15">
      <c r="B2059" s="46" t="s">
        <v>3564</v>
      </c>
      <c r="C2059" s="47">
        <v>9085</v>
      </c>
      <c r="D2059" s="48" t="s">
        <v>365</v>
      </c>
    </row>
    <row r="2060" spans="2:4" x14ac:dyDescent="0.15">
      <c r="B2060" s="46" t="s">
        <v>3565</v>
      </c>
      <c r="C2060" s="47">
        <v>9086</v>
      </c>
      <c r="D2060" s="48" t="s">
        <v>365</v>
      </c>
    </row>
    <row r="2061" spans="2:4" x14ac:dyDescent="0.15">
      <c r="B2061" s="46" t="s">
        <v>3566</v>
      </c>
      <c r="C2061" s="47">
        <v>9087</v>
      </c>
      <c r="D2061" s="48" t="s">
        <v>365</v>
      </c>
    </row>
    <row r="2062" spans="2:4" x14ac:dyDescent="0.15">
      <c r="B2062" s="46" t="s">
        <v>3567</v>
      </c>
      <c r="C2062" s="47">
        <v>9088</v>
      </c>
      <c r="D2062" s="48" t="s">
        <v>365</v>
      </c>
    </row>
    <row r="2063" spans="2:4" x14ac:dyDescent="0.15">
      <c r="B2063" s="46" t="s">
        <v>3568</v>
      </c>
      <c r="C2063" s="47">
        <v>9089</v>
      </c>
      <c r="D2063" s="48" t="s">
        <v>365</v>
      </c>
    </row>
    <row r="2064" spans="2:4" x14ac:dyDescent="0.15">
      <c r="B2064" s="46" t="s">
        <v>3569</v>
      </c>
      <c r="C2064" s="47">
        <v>9090</v>
      </c>
      <c r="D2064" s="48" t="s">
        <v>365</v>
      </c>
    </row>
    <row r="2065" spans="2:4" x14ac:dyDescent="0.15">
      <c r="B2065" s="46" t="s">
        <v>3570</v>
      </c>
      <c r="C2065" s="47">
        <v>9091</v>
      </c>
      <c r="D2065" s="48" t="s">
        <v>365</v>
      </c>
    </row>
    <row r="2066" spans="2:4" x14ac:dyDescent="0.15">
      <c r="B2066" s="46" t="s">
        <v>3571</v>
      </c>
      <c r="C2066" s="47">
        <v>9092</v>
      </c>
      <c r="D2066" s="48" t="s">
        <v>365</v>
      </c>
    </row>
    <row r="2067" spans="2:4" x14ac:dyDescent="0.15">
      <c r="B2067" s="46" t="s">
        <v>3572</v>
      </c>
      <c r="C2067" s="47">
        <v>9093</v>
      </c>
      <c r="D2067" s="48" t="s">
        <v>365</v>
      </c>
    </row>
    <row r="2068" spans="2:4" x14ac:dyDescent="0.15">
      <c r="B2068" s="46" t="s">
        <v>3573</v>
      </c>
      <c r="C2068" s="47">
        <v>9094</v>
      </c>
      <c r="D2068" s="48" t="s">
        <v>365</v>
      </c>
    </row>
    <row r="2069" spans="2:4" x14ac:dyDescent="0.15">
      <c r="B2069" s="46" t="s">
        <v>3574</v>
      </c>
      <c r="C2069" s="47">
        <v>9095</v>
      </c>
      <c r="D2069" s="48" t="s">
        <v>365</v>
      </c>
    </row>
    <row r="2070" spans="2:4" x14ac:dyDescent="0.15">
      <c r="B2070" s="46" t="s">
        <v>3575</v>
      </c>
      <c r="C2070" s="47">
        <v>9096</v>
      </c>
      <c r="D2070" s="48" t="s">
        <v>365</v>
      </c>
    </row>
    <row r="2071" spans="2:4" x14ac:dyDescent="0.15">
      <c r="B2071" s="46" t="s">
        <v>3576</v>
      </c>
      <c r="C2071" s="47">
        <v>9097</v>
      </c>
      <c r="D2071" s="48" t="s">
        <v>365</v>
      </c>
    </row>
    <row r="2072" spans="2:4" x14ac:dyDescent="0.15">
      <c r="B2072" s="46" t="s">
        <v>3577</v>
      </c>
      <c r="C2072" s="47">
        <v>9098</v>
      </c>
      <c r="D2072" s="48" t="s">
        <v>365</v>
      </c>
    </row>
    <row r="2073" spans="2:4" x14ac:dyDescent="0.15">
      <c r="B2073" s="46" t="s">
        <v>3578</v>
      </c>
      <c r="C2073" s="47">
        <v>9099</v>
      </c>
      <c r="D2073" s="48" t="s">
        <v>365</v>
      </c>
    </row>
    <row r="2074" spans="2:4" x14ac:dyDescent="0.15">
      <c r="B2074" s="46" t="s">
        <v>3579</v>
      </c>
      <c r="C2074" s="47">
        <v>9100</v>
      </c>
      <c r="D2074" s="48" t="s">
        <v>365</v>
      </c>
    </row>
    <row r="2075" spans="2:4" x14ac:dyDescent="0.15">
      <c r="B2075" s="46" t="s">
        <v>3580</v>
      </c>
      <c r="C2075" s="47">
        <v>9101</v>
      </c>
      <c r="D2075" s="48" t="s">
        <v>365</v>
      </c>
    </row>
    <row r="2076" spans="2:4" x14ac:dyDescent="0.15">
      <c r="B2076" s="46" t="s">
        <v>3581</v>
      </c>
      <c r="C2076" s="47">
        <v>9102</v>
      </c>
      <c r="D2076" s="48" t="s">
        <v>365</v>
      </c>
    </row>
    <row r="2077" spans="2:4" x14ac:dyDescent="0.15">
      <c r="B2077" s="46" t="s">
        <v>3582</v>
      </c>
      <c r="C2077" s="47">
        <v>9103</v>
      </c>
      <c r="D2077" s="48" t="s">
        <v>365</v>
      </c>
    </row>
    <row r="2078" spans="2:4" x14ac:dyDescent="0.15">
      <c r="B2078" s="46" t="s">
        <v>3583</v>
      </c>
      <c r="C2078" s="47">
        <v>9104</v>
      </c>
      <c r="D2078" s="48" t="s">
        <v>365</v>
      </c>
    </row>
    <row r="2079" spans="2:4" x14ac:dyDescent="0.15">
      <c r="B2079" s="46" t="s">
        <v>3584</v>
      </c>
      <c r="C2079" s="47">
        <v>9105</v>
      </c>
      <c r="D2079" s="48" t="s">
        <v>365</v>
      </c>
    </row>
    <row r="2080" spans="2:4" x14ac:dyDescent="0.15">
      <c r="B2080" s="46" t="s">
        <v>3585</v>
      </c>
      <c r="C2080" s="47">
        <v>9106</v>
      </c>
      <c r="D2080" s="48" t="s">
        <v>365</v>
      </c>
    </row>
    <row r="2081" spans="2:4" x14ac:dyDescent="0.15">
      <c r="B2081" s="46" t="s">
        <v>448</v>
      </c>
      <c r="C2081" s="47">
        <v>9107</v>
      </c>
      <c r="D2081" s="48" t="s">
        <v>365</v>
      </c>
    </row>
    <row r="2082" spans="2:4" x14ac:dyDescent="0.15">
      <c r="B2082" s="46" t="s">
        <v>765</v>
      </c>
      <c r="C2082" s="47">
        <v>9108</v>
      </c>
      <c r="D2082" s="48" t="s">
        <v>365</v>
      </c>
    </row>
    <row r="2083" spans="2:4" x14ac:dyDescent="0.15">
      <c r="B2083" s="46" t="s">
        <v>612</v>
      </c>
      <c r="C2083" s="47">
        <v>9109</v>
      </c>
      <c r="D2083" s="48" t="s">
        <v>365</v>
      </c>
    </row>
    <row r="2084" spans="2:4" x14ac:dyDescent="0.15">
      <c r="B2084" s="46" t="s">
        <v>616</v>
      </c>
      <c r="C2084" s="47">
        <v>9110</v>
      </c>
      <c r="D2084" s="48" t="s">
        <v>365</v>
      </c>
    </row>
    <row r="2085" spans="2:4" x14ac:dyDescent="0.15">
      <c r="B2085" s="46" t="s">
        <v>3586</v>
      </c>
      <c r="C2085" s="47">
        <v>9111</v>
      </c>
      <c r="D2085" s="48" t="s">
        <v>365</v>
      </c>
    </row>
    <row r="2086" spans="2:4" x14ac:dyDescent="0.15">
      <c r="B2086" s="46" t="s">
        <v>3587</v>
      </c>
      <c r="C2086" s="47">
        <v>9112</v>
      </c>
      <c r="D2086" s="48" t="s">
        <v>365</v>
      </c>
    </row>
    <row r="2087" spans="2:4" x14ac:dyDescent="0.15">
      <c r="B2087" s="46" t="s">
        <v>3588</v>
      </c>
      <c r="C2087" s="47">
        <v>9113</v>
      </c>
      <c r="D2087" s="48" t="s">
        <v>365</v>
      </c>
    </row>
    <row r="2088" spans="2:4" x14ac:dyDescent="0.15">
      <c r="B2088" s="46" t="s">
        <v>3589</v>
      </c>
      <c r="C2088" s="47">
        <v>9114</v>
      </c>
      <c r="D2088" s="48" t="s">
        <v>365</v>
      </c>
    </row>
    <row r="2089" spans="2:4" x14ac:dyDescent="0.15">
      <c r="B2089" s="46" t="s">
        <v>623</v>
      </c>
      <c r="C2089" s="47">
        <v>9115</v>
      </c>
      <c r="D2089" s="48" t="s">
        <v>365</v>
      </c>
    </row>
    <row r="2090" spans="2:4" x14ac:dyDescent="0.15">
      <c r="B2090" s="46" t="s">
        <v>625</v>
      </c>
      <c r="C2090" s="47">
        <v>9116</v>
      </c>
      <c r="D2090" s="48" t="s">
        <v>365</v>
      </c>
    </row>
    <row r="2091" spans="2:4" x14ac:dyDescent="0.15">
      <c r="B2091" s="46" t="s">
        <v>3590</v>
      </c>
      <c r="C2091" s="47">
        <v>9117</v>
      </c>
      <c r="D2091" s="48" t="s">
        <v>365</v>
      </c>
    </row>
    <row r="2092" spans="2:4" x14ac:dyDescent="0.15">
      <c r="B2092" s="46" t="s">
        <v>1482</v>
      </c>
      <c r="C2092" s="47">
        <v>9118</v>
      </c>
      <c r="D2092" s="48" t="s">
        <v>365</v>
      </c>
    </row>
    <row r="2093" spans="2:4" x14ac:dyDescent="0.15">
      <c r="B2093" s="46" t="s">
        <v>3591</v>
      </c>
      <c r="C2093" s="47">
        <v>9119</v>
      </c>
      <c r="D2093" s="48" t="s">
        <v>365</v>
      </c>
    </row>
    <row r="2094" spans="2:4" x14ac:dyDescent="0.15">
      <c r="B2094" s="46" t="s">
        <v>3592</v>
      </c>
      <c r="C2094" s="47">
        <v>9120</v>
      </c>
      <c r="D2094" s="48" t="s">
        <v>365</v>
      </c>
    </row>
    <row r="2095" spans="2:4" x14ac:dyDescent="0.15">
      <c r="B2095" s="46" t="s">
        <v>1757</v>
      </c>
      <c r="C2095" s="47">
        <v>9121</v>
      </c>
      <c r="D2095" s="48" t="s">
        <v>365</v>
      </c>
    </row>
    <row r="2096" spans="2:4" x14ac:dyDescent="0.15">
      <c r="B2096" s="46" t="s">
        <v>1751</v>
      </c>
      <c r="C2096" s="47">
        <v>9122</v>
      </c>
      <c r="D2096" s="48" t="s">
        <v>365</v>
      </c>
    </row>
    <row r="2097" spans="2:4" x14ac:dyDescent="0.15">
      <c r="B2097" s="46" t="s">
        <v>1753</v>
      </c>
      <c r="C2097" s="47">
        <v>9123</v>
      </c>
      <c r="D2097" s="48" t="s">
        <v>365</v>
      </c>
    </row>
    <row r="2098" spans="2:4" x14ac:dyDescent="0.15">
      <c r="B2098" s="46" t="s">
        <v>3593</v>
      </c>
      <c r="C2098" s="47">
        <v>9124</v>
      </c>
      <c r="D2098" s="48" t="s">
        <v>365</v>
      </c>
    </row>
    <row r="2099" spans="2:4" x14ac:dyDescent="0.15">
      <c r="B2099" s="46" t="s">
        <v>3594</v>
      </c>
      <c r="C2099" s="47">
        <v>9125</v>
      </c>
      <c r="D2099" s="48" t="s">
        <v>365</v>
      </c>
    </row>
    <row r="2100" spans="2:4" x14ac:dyDescent="0.15">
      <c r="B2100" s="46" t="s">
        <v>1642</v>
      </c>
      <c r="C2100" s="47">
        <v>9126</v>
      </c>
      <c r="D2100" s="48" t="s">
        <v>365</v>
      </c>
    </row>
    <row r="2101" spans="2:4" x14ac:dyDescent="0.15">
      <c r="B2101" s="46" t="s">
        <v>3595</v>
      </c>
      <c r="C2101" s="47">
        <v>9127</v>
      </c>
      <c r="D2101" s="48" t="s">
        <v>365</v>
      </c>
    </row>
    <row r="2102" spans="2:4" x14ac:dyDescent="0.15">
      <c r="B2102" s="46" t="s">
        <v>3596</v>
      </c>
      <c r="C2102" s="47">
        <v>9128</v>
      </c>
      <c r="D2102" s="48" t="s">
        <v>365</v>
      </c>
    </row>
    <row r="2103" spans="2:4" x14ac:dyDescent="0.15">
      <c r="B2103" s="46" t="s">
        <v>773</v>
      </c>
      <c r="C2103" s="47">
        <v>9129</v>
      </c>
      <c r="D2103" s="48" t="s">
        <v>365</v>
      </c>
    </row>
    <row r="2104" spans="2:4" x14ac:dyDescent="0.15">
      <c r="B2104" s="46" t="s">
        <v>777</v>
      </c>
      <c r="C2104" s="47">
        <v>9130</v>
      </c>
      <c r="D2104" s="48" t="s">
        <v>365</v>
      </c>
    </row>
    <row r="2105" spans="2:4" x14ac:dyDescent="0.15">
      <c r="B2105" s="46" t="s">
        <v>783</v>
      </c>
      <c r="C2105" s="47">
        <v>9131</v>
      </c>
      <c r="D2105" s="48" t="s">
        <v>365</v>
      </c>
    </row>
    <row r="2106" spans="2:4" x14ac:dyDescent="0.15">
      <c r="B2106" s="46" t="s">
        <v>1120</v>
      </c>
      <c r="C2106" s="47">
        <v>9132</v>
      </c>
      <c r="D2106" s="48" t="s">
        <v>365</v>
      </c>
    </row>
    <row r="2107" spans="2:4" x14ac:dyDescent="0.15">
      <c r="B2107" s="46" t="s">
        <v>785</v>
      </c>
      <c r="C2107" s="47">
        <v>9133</v>
      </c>
      <c r="D2107" s="48" t="s">
        <v>365</v>
      </c>
    </row>
    <row r="2108" spans="2:4" x14ac:dyDescent="0.15">
      <c r="B2108" s="46" t="s">
        <v>798</v>
      </c>
      <c r="C2108" s="47">
        <v>9134</v>
      </c>
      <c r="D2108" s="48" t="s">
        <v>365</v>
      </c>
    </row>
    <row r="2109" spans="2:4" x14ac:dyDescent="0.15">
      <c r="B2109" s="46" t="s">
        <v>3597</v>
      </c>
      <c r="C2109" s="47">
        <v>9135</v>
      </c>
      <c r="D2109" s="48" t="s">
        <v>365</v>
      </c>
    </row>
    <row r="2110" spans="2:4" x14ac:dyDescent="0.15">
      <c r="B2110" s="46" t="s">
        <v>789</v>
      </c>
      <c r="C2110" s="47">
        <v>9136</v>
      </c>
      <c r="D2110" s="48" t="s">
        <v>365</v>
      </c>
    </row>
    <row r="2111" spans="2:4" x14ac:dyDescent="0.15">
      <c r="B2111" s="46" t="s">
        <v>800</v>
      </c>
      <c r="C2111" s="47">
        <v>9137</v>
      </c>
      <c r="D2111" s="48" t="s">
        <v>365</v>
      </c>
    </row>
    <row r="2112" spans="2:4" x14ac:dyDescent="0.15">
      <c r="B2112" s="46" t="s">
        <v>3598</v>
      </c>
      <c r="C2112" s="47">
        <v>9138</v>
      </c>
      <c r="D2112" s="48" t="s">
        <v>365</v>
      </c>
    </row>
    <row r="2113" spans="2:4" x14ac:dyDescent="0.15">
      <c r="B2113" s="46" t="s">
        <v>791</v>
      </c>
      <c r="C2113" s="47">
        <v>9139</v>
      </c>
      <c r="D2113" s="48" t="s">
        <v>365</v>
      </c>
    </row>
    <row r="2114" spans="2:4" x14ac:dyDescent="0.15">
      <c r="B2114" s="46" t="s">
        <v>3599</v>
      </c>
      <c r="C2114" s="47">
        <v>9140</v>
      </c>
      <c r="D2114" s="48" t="s">
        <v>365</v>
      </c>
    </row>
    <row r="2115" spans="2:4" x14ac:dyDescent="0.15">
      <c r="B2115" s="46" t="s">
        <v>3600</v>
      </c>
      <c r="C2115" s="47">
        <v>9141</v>
      </c>
      <c r="D2115" s="48" t="s">
        <v>365</v>
      </c>
    </row>
    <row r="2116" spans="2:4" x14ac:dyDescent="0.15">
      <c r="B2116" s="46" t="s">
        <v>3601</v>
      </c>
      <c r="C2116" s="47">
        <v>9142</v>
      </c>
      <c r="D2116" s="48" t="s">
        <v>365</v>
      </c>
    </row>
    <row r="2117" spans="2:4" x14ac:dyDescent="0.15">
      <c r="B2117" s="46" t="s">
        <v>3602</v>
      </c>
      <c r="C2117" s="47">
        <v>9143</v>
      </c>
      <c r="D2117" s="48" t="s">
        <v>365</v>
      </c>
    </row>
    <row r="2118" spans="2:4" x14ac:dyDescent="0.15">
      <c r="B2118" s="46" t="s">
        <v>3603</v>
      </c>
      <c r="C2118" s="47">
        <v>9144</v>
      </c>
      <c r="D2118" s="48" t="s">
        <v>365</v>
      </c>
    </row>
    <row r="2119" spans="2:4" x14ac:dyDescent="0.15">
      <c r="B2119" s="46" t="s">
        <v>3604</v>
      </c>
      <c r="C2119" s="47">
        <v>9145</v>
      </c>
      <c r="D2119" s="48" t="s">
        <v>365</v>
      </c>
    </row>
    <row r="2120" spans="2:4" x14ac:dyDescent="0.15">
      <c r="B2120" s="46" t="s">
        <v>1472</v>
      </c>
      <c r="C2120" s="47">
        <v>9146</v>
      </c>
      <c r="D2120" s="48" t="s">
        <v>365</v>
      </c>
    </row>
    <row r="2121" spans="2:4" x14ac:dyDescent="0.15">
      <c r="B2121" s="46" t="s">
        <v>1600</v>
      </c>
      <c r="C2121" s="47">
        <v>9147</v>
      </c>
      <c r="D2121" s="48" t="s">
        <v>365</v>
      </c>
    </row>
    <row r="2122" spans="2:4" x14ac:dyDescent="0.15">
      <c r="B2122" s="46" t="s">
        <v>3605</v>
      </c>
      <c r="C2122" s="47">
        <v>9148</v>
      </c>
      <c r="D2122" s="48" t="s">
        <v>365</v>
      </c>
    </row>
    <row r="2123" spans="2:4" x14ac:dyDescent="0.15">
      <c r="B2123" s="46" t="s">
        <v>1003</v>
      </c>
      <c r="C2123" s="47">
        <v>9149</v>
      </c>
      <c r="D2123" s="48" t="s">
        <v>365</v>
      </c>
    </row>
    <row r="2124" spans="2:4" x14ac:dyDescent="0.15">
      <c r="B2124" s="46" t="s">
        <v>1066</v>
      </c>
      <c r="C2124" s="47">
        <v>9150</v>
      </c>
      <c r="D2124" s="48" t="s">
        <v>365</v>
      </c>
    </row>
    <row r="2125" spans="2:4" x14ac:dyDescent="0.15">
      <c r="B2125" s="46" t="s">
        <v>1907</v>
      </c>
      <c r="C2125" s="47">
        <v>9151</v>
      </c>
      <c r="D2125" s="48" t="s">
        <v>365</v>
      </c>
    </row>
    <row r="2126" spans="2:4" x14ac:dyDescent="0.15">
      <c r="B2126" s="46" t="s">
        <v>3606</v>
      </c>
      <c r="C2126" s="47">
        <v>9152</v>
      </c>
      <c r="D2126" s="48" t="s">
        <v>365</v>
      </c>
    </row>
    <row r="2127" spans="2:4" x14ac:dyDescent="0.15">
      <c r="B2127" s="46" t="s">
        <v>3607</v>
      </c>
      <c r="C2127" s="47">
        <v>9153</v>
      </c>
      <c r="D2127" s="48" t="s">
        <v>365</v>
      </c>
    </row>
    <row r="2128" spans="2:4" x14ac:dyDescent="0.15">
      <c r="B2128" s="46" t="s">
        <v>3608</v>
      </c>
      <c r="C2128" s="47">
        <v>9154</v>
      </c>
      <c r="D2128" s="48" t="s">
        <v>365</v>
      </c>
    </row>
    <row r="2129" spans="2:4" x14ac:dyDescent="0.15">
      <c r="B2129" s="46" t="s">
        <v>3609</v>
      </c>
      <c r="C2129" s="47">
        <v>9155</v>
      </c>
      <c r="D2129" s="48" t="s">
        <v>365</v>
      </c>
    </row>
    <row r="2130" spans="2:4" x14ac:dyDescent="0.15">
      <c r="B2130" s="46" t="s">
        <v>3610</v>
      </c>
      <c r="C2130" s="47">
        <v>9156</v>
      </c>
      <c r="D2130" s="48" t="s">
        <v>365</v>
      </c>
    </row>
    <row r="2131" spans="2:4" x14ac:dyDescent="0.15">
      <c r="B2131" s="46" t="s">
        <v>3611</v>
      </c>
      <c r="C2131" s="47">
        <v>9157</v>
      </c>
      <c r="D2131" s="48" t="s">
        <v>365</v>
      </c>
    </row>
    <row r="2132" spans="2:4" x14ac:dyDescent="0.15">
      <c r="B2132" s="46" t="s">
        <v>3612</v>
      </c>
      <c r="C2132" s="47">
        <v>9158</v>
      </c>
      <c r="D2132" s="48" t="s">
        <v>365</v>
      </c>
    </row>
    <row r="2133" spans="2:4" x14ac:dyDescent="0.15">
      <c r="B2133" s="46" t="s">
        <v>3613</v>
      </c>
      <c r="C2133" s="47">
        <v>9159</v>
      </c>
      <c r="D2133" s="48" t="s">
        <v>365</v>
      </c>
    </row>
    <row r="2134" spans="2:4" x14ac:dyDescent="0.15">
      <c r="B2134" s="46" t="s">
        <v>3614</v>
      </c>
      <c r="C2134" s="47">
        <v>9160</v>
      </c>
      <c r="D2134" s="48" t="s">
        <v>365</v>
      </c>
    </row>
    <row r="2135" spans="2:4" x14ac:dyDescent="0.15">
      <c r="B2135" s="46" t="s">
        <v>3615</v>
      </c>
      <c r="C2135" s="47">
        <v>9161</v>
      </c>
      <c r="D2135" s="48" t="s">
        <v>365</v>
      </c>
    </row>
    <row r="2136" spans="2:4" x14ac:dyDescent="0.15">
      <c r="B2136" s="46" t="s">
        <v>3616</v>
      </c>
      <c r="C2136" s="47">
        <v>9162</v>
      </c>
      <c r="D2136" s="48" t="s">
        <v>365</v>
      </c>
    </row>
    <row r="2137" spans="2:4" x14ac:dyDescent="0.15">
      <c r="B2137" s="46" t="s">
        <v>3617</v>
      </c>
      <c r="C2137" s="47">
        <v>9163</v>
      </c>
      <c r="D2137" s="48" t="s">
        <v>365</v>
      </c>
    </row>
    <row r="2138" spans="2:4" x14ac:dyDescent="0.15">
      <c r="B2138" s="46" t="s">
        <v>3618</v>
      </c>
      <c r="C2138" s="47">
        <v>9164</v>
      </c>
      <c r="D2138" s="48" t="s">
        <v>365</v>
      </c>
    </row>
    <row r="2139" spans="2:4" x14ac:dyDescent="0.15">
      <c r="B2139" s="46" t="s">
        <v>1238</v>
      </c>
      <c r="C2139" s="47">
        <v>9165</v>
      </c>
      <c r="D2139" s="48" t="s">
        <v>365</v>
      </c>
    </row>
    <row r="2140" spans="2:4" x14ac:dyDescent="0.15">
      <c r="B2140" s="46" t="s">
        <v>3619</v>
      </c>
      <c r="C2140" s="47">
        <v>9166</v>
      </c>
      <c r="D2140" s="48" t="s">
        <v>365</v>
      </c>
    </row>
    <row r="2141" spans="2:4" x14ac:dyDescent="0.15">
      <c r="B2141" s="46" t="s">
        <v>3620</v>
      </c>
      <c r="C2141" s="47">
        <v>9167</v>
      </c>
      <c r="D2141" s="48" t="s">
        <v>365</v>
      </c>
    </row>
    <row r="2142" spans="2:4" x14ac:dyDescent="0.15">
      <c r="B2142" s="46" t="s">
        <v>3621</v>
      </c>
      <c r="C2142" s="47">
        <v>9168</v>
      </c>
      <c r="D2142" s="48" t="s">
        <v>365</v>
      </c>
    </row>
    <row r="2143" spans="2:4" x14ac:dyDescent="0.15">
      <c r="B2143" s="46" t="s">
        <v>3622</v>
      </c>
      <c r="C2143" s="47">
        <v>9169</v>
      </c>
      <c r="D2143" s="48" t="s">
        <v>365</v>
      </c>
    </row>
    <row r="2144" spans="2:4" x14ac:dyDescent="0.15">
      <c r="B2144" s="46" t="s">
        <v>3623</v>
      </c>
      <c r="C2144" s="47">
        <v>9170</v>
      </c>
      <c r="D2144" s="48" t="s">
        <v>365</v>
      </c>
    </row>
    <row r="2145" spans="2:4" x14ac:dyDescent="0.15">
      <c r="B2145" s="46" t="s">
        <v>3624</v>
      </c>
      <c r="C2145" s="47">
        <v>9171</v>
      </c>
      <c r="D2145" s="48" t="s">
        <v>365</v>
      </c>
    </row>
    <row r="2146" spans="2:4" x14ac:dyDescent="0.15">
      <c r="B2146" s="46" t="s">
        <v>3625</v>
      </c>
      <c r="C2146" s="47">
        <v>9172</v>
      </c>
      <c r="D2146" s="48" t="s">
        <v>365</v>
      </c>
    </row>
    <row r="2147" spans="2:4" x14ac:dyDescent="0.15">
      <c r="B2147" s="46" t="s">
        <v>3626</v>
      </c>
      <c r="C2147" s="47">
        <v>9173</v>
      </c>
      <c r="D2147" s="48" t="s">
        <v>365</v>
      </c>
    </row>
    <row r="2148" spans="2:4" x14ac:dyDescent="0.15">
      <c r="B2148" s="46" t="s">
        <v>3627</v>
      </c>
      <c r="C2148" s="47">
        <v>9174</v>
      </c>
      <c r="D2148" s="48" t="s">
        <v>365</v>
      </c>
    </row>
    <row r="2149" spans="2:4" x14ac:dyDescent="0.15">
      <c r="B2149" s="46" t="s">
        <v>3628</v>
      </c>
      <c r="C2149" s="47">
        <v>9175</v>
      </c>
      <c r="D2149" s="48" t="s">
        <v>365</v>
      </c>
    </row>
    <row r="2150" spans="2:4" x14ac:dyDescent="0.15">
      <c r="B2150" s="46" t="s">
        <v>3629</v>
      </c>
      <c r="C2150" s="47">
        <v>9176</v>
      </c>
      <c r="D2150" s="48" t="s">
        <v>365</v>
      </c>
    </row>
    <row r="2151" spans="2:4" x14ac:dyDescent="0.15">
      <c r="B2151" s="46" t="s">
        <v>3630</v>
      </c>
      <c r="C2151" s="47">
        <v>9177</v>
      </c>
      <c r="D2151" s="48" t="s">
        <v>365</v>
      </c>
    </row>
    <row r="2152" spans="2:4" x14ac:dyDescent="0.15">
      <c r="B2152" s="46" t="s">
        <v>3631</v>
      </c>
      <c r="C2152" s="47">
        <v>9178</v>
      </c>
      <c r="D2152" s="48" t="s">
        <v>365</v>
      </c>
    </row>
    <row r="2153" spans="2:4" x14ac:dyDescent="0.15">
      <c r="B2153" s="46" t="s">
        <v>3632</v>
      </c>
      <c r="C2153" s="47">
        <v>9179</v>
      </c>
      <c r="D2153" s="48" t="s">
        <v>365</v>
      </c>
    </row>
    <row r="2154" spans="2:4" x14ac:dyDescent="0.15">
      <c r="B2154" s="46" t="s">
        <v>3633</v>
      </c>
      <c r="C2154" s="47">
        <v>9180</v>
      </c>
      <c r="D2154" s="48" t="s">
        <v>365</v>
      </c>
    </row>
    <row r="2155" spans="2:4" x14ac:dyDescent="0.15">
      <c r="B2155" s="46" t="s">
        <v>3634</v>
      </c>
      <c r="C2155" s="47">
        <v>9181</v>
      </c>
      <c r="D2155" s="48" t="s">
        <v>365</v>
      </c>
    </row>
    <row r="2156" spans="2:4" x14ac:dyDescent="0.15">
      <c r="B2156" s="46" t="s">
        <v>3635</v>
      </c>
      <c r="C2156" s="47">
        <v>9182</v>
      </c>
      <c r="D2156" s="48" t="s">
        <v>365</v>
      </c>
    </row>
    <row r="2157" spans="2:4" x14ac:dyDescent="0.15">
      <c r="B2157" s="46" t="s">
        <v>3636</v>
      </c>
      <c r="C2157" s="47">
        <v>9183</v>
      </c>
      <c r="D2157" s="48" t="s">
        <v>365</v>
      </c>
    </row>
    <row r="2158" spans="2:4" x14ac:dyDescent="0.15">
      <c r="B2158" s="46" t="s">
        <v>3637</v>
      </c>
      <c r="C2158" s="47">
        <v>9184</v>
      </c>
      <c r="D2158" s="48" t="s">
        <v>365</v>
      </c>
    </row>
    <row r="2159" spans="2:4" x14ac:dyDescent="0.15">
      <c r="B2159" s="46" t="s">
        <v>3638</v>
      </c>
      <c r="C2159" s="47">
        <v>9185</v>
      </c>
      <c r="D2159" s="48" t="s">
        <v>365</v>
      </c>
    </row>
    <row r="2160" spans="2:4" x14ac:dyDescent="0.15">
      <c r="B2160" s="46" t="s">
        <v>3639</v>
      </c>
      <c r="C2160" s="47">
        <v>9186</v>
      </c>
      <c r="D2160" s="48" t="s">
        <v>365</v>
      </c>
    </row>
    <row r="2161" spans="2:4" x14ac:dyDescent="0.15">
      <c r="B2161" s="46" t="s">
        <v>3640</v>
      </c>
      <c r="C2161" s="47">
        <v>9187</v>
      </c>
      <c r="D2161" s="48" t="s">
        <v>365</v>
      </c>
    </row>
    <row r="2162" spans="2:4" x14ac:dyDescent="0.15">
      <c r="B2162" s="46" t="s">
        <v>3641</v>
      </c>
      <c r="C2162" s="47">
        <v>9188</v>
      </c>
      <c r="D2162" s="48" t="s">
        <v>365</v>
      </c>
    </row>
    <row r="2163" spans="2:4" x14ac:dyDescent="0.15">
      <c r="B2163" s="46" t="s">
        <v>3642</v>
      </c>
      <c r="C2163" s="47">
        <v>9189</v>
      </c>
      <c r="D2163" s="48" t="s">
        <v>365</v>
      </c>
    </row>
    <row r="2164" spans="2:4" x14ac:dyDescent="0.15">
      <c r="B2164" s="46" t="s">
        <v>3643</v>
      </c>
      <c r="C2164" s="47">
        <v>9190</v>
      </c>
      <c r="D2164" s="48" t="s">
        <v>365</v>
      </c>
    </row>
    <row r="2165" spans="2:4" x14ac:dyDescent="0.15">
      <c r="B2165" s="46" t="s">
        <v>3644</v>
      </c>
      <c r="C2165" s="47">
        <v>9191</v>
      </c>
      <c r="D2165" s="48" t="s">
        <v>365</v>
      </c>
    </row>
    <row r="2166" spans="2:4" x14ac:dyDescent="0.15">
      <c r="B2166" s="46" t="s">
        <v>3645</v>
      </c>
      <c r="C2166" s="47">
        <v>9192</v>
      </c>
      <c r="D2166" s="48" t="s">
        <v>365</v>
      </c>
    </row>
    <row r="2167" spans="2:4" x14ac:dyDescent="0.15">
      <c r="B2167" s="46" t="s">
        <v>3646</v>
      </c>
      <c r="C2167" s="47">
        <v>9193</v>
      </c>
      <c r="D2167" s="48" t="s">
        <v>365</v>
      </c>
    </row>
    <row r="2168" spans="2:4" x14ac:dyDescent="0.15">
      <c r="B2168" s="46" t="s">
        <v>3647</v>
      </c>
      <c r="C2168" s="47">
        <v>9194</v>
      </c>
      <c r="D2168" s="48" t="s">
        <v>365</v>
      </c>
    </row>
    <row r="2169" spans="2:4" x14ac:dyDescent="0.15">
      <c r="B2169" s="46" t="s">
        <v>3648</v>
      </c>
      <c r="C2169" s="47">
        <v>9195</v>
      </c>
      <c r="D2169" s="48" t="s">
        <v>365</v>
      </c>
    </row>
    <row r="2170" spans="2:4" x14ac:dyDescent="0.15">
      <c r="B2170" s="46" t="s">
        <v>3649</v>
      </c>
      <c r="C2170" s="47">
        <v>9196</v>
      </c>
      <c r="D2170" s="48" t="s">
        <v>365</v>
      </c>
    </row>
    <row r="2171" spans="2:4" x14ac:dyDescent="0.15">
      <c r="B2171" s="46" t="s">
        <v>3650</v>
      </c>
      <c r="C2171" s="47">
        <v>9197</v>
      </c>
      <c r="D2171" s="48" t="s">
        <v>365</v>
      </c>
    </row>
    <row r="2172" spans="2:4" x14ac:dyDescent="0.15">
      <c r="B2172" s="46" t="s">
        <v>1083</v>
      </c>
      <c r="C2172" s="47">
        <v>9198</v>
      </c>
      <c r="D2172" s="48" t="s">
        <v>365</v>
      </c>
    </row>
    <row r="2173" spans="2:4" x14ac:dyDescent="0.15">
      <c r="B2173" s="46" t="s">
        <v>3651</v>
      </c>
      <c r="C2173" s="47">
        <v>9199</v>
      </c>
      <c r="D2173" s="48" t="s">
        <v>365</v>
      </c>
    </row>
    <row r="2174" spans="2:4" x14ac:dyDescent="0.15">
      <c r="B2174" s="46" t="s">
        <v>3652</v>
      </c>
      <c r="C2174" s="47">
        <v>9200</v>
      </c>
      <c r="D2174" s="48" t="s">
        <v>365</v>
      </c>
    </row>
    <row r="2175" spans="2:4" x14ac:dyDescent="0.15">
      <c r="B2175" s="46" t="s">
        <v>3653</v>
      </c>
      <c r="C2175" s="47">
        <v>9201</v>
      </c>
      <c r="D2175" s="48" t="s">
        <v>365</v>
      </c>
    </row>
    <row r="2176" spans="2:4" x14ac:dyDescent="0.15">
      <c r="B2176" s="46" t="s">
        <v>1092</v>
      </c>
      <c r="C2176" s="47">
        <v>9202</v>
      </c>
      <c r="D2176" s="48" t="s">
        <v>365</v>
      </c>
    </row>
    <row r="2177" spans="2:4" x14ac:dyDescent="0.15">
      <c r="B2177" s="46" t="s">
        <v>1093</v>
      </c>
      <c r="C2177" s="47">
        <v>9203</v>
      </c>
      <c r="D2177" s="48" t="s">
        <v>365</v>
      </c>
    </row>
    <row r="2178" spans="2:4" x14ac:dyDescent="0.15">
      <c r="B2178" s="46" t="s">
        <v>1095</v>
      </c>
      <c r="C2178" s="47">
        <v>9204</v>
      </c>
      <c r="D2178" s="48" t="s">
        <v>365</v>
      </c>
    </row>
    <row r="2179" spans="2:4" x14ac:dyDescent="0.15">
      <c r="B2179" s="46" t="s">
        <v>1127</v>
      </c>
      <c r="C2179" s="47">
        <v>9205</v>
      </c>
      <c r="D2179" s="48" t="s">
        <v>365</v>
      </c>
    </row>
    <row r="2180" spans="2:4" x14ac:dyDescent="0.15">
      <c r="B2180" s="46" t="s">
        <v>3654</v>
      </c>
      <c r="C2180" s="47">
        <v>9206</v>
      </c>
      <c r="D2180" s="48" t="s">
        <v>365</v>
      </c>
    </row>
    <row r="2181" spans="2:4" x14ac:dyDescent="0.15">
      <c r="B2181" s="46" t="s">
        <v>3655</v>
      </c>
      <c r="C2181" s="47">
        <v>9207</v>
      </c>
      <c r="D2181" s="48" t="s">
        <v>365</v>
      </c>
    </row>
    <row r="2182" spans="2:4" x14ac:dyDescent="0.15">
      <c r="B2182" s="46" t="s">
        <v>3656</v>
      </c>
      <c r="C2182" s="47">
        <v>9208</v>
      </c>
      <c r="D2182" s="48" t="s">
        <v>365</v>
      </c>
    </row>
    <row r="2183" spans="2:4" x14ac:dyDescent="0.15">
      <c r="B2183" s="46" t="s">
        <v>3657</v>
      </c>
      <c r="C2183" s="47">
        <v>9209</v>
      </c>
      <c r="D2183" s="48" t="s">
        <v>365</v>
      </c>
    </row>
    <row r="2184" spans="2:4" x14ac:dyDescent="0.15">
      <c r="B2184" s="46" t="s">
        <v>3658</v>
      </c>
      <c r="C2184" s="47">
        <v>9210</v>
      </c>
      <c r="D2184" s="48" t="s">
        <v>365</v>
      </c>
    </row>
    <row r="2185" spans="2:4" x14ac:dyDescent="0.15">
      <c r="B2185" s="46" t="s">
        <v>3659</v>
      </c>
      <c r="C2185" s="47">
        <v>9211</v>
      </c>
      <c r="D2185" s="48" t="s">
        <v>365</v>
      </c>
    </row>
    <row r="2186" spans="2:4" x14ac:dyDescent="0.15">
      <c r="B2186" s="46" t="s">
        <v>3660</v>
      </c>
      <c r="C2186" s="47">
        <v>9212</v>
      </c>
      <c r="D2186" s="48" t="s">
        <v>365</v>
      </c>
    </row>
    <row r="2187" spans="2:4" x14ac:dyDescent="0.15">
      <c r="B2187" s="46" t="s">
        <v>3661</v>
      </c>
      <c r="C2187" s="47">
        <v>9213</v>
      </c>
      <c r="D2187" s="48" t="s">
        <v>365</v>
      </c>
    </row>
    <row r="2188" spans="2:4" x14ac:dyDescent="0.15">
      <c r="B2188" s="46" t="s">
        <v>1259</v>
      </c>
      <c r="C2188" s="47">
        <v>9214</v>
      </c>
      <c r="D2188" s="48" t="s">
        <v>365</v>
      </c>
    </row>
    <row r="2189" spans="2:4" x14ac:dyDescent="0.15">
      <c r="B2189" s="46" t="s">
        <v>3662</v>
      </c>
      <c r="C2189" s="47">
        <v>9215</v>
      </c>
      <c r="D2189" s="48" t="s">
        <v>365</v>
      </c>
    </row>
    <row r="2190" spans="2:4" x14ac:dyDescent="0.15">
      <c r="B2190" s="46" t="s">
        <v>3663</v>
      </c>
      <c r="C2190" s="47">
        <v>9216</v>
      </c>
      <c r="D2190" s="48" t="s">
        <v>365</v>
      </c>
    </row>
    <row r="2191" spans="2:4" x14ac:dyDescent="0.15">
      <c r="B2191" s="46" t="s">
        <v>3664</v>
      </c>
      <c r="C2191" s="47">
        <v>9217</v>
      </c>
      <c r="D2191" s="48" t="s">
        <v>365</v>
      </c>
    </row>
    <row r="2192" spans="2:4" x14ac:dyDescent="0.15">
      <c r="B2192" s="46" t="s">
        <v>3665</v>
      </c>
      <c r="C2192" s="47">
        <v>9219</v>
      </c>
      <c r="D2192" s="48" t="s">
        <v>365</v>
      </c>
    </row>
    <row r="2193" spans="2:4" x14ac:dyDescent="0.15">
      <c r="B2193" s="46" t="s">
        <v>3666</v>
      </c>
      <c r="C2193" s="47">
        <v>9225</v>
      </c>
      <c r="D2193" s="48" t="s">
        <v>365</v>
      </c>
    </row>
    <row r="2194" spans="2:4" x14ac:dyDescent="0.15">
      <c r="B2194" s="46" t="s">
        <v>3667</v>
      </c>
      <c r="C2194" s="47">
        <v>9226</v>
      </c>
      <c r="D2194" s="48" t="s">
        <v>365</v>
      </c>
    </row>
    <row r="2195" spans="2:4" x14ac:dyDescent="0.15">
      <c r="B2195" s="46" t="s">
        <v>651</v>
      </c>
      <c r="C2195" s="47">
        <v>9227</v>
      </c>
      <c r="D2195" s="48" t="s">
        <v>365</v>
      </c>
    </row>
    <row r="2196" spans="2:4" x14ac:dyDescent="0.15">
      <c r="B2196" s="46" t="s">
        <v>1107</v>
      </c>
      <c r="C2196" s="47">
        <v>9228</v>
      </c>
      <c r="D2196" s="48" t="s">
        <v>365</v>
      </c>
    </row>
    <row r="2197" spans="2:4" x14ac:dyDescent="0.15">
      <c r="B2197" s="46" t="s">
        <v>3668</v>
      </c>
      <c r="C2197" s="47">
        <v>9229</v>
      </c>
      <c r="D2197" s="48" t="s">
        <v>365</v>
      </c>
    </row>
    <row r="2198" spans="2:4" x14ac:dyDescent="0.15">
      <c r="B2198" s="46" t="s">
        <v>3669</v>
      </c>
      <c r="C2198" s="47">
        <v>9231</v>
      </c>
      <c r="D2198" s="48" t="s">
        <v>365</v>
      </c>
    </row>
    <row r="2199" spans="2:4" x14ac:dyDescent="0.15">
      <c r="B2199" s="46" t="s">
        <v>3670</v>
      </c>
      <c r="C2199" s="47">
        <v>9232</v>
      </c>
      <c r="D2199" s="48" t="s">
        <v>365</v>
      </c>
    </row>
    <row r="2200" spans="2:4" x14ac:dyDescent="0.15">
      <c r="B2200" s="46" t="s">
        <v>3671</v>
      </c>
      <c r="C2200" s="47">
        <v>9233</v>
      </c>
      <c r="D2200" s="48" t="s">
        <v>365</v>
      </c>
    </row>
    <row r="2201" spans="2:4" x14ac:dyDescent="0.15">
      <c r="B2201" s="46" t="s">
        <v>1244</v>
      </c>
      <c r="C2201" s="47">
        <v>9234</v>
      </c>
      <c r="D2201" s="48" t="s">
        <v>365</v>
      </c>
    </row>
    <row r="2202" spans="2:4" x14ac:dyDescent="0.15">
      <c r="B2202" s="46" t="s">
        <v>1246</v>
      </c>
      <c r="C2202" s="47">
        <v>9235</v>
      </c>
      <c r="D2202" s="48" t="s">
        <v>365</v>
      </c>
    </row>
    <row r="2203" spans="2:4" x14ac:dyDescent="0.15">
      <c r="B2203" s="46" t="s">
        <v>3672</v>
      </c>
      <c r="C2203" s="47">
        <v>9236</v>
      </c>
      <c r="D2203" s="48" t="s">
        <v>365</v>
      </c>
    </row>
    <row r="2204" spans="2:4" x14ac:dyDescent="0.15">
      <c r="B2204" s="46" t="s">
        <v>1114</v>
      </c>
      <c r="C2204" s="47">
        <v>9237</v>
      </c>
      <c r="D2204" s="48" t="s">
        <v>365</v>
      </c>
    </row>
    <row r="2205" spans="2:4" x14ac:dyDescent="0.15">
      <c r="B2205" s="46" t="s">
        <v>1125</v>
      </c>
      <c r="C2205" s="47">
        <v>9238</v>
      </c>
      <c r="D2205" s="48" t="s">
        <v>365</v>
      </c>
    </row>
    <row r="2206" spans="2:4" x14ac:dyDescent="0.15">
      <c r="B2206" s="46" t="s">
        <v>3673</v>
      </c>
      <c r="C2206" s="47">
        <v>9239</v>
      </c>
      <c r="D2206" s="48" t="s">
        <v>365</v>
      </c>
    </row>
    <row r="2207" spans="2:4" x14ac:dyDescent="0.15">
      <c r="B2207" s="46" t="s">
        <v>1671</v>
      </c>
      <c r="C2207" s="47">
        <v>9240</v>
      </c>
      <c r="D2207" s="48" t="s">
        <v>365</v>
      </c>
    </row>
    <row r="2208" spans="2:4" x14ac:dyDescent="0.15">
      <c r="B2208" s="46" t="s">
        <v>3674</v>
      </c>
      <c r="C2208" s="47">
        <v>9241</v>
      </c>
      <c r="D2208" s="48" t="s">
        <v>365</v>
      </c>
    </row>
    <row r="2209" spans="2:4" x14ac:dyDescent="0.15">
      <c r="B2209" s="46" t="s">
        <v>3675</v>
      </c>
      <c r="C2209" s="47">
        <v>9242</v>
      </c>
      <c r="D2209" s="48" t="s">
        <v>365</v>
      </c>
    </row>
    <row r="2210" spans="2:4" x14ac:dyDescent="0.15">
      <c r="B2210" s="46" t="s">
        <v>3676</v>
      </c>
      <c r="C2210" s="47">
        <v>9243</v>
      </c>
      <c r="D2210" s="48" t="s">
        <v>365</v>
      </c>
    </row>
    <row r="2211" spans="2:4" x14ac:dyDescent="0.15">
      <c r="B2211" s="46" t="s">
        <v>3677</v>
      </c>
      <c r="C2211" s="47">
        <v>9244</v>
      </c>
      <c r="D2211" s="48" t="s">
        <v>365</v>
      </c>
    </row>
    <row r="2212" spans="2:4" x14ac:dyDescent="0.15">
      <c r="B2212" s="46" t="s">
        <v>1140</v>
      </c>
      <c r="C2212" s="47">
        <v>9245</v>
      </c>
      <c r="D2212" s="48" t="s">
        <v>365</v>
      </c>
    </row>
    <row r="2213" spans="2:4" x14ac:dyDescent="0.15">
      <c r="B2213" s="46" t="s">
        <v>1129</v>
      </c>
      <c r="C2213" s="47">
        <v>9246</v>
      </c>
      <c r="D2213" s="48" t="s">
        <v>365</v>
      </c>
    </row>
    <row r="2214" spans="2:4" x14ac:dyDescent="0.15">
      <c r="B2214" s="46" t="s">
        <v>3678</v>
      </c>
      <c r="C2214" s="47">
        <v>9247</v>
      </c>
      <c r="D2214" s="48" t="s">
        <v>365</v>
      </c>
    </row>
    <row r="2215" spans="2:4" x14ac:dyDescent="0.15">
      <c r="B2215" s="46" t="s">
        <v>1112</v>
      </c>
      <c r="C2215" s="47">
        <v>9248</v>
      </c>
      <c r="D2215" s="48" t="s">
        <v>365</v>
      </c>
    </row>
    <row r="2216" spans="2:4" x14ac:dyDescent="0.15">
      <c r="B2216" s="46" t="s">
        <v>3679</v>
      </c>
      <c r="C2216" s="47">
        <v>9249</v>
      </c>
      <c r="D2216" s="48" t="s">
        <v>365</v>
      </c>
    </row>
    <row r="2217" spans="2:4" x14ac:dyDescent="0.15">
      <c r="B2217" s="46" t="s">
        <v>3680</v>
      </c>
      <c r="C2217" s="47">
        <v>9250</v>
      </c>
      <c r="D2217" s="48" t="s">
        <v>365</v>
      </c>
    </row>
    <row r="2218" spans="2:4" x14ac:dyDescent="0.15">
      <c r="B2218" s="46" t="s">
        <v>3681</v>
      </c>
      <c r="C2218" s="47">
        <v>9251</v>
      </c>
      <c r="D2218" s="48" t="s">
        <v>365</v>
      </c>
    </row>
    <row r="2219" spans="2:4" x14ac:dyDescent="0.15">
      <c r="B2219" s="46" t="s">
        <v>3682</v>
      </c>
      <c r="C2219" s="47">
        <v>9252</v>
      </c>
      <c r="D2219" s="48" t="s">
        <v>365</v>
      </c>
    </row>
    <row r="2220" spans="2:4" x14ac:dyDescent="0.15">
      <c r="B2220" s="46" t="s">
        <v>1148</v>
      </c>
      <c r="C2220" s="47">
        <v>9253</v>
      </c>
      <c r="D2220" s="48" t="s">
        <v>365</v>
      </c>
    </row>
    <row r="2221" spans="2:4" x14ac:dyDescent="0.15">
      <c r="B2221" s="46" t="s">
        <v>1152</v>
      </c>
      <c r="C2221" s="47">
        <v>9254</v>
      </c>
      <c r="D2221" s="48" t="s">
        <v>365</v>
      </c>
    </row>
    <row r="2222" spans="2:4" x14ac:dyDescent="0.15">
      <c r="B2222" s="46" t="s">
        <v>3683</v>
      </c>
      <c r="C2222" s="47">
        <v>9255</v>
      </c>
      <c r="D2222" s="48" t="s">
        <v>365</v>
      </c>
    </row>
    <row r="2223" spans="2:4" x14ac:dyDescent="0.15">
      <c r="B2223" s="46" t="s">
        <v>3684</v>
      </c>
      <c r="C2223" s="47">
        <v>9256</v>
      </c>
      <c r="D2223" s="48" t="s">
        <v>365</v>
      </c>
    </row>
    <row r="2224" spans="2:4" x14ac:dyDescent="0.15">
      <c r="B2224" s="46" t="s">
        <v>3685</v>
      </c>
      <c r="C2224" s="47">
        <v>9257</v>
      </c>
      <c r="D2224" s="48" t="s">
        <v>365</v>
      </c>
    </row>
    <row r="2225" spans="2:4" x14ac:dyDescent="0.15">
      <c r="B2225" s="46" t="s">
        <v>3686</v>
      </c>
      <c r="C2225" s="47">
        <v>9258</v>
      </c>
      <c r="D2225" s="48" t="s">
        <v>365</v>
      </c>
    </row>
    <row r="2226" spans="2:4" x14ac:dyDescent="0.15">
      <c r="B2226" s="46" t="s">
        <v>3687</v>
      </c>
      <c r="C2226" s="47">
        <v>9259</v>
      </c>
      <c r="D2226" s="48" t="s">
        <v>365</v>
      </c>
    </row>
    <row r="2227" spans="2:4" x14ac:dyDescent="0.15">
      <c r="B2227" s="46" t="s">
        <v>3688</v>
      </c>
      <c r="C2227" s="47">
        <v>9260</v>
      </c>
      <c r="D2227" s="48" t="s">
        <v>365</v>
      </c>
    </row>
    <row r="2228" spans="2:4" x14ac:dyDescent="0.15">
      <c r="B2228" s="46" t="s">
        <v>3689</v>
      </c>
      <c r="C2228" s="47">
        <v>9261</v>
      </c>
      <c r="D2228" s="48" t="s">
        <v>365</v>
      </c>
    </row>
    <row r="2229" spans="2:4" x14ac:dyDescent="0.15">
      <c r="B2229" s="46" t="s">
        <v>1499</v>
      </c>
      <c r="C2229" s="47">
        <v>9262</v>
      </c>
      <c r="D2229" s="48" t="s">
        <v>365</v>
      </c>
    </row>
    <row r="2230" spans="2:4" x14ac:dyDescent="0.15">
      <c r="B2230" s="46" t="s">
        <v>1500</v>
      </c>
      <c r="C2230" s="47">
        <v>9263</v>
      </c>
      <c r="D2230" s="48" t="s">
        <v>365</v>
      </c>
    </row>
    <row r="2231" spans="2:4" x14ac:dyDescent="0.15">
      <c r="B2231" s="46" t="s">
        <v>1502</v>
      </c>
      <c r="C2231" s="47">
        <v>9264</v>
      </c>
      <c r="D2231" s="48" t="s">
        <v>365</v>
      </c>
    </row>
    <row r="2232" spans="2:4" x14ac:dyDescent="0.15">
      <c r="B2232" s="46" t="s">
        <v>3690</v>
      </c>
      <c r="C2232" s="47">
        <v>9265</v>
      </c>
      <c r="D2232" s="48" t="s">
        <v>365</v>
      </c>
    </row>
    <row r="2233" spans="2:4" x14ac:dyDescent="0.15">
      <c r="B2233" s="46" t="s">
        <v>3691</v>
      </c>
      <c r="C2233" s="47">
        <v>9266</v>
      </c>
      <c r="D2233" s="48" t="s">
        <v>365</v>
      </c>
    </row>
    <row r="2234" spans="2:4" x14ac:dyDescent="0.15">
      <c r="B2234" s="46" t="s">
        <v>3692</v>
      </c>
      <c r="C2234" s="47">
        <v>9267</v>
      </c>
      <c r="D2234" s="48" t="s">
        <v>365</v>
      </c>
    </row>
    <row r="2235" spans="2:4" x14ac:dyDescent="0.15">
      <c r="B2235" s="46" t="s">
        <v>3693</v>
      </c>
      <c r="C2235" s="47">
        <v>9268</v>
      </c>
      <c r="D2235" s="48" t="s">
        <v>365</v>
      </c>
    </row>
    <row r="2236" spans="2:4" x14ac:dyDescent="0.15">
      <c r="B2236" s="46" t="s">
        <v>3694</v>
      </c>
      <c r="C2236" s="47">
        <v>9269</v>
      </c>
      <c r="D2236" s="48" t="s">
        <v>365</v>
      </c>
    </row>
    <row r="2237" spans="2:4" x14ac:dyDescent="0.15">
      <c r="B2237" s="46" t="s">
        <v>3695</v>
      </c>
      <c r="C2237" s="47">
        <v>9270</v>
      </c>
      <c r="D2237" s="48" t="s">
        <v>365</v>
      </c>
    </row>
    <row r="2238" spans="2:4" x14ac:dyDescent="0.15">
      <c r="B2238" s="46" t="s">
        <v>1767</v>
      </c>
      <c r="C2238" s="47">
        <v>9271</v>
      </c>
      <c r="D2238" s="48" t="s">
        <v>365</v>
      </c>
    </row>
    <row r="2239" spans="2:4" x14ac:dyDescent="0.15">
      <c r="B2239" s="46" t="s">
        <v>3696</v>
      </c>
      <c r="C2239" s="47">
        <v>9272</v>
      </c>
      <c r="D2239" s="48" t="s">
        <v>365</v>
      </c>
    </row>
    <row r="2240" spans="2:4" x14ac:dyDescent="0.15">
      <c r="B2240" s="46" t="s">
        <v>3697</v>
      </c>
      <c r="C2240" s="47">
        <v>9273</v>
      </c>
      <c r="D2240" s="48" t="s">
        <v>365</v>
      </c>
    </row>
    <row r="2241" spans="2:4" x14ac:dyDescent="0.15">
      <c r="B2241" s="46" t="s">
        <v>3698</v>
      </c>
      <c r="C2241" s="47">
        <v>9274</v>
      </c>
      <c r="D2241" s="48" t="s">
        <v>365</v>
      </c>
    </row>
    <row r="2242" spans="2:4" x14ac:dyDescent="0.15">
      <c r="B2242" s="46" t="s">
        <v>3699</v>
      </c>
      <c r="C2242" s="47">
        <v>9275</v>
      </c>
      <c r="D2242" s="48" t="s">
        <v>365</v>
      </c>
    </row>
    <row r="2243" spans="2:4" x14ac:dyDescent="0.15">
      <c r="B2243" s="46" t="s">
        <v>3700</v>
      </c>
      <c r="C2243" s="47">
        <v>9276</v>
      </c>
      <c r="D2243" s="48" t="s">
        <v>365</v>
      </c>
    </row>
    <row r="2244" spans="2:4" x14ac:dyDescent="0.15">
      <c r="B2244" s="46" t="s">
        <v>3701</v>
      </c>
      <c r="C2244" s="47">
        <v>9277</v>
      </c>
      <c r="D2244" s="48" t="s">
        <v>365</v>
      </c>
    </row>
    <row r="2245" spans="2:4" x14ac:dyDescent="0.15">
      <c r="B2245" s="46" t="s">
        <v>3702</v>
      </c>
      <c r="C2245" s="47">
        <v>9278</v>
      </c>
      <c r="D2245" s="48" t="s">
        <v>365</v>
      </c>
    </row>
    <row r="2246" spans="2:4" x14ac:dyDescent="0.15">
      <c r="B2246" s="46" t="s">
        <v>3703</v>
      </c>
      <c r="C2246" s="47">
        <v>9279</v>
      </c>
      <c r="D2246" s="48" t="s">
        <v>365</v>
      </c>
    </row>
    <row r="2247" spans="2:4" x14ac:dyDescent="0.15">
      <c r="B2247" s="46" t="s">
        <v>3704</v>
      </c>
      <c r="C2247" s="47">
        <v>9280</v>
      </c>
      <c r="D2247" s="48" t="s">
        <v>365</v>
      </c>
    </row>
    <row r="2248" spans="2:4" x14ac:dyDescent="0.15">
      <c r="B2248" s="46" t="s">
        <v>1314</v>
      </c>
      <c r="C2248" s="47">
        <v>9281</v>
      </c>
      <c r="D2248" s="48" t="s">
        <v>365</v>
      </c>
    </row>
    <row r="2249" spans="2:4" x14ac:dyDescent="0.15">
      <c r="B2249" s="46" t="s">
        <v>3705</v>
      </c>
      <c r="C2249" s="47">
        <v>9282</v>
      </c>
      <c r="D2249" s="48" t="s">
        <v>365</v>
      </c>
    </row>
    <row r="2250" spans="2:4" x14ac:dyDescent="0.15">
      <c r="B2250" s="46" t="s">
        <v>3706</v>
      </c>
      <c r="C2250" s="47">
        <v>9283</v>
      </c>
      <c r="D2250" s="48" t="s">
        <v>365</v>
      </c>
    </row>
    <row r="2251" spans="2:4" x14ac:dyDescent="0.15">
      <c r="B2251" s="46" t="s">
        <v>3707</v>
      </c>
      <c r="C2251" s="47">
        <v>9284</v>
      </c>
      <c r="D2251" s="48" t="s">
        <v>365</v>
      </c>
    </row>
    <row r="2252" spans="2:4" x14ac:dyDescent="0.15">
      <c r="B2252" s="46" t="s">
        <v>3708</v>
      </c>
      <c r="C2252" s="47">
        <v>9285</v>
      </c>
      <c r="D2252" s="48" t="s">
        <v>365</v>
      </c>
    </row>
    <row r="2253" spans="2:4" x14ac:dyDescent="0.15">
      <c r="B2253" s="46" t="s">
        <v>3709</v>
      </c>
      <c r="C2253" s="47">
        <v>9286</v>
      </c>
      <c r="D2253" s="48" t="s">
        <v>365</v>
      </c>
    </row>
    <row r="2254" spans="2:4" x14ac:dyDescent="0.15">
      <c r="B2254" s="46" t="s">
        <v>3710</v>
      </c>
      <c r="C2254" s="47">
        <v>9287</v>
      </c>
      <c r="D2254" s="48" t="s">
        <v>365</v>
      </c>
    </row>
    <row r="2255" spans="2:4" x14ac:dyDescent="0.15">
      <c r="B2255" s="46" t="s">
        <v>3711</v>
      </c>
      <c r="C2255" s="47">
        <v>9288</v>
      </c>
      <c r="D2255" s="48" t="s">
        <v>365</v>
      </c>
    </row>
    <row r="2256" spans="2:4" x14ac:dyDescent="0.15">
      <c r="B2256" s="46" t="s">
        <v>3712</v>
      </c>
      <c r="C2256" s="47">
        <v>9289</v>
      </c>
      <c r="D2256" s="48" t="s">
        <v>365</v>
      </c>
    </row>
    <row r="2257" spans="2:4" x14ac:dyDescent="0.15">
      <c r="B2257" s="46" t="s">
        <v>3713</v>
      </c>
      <c r="C2257" s="47">
        <v>9290</v>
      </c>
      <c r="D2257" s="48" t="s">
        <v>365</v>
      </c>
    </row>
    <row r="2258" spans="2:4" x14ac:dyDescent="0.15">
      <c r="B2258" s="46" t="s">
        <v>3714</v>
      </c>
      <c r="C2258" s="47">
        <v>9291</v>
      </c>
      <c r="D2258" s="48" t="s">
        <v>365</v>
      </c>
    </row>
    <row r="2259" spans="2:4" x14ac:dyDescent="0.15">
      <c r="B2259" s="46" t="s">
        <v>3715</v>
      </c>
      <c r="C2259" s="47">
        <v>9292</v>
      </c>
      <c r="D2259" s="48" t="s">
        <v>365</v>
      </c>
    </row>
    <row r="2260" spans="2:4" x14ac:dyDescent="0.15">
      <c r="B2260" s="46" t="s">
        <v>3716</v>
      </c>
      <c r="C2260" s="47">
        <v>9293</v>
      </c>
      <c r="D2260" s="48" t="s">
        <v>365</v>
      </c>
    </row>
    <row r="2261" spans="2:4" x14ac:dyDescent="0.15">
      <c r="B2261" s="46" t="s">
        <v>3717</v>
      </c>
      <c r="C2261" s="47">
        <v>9294</v>
      </c>
      <c r="D2261" s="48" t="s">
        <v>365</v>
      </c>
    </row>
    <row r="2262" spans="2:4" x14ac:dyDescent="0.15">
      <c r="B2262" s="46" t="s">
        <v>3718</v>
      </c>
      <c r="C2262" s="47">
        <v>9295</v>
      </c>
      <c r="D2262" s="48" t="s">
        <v>365</v>
      </c>
    </row>
    <row r="2263" spans="2:4" x14ac:dyDescent="0.15">
      <c r="B2263" s="46" t="s">
        <v>3719</v>
      </c>
      <c r="C2263" s="47">
        <v>9296</v>
      </c>
      <c r="D2263" s="48" t="s">
        <v>365</v>
      </c>
    </row>
    <row r="2264" spans="2:4" x14ac:dyDescent="0.15">
      <c r="B2264" s="46" t="s">
        <v>3720</v>
      </c>
      <c r="C2264" s="47">
        <v>9297</v>
      </c>
      <c r="D2264" s="48" t="s">
        <v>365</v>
      </c>
    </row>
    <row r="2265" spans="2:4" x14ac:dyDescent="0.15">
      <c r="B2265" s="46" t="s">
        <v>3721</v>
      </c>
      <c r="C2265" s="47">
        <v>9298</v>
      </c>
      <c r="D2265" s="48" t="s">
        <v>365</v>
      </c>
    </row>
    <row r="2266" spans="2:4" x14ac:dyDescent="0.15">
      <c r="B2266" s="46" t="s">
        <v>3722</v>
      </c>
      <c r="C2266" s="47">
        <v>9299</v>
      </c>
      <c r="D2266" s="48" t="s">
        <v>365</v>
      </c>
    </row>
    <row r="2267" spans="2:4" x14ac:dyDescent="0.15">
      <c r="B2267" s="46" t="s">
        <v>3723</v>
      </c>
      <c r="C2267" s="47">
        <v>9300</v>
      </c>
      <c r="D2267" s="48" t="s">
        <v>365</v>
      </c>
    </row>
    <row r="2268" spans="2:4" x14ac:dyDescent="0.15">
      <c r="B2268" s="46" t="s">
        <v>3724</v>
      </c>
      <c r="C2268" s="47">
        <v>9301</v>
      </c>
      <c r="D2268" s="48" t="s">
        <v>365</v>
      </c>
    </row>
    <row r="2269" spans="2:4" x14ac:dyDescent="0.15">
      <c r="B2269" s="46" t="s">
        <v>3725</v>
      </c>
      <c r="C2269" s="47">
        <v>9302</v>
      </c>
      <c r="D2269" s="48" t="s">
        <v>365</v>
      </c>
    </row>
    <row r="2270" spans="2:4" x14ac:dyDescent="0.15">
      <c r="B2270" s="46" t="s">
        <v>3726</v>
      </c>
      <c r="C2270" s="47">
        <v>9303</v>
      </c>
      <c r="D2270" s="48" t="s">
        <v>365</v>
      </c>
    </row>
    <row r="2271" spans="2:4" x14ac:dyDescent="0.15">
      <c r="B2271" s="46" t="s">
        <v>3727</v>
      </c>
      <c r="C2271" s="47">
        <v>9304</v>
      </c>
      <c r="D2271" s="48" t="s">
        <v>365</v>
      </c>
    </row>
    <row r="2272" spans="2:4" x14ac:dyDescent="0.15">
      <c r="B2272" s="46" t="s">
        <v>1504</v>
      </c>
      <c r="C2272" s="47">
        <v>9305</v>
      </c>
      <c r="D2272" s="48" t="s">
        <v>365</v>
      </c>
    </row>
    <row r="2273" spans="2:4" x14ac:dyDescent="0.15">
      <c r="B2273" s="46" t="s">
        <v>993</v>
      </c>
      <c r="C2273" s="47">
        <v>9306</v>
      </c>
      <c r="D2273" s="48" t="s">
        <v>365</v>
      </c>
    </row>
    <row r="2274" spans="2:4" x14ac:dyDescent="0.15">
      <c r="B2274" s="46" t="s">
        <v>3728</v>
      </c>
      <c r="C2274" s="47">
        <v>9307</v>
      </c>
      <c r="D2274" s="48" t="s">
        <v>365</v>
      </c>
    </row>
    <row r="2275" spans="2:4" x14ac:dyDescent="0.15">
      <c r="B2275" s="46" t="s">
        <v>1299</v>
      </c>
      <c r="C2275" s="47">
        <v>9308</v>
      </c>
      <c r="D2275" s="48" t="s">
        <v>365</v>
      </c>
    </row>
    <row r="2276" spans="2:4" x14ac:dyDescent="0.15">
      <c r="B2276" s="46" t="s">
        <v>3729</v>
      </c>
      <c r="C2276" s="47">
        <v>9309</v>
      </c>
      <c r="D2276" s="48" t="s">
        <v>365</v>
      </c>
    </row>
    <row r="2277" spans="2:4" x14ac:dyDescent="0.15">
      <c r="B2277" s="46" t="s">
        <v>3730</v>
      </c>
      <c r="C2277" s="47">
        <v>9310</v>
      </c>
      <c r="D2277" s="48" t="s">
        <v>365</v>
      </c>
    </row>
    <row r="2278" spans="2:4" x14ac:dyDescent="0.15">
      <c r="B2278" s="46" t="s">
        <v>3731</v>
      </c>
      <c r="C2278" s="47">
        <v>9311</v>
      </c>
      <c r="D2278" s="48" t="s">
        <v>365</v>
      </c>
    </row>
    <row r="2279" spans="2:4" x14ac:dyDescent="0.15">
      <c r="B2279" s="46" t="s">
        <v>3732</v>
      </c>
      <c r="C2279" s="47">
        <v>9312</v>
      </c>
      <c r="D2279" s="48" t="s">
        <v>365</v>
      </c>
    </row>
    <row r="2280" spans="2:4" x14ac:dyDescent="0.15">
      <c r="B2280" s="46" t="s">
        <v>3733</v>
      </c>
      <c r="C2280" s="47">
        <v>9313</v>
      </c>
      <c r="D2280" s="48" t="s">
        <v>365</v>
      </c>
    </row>
    <row r="2281" spans="2:4" x14ac:dyDescent="0.15">
      <c r="B2281" s="46" t="s">
        <v>3734</v>
      </c>
      <c r="C2281" s="47">
        <v>9314</v>
      </c>
      <c r="D2281" s="48" t="s">
        <v>365</v>
      </c>
    </row>
    <row r="2282" spans="2:4" x14ac:dyDescent="0.15">
      <c r="B2282" s="46" t="s">
        <v>3735</v>
      </c>
      <c r="C2282" s="47">
        <v>9315</v>
      </c>
      <c r="D2282" s="48" t="s">
        <v>365</v>
      </c>
    </row>
    <row r="2283" spans="2:4" x14ac:dyDescent="0.15">
      <c r="B2283" s="46" t="s">
        <v>753</v>
      </c>
      <c r="C2283" s="47">
        <v>9316</v>
      </c>
      <c r="D2283" s="48" t="s">
        <v>365</v>
      </c>
    </row>
    <row r="2284" spans="2:4" x14ac:dyDescent="0.15">
      <c r="B2284" s="46" t="s">
        <v>3736</v>
      </c>
      <c r="C2284" s="47">
        <v>9317</v>
      </c>
      <c r="D2284" s="48" t="s">
        <v>365</v>
      </c>
    </row>
    <row r="2285" spans="2:4" x14ac:dyDescent="0.15">
      <c r="B2285" s="46" t="s">
        <v>1595</v>
      </c>
      <c r="C2285" s="47">
        <v>9318</v>
      </c>
      <c r="D2285" s="48" t="s">
        <v>365</v>
      </c>
    </row>
    <row r="2286" spans="2:4" x14ac:dyDescent="0.15">
      <c r="B2286" s="46" t="s">
        <v>3737</v>
      </c>
      <c r="C2286" s="47">
        <v>9319</v>
      </c>
      <c r="D2286" s="48" t="s">
        <v>365</v>
      </c>
    </row>
    <row r="2287" spans="2:4" x14ac:dyDescent="0.15">
      <c r="B2287" s="46" t="s">
        <v>3738</v>
      </c>
      <c r="C2287" s="47">
        <v>9320</v>
      </c>
      <c r="D2287" s="48" t="s">
        <v>365</v>
      </c>
    </row>
    <row r="2288" spans="2:4" x14ac:dyDescent="0.15">
      <c r="B2288" s="46" t="s">
        <v>3739</v>
      </c>
      <c r="C2288" s="47">
        <v>9321</v>
      </c>
      <c r="D2288" s="48" t="s">
        <v>365</v>
      </c>
    </row>
    <row r="2289" spans="2:4" x14ac:dyDescent="0.15">
      <c r="B2289" s="46" t="s">
        <v>1099</v>
      </c>
      <c r="C2289" s="47">
        <v>9322</v>
      </c>
      <c r="D2289" s="48" t="s">
        <v>365</v>
      </c>
    </row>
    <row r="2290" spans="2:4" x14ac:dyDescent="0.15">
      <c r="B2290" s="46" t="s">
        <v>1101</v>
      </c>
      <c r="C2290" s="47">
        <v>9323</v>
      </c>
      <c r="D2290" s="48" t="s">
        <v>365</v>
      </c>
    </row>
    <row r="2291" spans="2:4" x14ac:dyDescent="0.15">
      <c r="B2291" s="46" t="s">
        <v>1103</v>
      </c>
      <c r="C2291" s="47">
        <v>9324</v>
      </c>
      <c r="D2291" s="48" t="s">
        <v>365</v>
      </c>
    </row>
    <row r="2292" spans="2:4" x14ac:dyDescent="0.15">
      <c r="B2292" s="46" t="s">
        <v>3740</v>
      </c>
      <c r="C2292" s="47">
        <v>9325</v>
      </c>
      <c r="D2292" s="48" t="s">
        <v>365</v>
      </c>
    </row>
    <row r="2293" spans="2:4" x14ac:dyDescent="0.15">
      <c r="B2293" s="46" t="s">
        <v>3741</v>
      </c>
      <c r="C2293" s="47">
        <v>9326</v>
      </c>
      <c r="D2293" s="48" t="s">
        <v>365</v>
      </c>
    </row>
    <row r="2294" spans="2:4" x14ac:dyDescent="0.15">
      <c r="B2294" s="46" t="s">
        <v>3742</v>
      </c>
      <c r="C2294" s="47">
        <v>9327</v>
      </c>
      <c r="D2294" s="48" t="s">
        <v>365</v>
      </c>
    </row>
    <row r="2295" spans="2:4" x14ac:dyDescent="0.15">
      <c r="B2295" s="46" t="s">
        <v>3743</v>
      </c>
      <c r="C2295" s="47">
        <v>9328</v>
      </c>
      <c r="D2295" s="48" t="s">
        <v>365</v>
      </c>
    </row>
    <row r="2296" spans="2:4" x14ac:dyDescent="0.15">
      <c r="B2296" s="46" t="s">
        <v>1303</v>
      </c>
      <c r="C2296" s="47">
        <v>9329</v>
      </c>
      <c r="D2296" s="48" t="s">
        <v>365</v>
      </c>
    </row>
    <row r="2297" spans="2:4" x14ac:dyDescent="0.15">
      <c r="B2297" s="46" t="s">
        <v>3744</v>
      </c>
      <c r="C2297" s="47">
        <v>9330</v>
      </c>
      <c r="D2297" s="48" t="s">
        <v>365</v>
      </c>
    </row>
    <row r="2298" spans="2:4" x14ac:dyDescent="0.15">
      <c r="B2298" s="46" t="s">
        <v>3745</v>
      </c>
      <c r="C2298" s="47">
        <v>9331</v>
      </c>
      <c r="D2298" s="48" t="s">
        <v>365</v>
      </c>
    </row>
    <row r="2299" spans="2:4" x14ac:dyDescent="0.15">
      <c r="B2299" s="46" t="s">
        <v>3746</v>
      </c>
      <c r="C2299" s="47">
        <v>9332</v>
      </c>
      <c r="D2299" s="48" t="s">
        <v>365</v>
      </c>
    </row>
    <row r="2300" spans="2:4" x14ac:dyDescent="0.15">
      <c r="B2300" s="46" t="s">
        <v>3747</v>
      </c>
      <c r="C2300" s="47">
        <v>9333</v>
      </c>
      <c r="D2300" s="48" t="s">
        <v>365</v>
      </c>
    </row>
    <row r="2301" spans="2:4" x14ac:dyDescent="0.15">
      <c r="B2301" s="46" t="s">
        <v>3748</v>
      </c>
      <c r="C2301" s="47">
        <v>9334</v>
      </c>
      <c r="D2301" s="48" t="s">
        <v>365</v>
      </c>
    </row>
    <row r="2302" spans="2:4" x14ac:dyDescent="0.15">
      <c r="B2302" s="46" t="s">
        <v>3749</v>
      </c>
      <c r="C2302" s="47">
        <v>9335</v>
      </c>
      <c r="D2302" s="48" t="s">
        <v>365</v>
      </c>
    </row>
    <row r="2303" spans="2:4" x14ac:dyDescent="0.15">
      <c r="B2303" s="46" t="s">
        <v>1841</v>
      </c>
      <c r="C2303" s="47">
        <v>9336</v>
      </c>
      <c r="D2303" s="48" t="s">
        <v>365</v>
      </c>
    </row>
    <row r="2304" spans="2:4" x14ac:dyDescent="0.15">
      <c r="B2304" s="46" t="s">
        <v>3750</v>
      </c>
      <c r="C2304" s="47">
        <v>9337</v>
      </c>
      <c r="D2304" s="48" t="s">
        <v>365</v>
      </c>
    </row>
    <row r="2305" spans="2:4" x14ac:dyDescent="0.15">
      <c r="B2305" s="46" t="s">
        <v>3751</v>
      </c>
      <c r="C2305" s="47">
        <v>9338</v>
      </c>
      <c r="D2305" s="48" t="s">
        <v>365</v>
      </c>
    </row>
    <row r="2306" spans="2:4" x14ac:dyDescent="0.15">
      <c r="B2306" s="46" t="s">
        <v>3752</v>
      </c>
      <c r="C2306" s="47">
        <v>9339</v>
      </c>
      <c r="D2306" s="48" t="s">
        <v>365</v>
      </c>
    </row>
    <row r="2307" spans="2:4" x14ac:dyDescent="0.15">
      <c r="B2307" s="46" t="s">
        <v>3753</v>
      </c>
      <c r="C2307" s="47">
        <v>9340</v>
      </c>
      <c r="D2307" s="48" t="s">
        <v>365</v>
      </c>
    </row>
    <row r="2308" spans="2:4" x14ac:dyDescent="0.15">
      <c r="B2308" s="46" t="s">
        <v>3754</v>
      </c>
      <c r="C2308" s="47">
        <v>9341</v>
      </c>
      <c r="D2308" s="48" t="s">
        <v>365</v>
      </c>
    </row>
    <row r="2309" spans="2:4" x14ac:dyDescent="0.15">
      <c r="B2309" s="46" t="s">
        <v>3755</v>
      </c>
      <c r="C2309" s="47">
        <v>9342</v>
      </c>
      <c r="D2309" s="48" t="s">
        <v>365</v>
      </c>
    </row>
    <row r="2310" spans="2:4" x14ac:dyDescent="0.15">
      <c r="B2310" s="46" t="s">
        <v>3756</v>
      </c>
      <c r="C2310" s="47">
        <v>9343</v>
      </c>
      <c r="D2310" s="48" t="s">
        <v>365</v>
      </c>
    </row>
    <row r="2311" spans="2:4" x14ac:dyDescent="0.15">
      <c r="B2311" s="46" t="s">
        <v>3757</v>
      </c>
      <c r="C2311" s="47">
        <v>9344</v>
      </c>
      <c r="D2311" s="48" t="s">
        <v>365</v>
      </c>
    </row>
    <row r="2312" spans="2:4" x14ac:dyDescent="0.15">
      <c r="B2312" s="46" t="s">
        <v>3758</v>
      </c>
      <c r="C2312" s="47">
        <v>9345</v>
      </c>
      <c r="D2312" s="48" t="s">
        <v>365</v>
      </c>
    </row>
    <row r="2313" spans="2:4" x14ac:dyDescent="0.15">
      <c r="B2313" s="46" t="s">
        <v>3759</v>
      </c>
      <c r="C2313" s="47">
        <v>9346</v>
      </c>
      <c r="D2313" s="48" t="s">
        <v>365</v>
      </c>
    </row>
    <row r="2314" spans="2:4" x14ac:dyDescent="0.15">
      <c r="B2314" s="46" t="s">
        <v>3760</v>
      </c>
      <c r="C2314" s="47">
        <v>9347</v>
      </c>
      <c r="D2314" s="48" t="s">
        <v>365</v>
      </c>
    </row>
    <row r="2315" spans="2:4" x14ac:dyDescent="0.15">
      <c r="B2315" s="46" t="s">
        <v>3761</v>
      </c>
      <c r="C2315" s="47">
        <v>9348</v>
      </c>
      <c r="D2315" s="48" t="s">
        <v>365</v>
      </c>
    </row>
    <row r="2316" spans="2:4" x14ac:dyDescent="0.15">
      <c r="B2316" s="46" t="s">
        <v>3762</v>
      </c>
      <c r="C2316" s="47">
        <v>9349</v>
      </c>
      <c r="D2316" s="48" t="s">
        <v>365</v>
      </c>
    </row>
    <row r="2317" spans="2:4" x14ac:dyDescent="0.15">
      <c r="B2317" s="46" t="s">
        <v>3763</v>
      </c>
      <c r="C2317" s="47">
        <v>9350</v>
      </c>
      <c r="D2317" s="48" t="s">
        <v>365</v>
      </c>
    </row>
    <row r="2318" spans="2:4" x14ac:dyDescent="0.15">
      <c r="B2318" s="46" t="s">
        <v>3764</v>
      </c>
      <c r="C2318" s="47">
        <v>9351</v>
      </c>
      <c r="D2318" s="48" t="s">
        <v>365</v>
      </c>
    </row>
    <row r="2319" spans="2:4" x14ac:dyDescent="0.15">
      <c r="B2319" s="46" t="s">
        <v>3765</v>
      </c>
      <c r="C2319" s="47">
        <v>9352</v>
      </c>
      <c r="D2319" s="48" t="s">
        <v>365</v>
      </c>
    </row>
    <row r="2320" spans="2:4" x14ac:dyDescent="0.15">
      <c r="B2320" s="46" t="s">
        <v>3766</v>
      </c>
      <c r="C2320" s="47">
        <v>9353</v>
      </c>
      <c r="D2320" s="48" t="s">
        <v>365</v>
      </c>
    </row>
    <row r="2321" spans="2:4" x14ac:dyDescent="0.15">
      <c r="B2321" s="46" t="s">
        <v>3767</v>
      </c>
      <c r="C2321" s="47">
        <v>9354</v>
      </c>
      <c r="D2321" s="48" t="s">
        <v>365</v>
      </c>
    </row>
    <row r="2322" spans="2:4" x14ac:dyDescent="0.15">
      <c r="B2322" s="46" t="s">
        <v>3768</v>
      </c>
      <c r="C2322" s="47">
        <v>9355</v>
      </c>
      <c r="D2322" s="48" t="s">
        <v>365</v>
      </c>
    </row>
    <row r="2323" spans="2:4" x14ac:dyDescent="0.15">
      <c r="B2323" s="46" t="s">
        <v>3769</v>
      </c>
      <c r="C2323" s="47">
        <v>9356</v>
      </c>
      <c r="D2323" s="48" t="s">
        <v>365</v>
      </c>
    </row>
    <row r="2324" spans="2:4" x14ac:dyDescent="0.15">
      <c r="B2324" s="46" t="s">
        <v>1088</v>
      </c>
      <c r="C2324" s="47">
        <v>9357</v>
      </c>
      <c r="D2324" s="48" t="s">
        <v>365</v>
      </c>
    </row>
    <row r="2325" spans="2:4" x14ac:dyDescent="0.15">
      <c r="B2325" s="46" t="s">
        <v>1180</v>
      </c>
      <c r="C2325" s="47">
        <v>9358</v>
      </c>
      <c r="D2325" s="48" t="s">
        <v>365</v>
      </c>
    </row>
    <row r="2326" spans="2:4" x14ac:dyDescent="0.15">
      <c r="B2326" s="46" t="s">
        <v>3770</v>
      </c>
      <c r="C2326" s="47">
        <v>9359</v>
      </c>
      <c r="D2326" s="48" t="s">
        <v>365</v>
      </c>
    </row>
    <row r="2327" spans="2:4" x14ac:dyDescent="0.15">
      <c r="B2327" s="46" t="s">
        <v>3771</v>
      </c>
      <c r="C2327" s="47">
        <v>9360</v>
      </c>
      <c r="D2327" s="48" t="s">
        <v>365</v>
      </c>
    </row>
    <row r="2328" spans="2:4" x14ac:dyDescent="0.15">
      <c r="B2328" s="46" t="s">
        <v>3772</v>
      </c>
      <c r="C2328" s="47">
        <v>9361</v>
      </c>
      <c r="D2328" s="48" t="s">
        <v>365</v>
      </c>
    </row>
    <row r="2329" spans="2:4" x14ac:dyDescent="0.15">
      <c r="B2329" s="46" t="s">
        <v>3773</v>
      </c>
      <c r="C2329" s="47">
        <v>9362</v>
      </c>
      <c r="D2329" s="48" t="s">
        <v>365</v>
      </c>
    </row>
    <row r="2330" spans="2:4" x14ac:dyDescent="0.15">
      <c r="B2330" s="46" t="s">
        <v>3774</v>
      </c>
      <c r="C2330" s="47">
        <v>9363</v>
      </c>
      <c r="D2330" s="48" t="s">
        <v>365</v>
      </c>
    </row>
    <row r="2331" spans="2:4" x14ac:dyDescent="0.15">
      <c r="B2331" s="46" t="s">
        <v>1090</v>
      </c>
      <c r="C2331" s="47">
        <v>9364</v>
      </c>
      <c r="D2331" s="48" t="s">
        <v>365</v>
      </c>
    </row>
    <row r="2332" spans="2:4" x14ac:dyDescent="0.15">
      <c r="B2332" s="46" t="s">
        <v>3775</v>
      </c>
      <c r="C2332" s="47">
        <v>9365</v>
      </c>
      <c r="D2332" s="48" t="s">
        <v>365</v>
      </c>
    </row>
    <row r="2333" spans="2:4" x14ac:dyDescent="0.15">
      <c r="B2333" s="46" t="s">
        <v>4046</v>
      </c>
      <c r="C2333" s="47">
        <v>9406</v>
      </c>
      <c r="D2333" s="48" t="s">
        <v>4096</v>
      </c>
    </row>
    <row r="2334" spans="2:4" x14ac:dyDescent="0.15">
      <c r="B2334" s="46" t="s">
        <v>3776</v>
      </c>
      <c r="C2334" s="47">
        <v>9998</v>
      </c>
      <c r="D2334" s="48" t="s">
        <v>365</v>
      </c>
    </row>
    <row r="2335" spans="2:4" x14ac:dyDescent="0.15">
      <c r="B2335" s="49" t="s">
        <v>1016</v>
      </c>
      <c r="C2335" s="50">
        <v>2703</v>
      </c>
      <c r="D2335" s="51" t="s">
        <v>365</v>
      </c>
    </row>
    <row r="2336" spans="2:4" x14ac:dyDescent="0.15">
      <c r="B2336" s="49" t="s">
        <v>1022</v>
      </c>
      <c r="C2336" s="50">
        <v>2808</v>
      </c>
      <c r="D2336" s="51" t="s">
        <v>365</v>
      </c>
    </row>
    <row r="2337" spans="2:4" x14ac:dyDescent="0.15">
      <c r="B2337" s="49" t="s">
        <v>1897</v>
      </c>
      <c r="C2337" s="50">
        <v>4225</v>
      </c>
      <c r="D2337" s="51" t="s">
        <v>365</v>
      </c>
    </row>
    <row r="2338" spans="2:4" x14ac:dyDescent="0.15">
      <c r="B2338" s="49" t="s">
        <v>1587</v>
      </c>
      <c r="C2338" s="50">
        <v>3609</v>
      </c>
      <c r="D2338" s="51" t="s">
        <v>365</v>
      </c>
    </row>
    <row r="2339" spans="2:4" x14ac:dyDescent="0.15">
      <c r="B2339" s="52" t="s">
        <v>810</v>
      </c>
      <c r="C2339" s="53">
        <v>684</v>
      </c>
      <c r="D2339" s="54" t="s">
        <v>365</v>
      </c>
    </row>
  </sheetData>
  <phoneticPr fontId="19" type="noConversion"/>
  <dataValidations count="6">
    <dataValidation type="custom" allowBlank="1" showInputMessage="1" showErrorMessage="1" sqref="C2:C7">
      <formula1>COUNTIF(C:C,C1488)=1</formula1>
    </dataValidation>
    <dataValidation type="custom" allowBlank="1" showInputMessage="1" showErrorMessage="1" sqref="B2:B7">
      <formula1>COUNTIF(B:B,B1473)=1</formula1>
    </dataValidation>
    <dataValidation type="custom" allowBlank="1" showInputMessage="1" showErrorMessage="1" sqref="B8 B10">
      <formula1>COUNTIF(B:B,B1373)=1</formula1>
    </dataValidation>
    <dataValidation type="custom" allowBlank="1" showInputMessage="1" showErrorMessage="1" sqref="C8 C10">
      <formula1>COUNTIF(C:C,C1388)=1</formula1>
    </dataValidation>
    <dataValidation type="custom" allowBlank="1" showInputMessage="1" showErrorMessage="1" sqref="B9">
      <formula1>COUNTIF(B:B,B1378)=1</formula1>
    </dataValidation>
    <dataValidation type="custom" allowBlank="1" showInputMessage="1" showErrorMessage="1" sqref="C9">
      <formula1>COUNTIF(C:C,C1393)=1</formula1>
    </dataValidation>
  </dataValidations>
  <pageMargins left="0.69930555555555596" right="0.69930555555555596" top="0.75" bottom="0.75" header="0.3" footer="0.3"/>
  <pageSetup paperSize="9"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C78"/>
  <sheetViews>
    <sheetView workbookViewId="0">
      <pane ySplit="2" topLeftCell="A57" activePane="bottomLeft" state="frozen"/>
      <selection pane="bottomLeft" activeCell="C77" sqref="C77"/>
    </sheetView>
  </sheetViews>
  <sheetFormatPr defaultColWidth="9" defaultRowHeight="13.5" x14ac:dyDescent="0.15"/>
  <cols>
    <col min="1" max="1" width="1" style="1" customWidth="1"/>
    <col min="2" max="2" width="12.75" style="2" customWidth="1"/>
    <col min="3" max="3" width="41.5" style="2" customWidth="1"/>
    <col min="4" max="16384" width="9" style="1"/>
  </cols>
  <sheetData>
    <row r="1" spans="2:3" ht="6.75" customHeight="1" x14ac:dyDescent="0.15"/>
    <row r="2" spans="2:3" x14ac:dyDescent="0.15">
      <c r="B2" s="3" t="s">
        <v>1048</v>
      </c>
      <c r="C2" s="4" t="s">
        <v>360</v>
      </c>
    </row>
    <row r="3" spans="2:3" x14ac:dyDescent="0.15">
      <c r="B3" s="5">
        <v>1</v>
      </c>
      <c r="C3" s="6" t="s">
        <v>3777</v>
      </c>
    </row>
    <row r="4" spans="2:3" x14ac:dyDescent="0.15">
      <c r="B4" s="5">
        <v>2</v>
      </c>
      <c r="C4" s="6" t="s">
        <v>3778</v>
      </c>
    </row>
    <row r="5" spans="2:3" x14ac:dyDescent="0.15">
      <c r="B5" s="5">
        <v>3</v>
      </c>
      <c r="C5" s="6" t="s">
        <v>3779</v>
      </c>
    </row>
    <row r="6" spans="2:3" x14ac:dyDescent="0.15">
      <c r="B6" s="5">
        <v>4</v>
      </c>
      <c r="C6" s="40" t="s">
        <v>3780</v>
      </c>
    </row>
    <row r="7" spans="2:3" x14ac:dyDescent="0.15">
      <c r="B7" s="5">
        <v>5</v>
      </c>
      <c r="C7" s="40" t="s">
        <v>3781</v>
      </c>
    </row>
    <row r="8" spans="2:3" x14ac:dyDescent="0.15">
      <c r="B8" s="5">
        <v>6</v>
      </c>
      <c r="C8" s="6" t="s">
        <v>3782</v>
      </c>
    </row>
    <row r="9" spans="2:3" x14ac:dyDescent="0.15">
      <c r="B9" s="5">
        <v>7</v>
      </c>
      <c r="C9" s="6" t="s">
        <v>3783</v>
      </c>
    </row>
    <row r="10" spans="2:3" x14ac:dyDescent="0.15">
      <c r="B10" s="5">
        <v>8</v>
      </c>
      <c r="C10" s="6" t="s">
        <v>3784</v>
      </c>
    </row>
    <row r="11" spans="2:3" x14ac:dyDescent="0.15">
      <c r="B11" s="5">
        <v>9</v>
      </c>
      <c r="C11" s="6" t="s">
        <v>3785</v>
      </c>
    </row>
    <row r="12" spans="2:3" x14ac:dyDescent="0.15">
      <c r="B12" s="5">
        <v>10</v>
      </c>
      <c r="C12" s="6" t="s">
        <v>3786</v>
      </c>
    </row>
    <row r="13" spans="2:3" x14ac:dyDescent="0.15">
      <c r="B13" s="5">
        <v>11</v>
      </c>
      <c r="C13" s="6" t="s">
        <v>3787</v>
      </c>
    </row>
    <row r="14" spans="2:3" x14ac:dyDescent="0.15">
      <c r="B14" s="5">
        <v>12</v>
      </c>
      <c r="C14" s="6" t="s">
        <v>3788</v>
      </c>
    </row>
    <row r="15" spans="2:3" x14ac:dyDescent="0.15">
      <c r="B15" s="5">
        <v>13</v>
      </c>
      <c r="C15" s="6" t="s">
        <v>3789</v>
      </c>
    </row>
    <row r="16" spans="2:3" x14ac:dyDescent="0.15">
      <c r="B16" s="5">
        <v>15</v>
      </c>
      <c r="C16" s="6" t="s">
        <v>3790</v>
      </c>
    </row>
    <row r="17" spans="2:3" x14ac:dyDescent="0.15">
      <c r="B17" s="5">
        <v>16</v>
      </c>
      <c r="C17" s="6" t="s">
        <v>3791</v>
      </c>
    </row>
    <row r="18" spans="2:3" x14ac:dyDescent="0.15">
      <c r="B18" s="5">
        <v>17</v>
      </c>
      <c r="C18" s="6" t="s">
        <v>3792</v>
      </c>
    </row>
    <row r="19" spans="2:3" x14ac:dyDescent="0.15">
      <c r="B19" s="41">
        <v>18</v>
      </c>
      <c r="C19" s="40" t="s">
        <v>3793</v>
      </c>
    </row>
    <row r="20" spans="2:3" x14ac:dyDescent="0.15">
      <c r="B20" s="41">
        <v>19</v>
      </c>
      <c r="C20" s="40" t="s">
        <v>3794</v>
      </c>
    </row>
    <row r="21" spans="2:3" x14ac:dyDescent="0.15">
      <c r="B21" s="41">
        <v>20</v>
      </c>
      <c r="C21" s="40" t="s">
        <v>3795</v>
      </c>
    </row>
    <row r="22" spans="2:3" x14ac:dyDescent="0.15">
      <c r="B22" s="41">
        <v>21</v>
      </c>
      <c r="C22" s="40" t="s">
        <v>3796</v>
      </c>
    </row>
    <row r="23" spans="2:3" x14ac:dyDescent="0.15">
      <c r="B23" s="5">
        <v>22</v>
      </c>
      <c r="C23" s="6" t="s">
        <v>3797</v>
      </c>
    </row>
    <row r="24" spans="2:3" x14ac:dyDescent="0.15">
      <c r="B24" s="5">
        <v>23</v>
      </c>
      <c r="C24" s="6" t="s">
        <v>3798</v>
      </c>
    </row>
    <row r="25" spans="2:3" x14ac:dyDescent="0.15">
      <c r="B25" s="5">
        <v>25</v>
      </c>
      <c r="C25" s="6" t="s">
        <v>3799</v>
      </c>
    </row>
    <row r="26" spans="2:3" x14ac:dyDescent="0.15">
      <c r="B26" s="5">
        <v>26</v>
      </c>
      <c r="C26" s="6" t="s">
        <v>3800</v>
      </c>
    </row>
    <row r="27" spans="2:3" x14ac:dyDescent="0.15">
      <c r="B27" s="5">
        <v>27</v>
      </c>
      <c r="C27" s="6" t="s">
        <v>3801</v>
      </c>
    </row>
    <row r="28" spans="2:3" x14ac:dyDescent="0.15">
      <c r="B28" s="5">
        <v>28</v>
      </c>
      <c r="C28" s="6" t="s">
        <v>3802</v>
      </c>
    </row>
    <row r="29" spans="2:3" x14ac:dyDescent="0.15">
      <c r="B29" s="5">
        <v>29</v>
      </c>
      <c r="C29" s="6" t="s">
        <v>3803</v>
      </c>
    </row>
    <row r="30" spans="2:3" x14ac:dyDescent="0.15">
      <c r="B30" s="5">
        <v>30</v>
      </c>
      <c r="C30" s="6" t="s">
        <v>3804</v>
      </c>
    </row>
    <row r="31" spans="2:3" x14ac:dyDescent="0.15">
      <c r="B31" s="5">
        <v>31</v>
      </c>
      <c r="C31" s="6" t="s">
        <v>3805</v>
      </c>
    </row>
    <row r="32" spans="2:3" x14ac:dyDescent="0.15">
      <c r="B32" s="5">
        <v>32</v>
      </c>
      <c r="C32" s="6" t="s">
        <v>3806</v>
      </c>
    </row>
    <row r="33" spans="2:3" x14ac:dyDescent="0.15">
      <c r="B33" s="5">
        <v>33</v>
      </c>
      <c r="C33" s="6" t="s">
        <v>3807</v>
      </c>
    </row>
    <row r="34" spans="2:3" x14ac:dyDescent="0.15">
      <c r="B34" s="5">
        <v>34</v>
      </c>
      <c r="C34" s="6" t="s">
        <v>3808</v>
      </c>
    </row>
    <row r="35" spans="2:3" x14ac:dyDescent="0.15">
      <c r="B35" s="5">
        <v>35</v>
      </c>
      <c r="C35" s="6" t="s">
        <v>3809</v>
      </c>
    </row>
    <row r="36" spans="2:3" x14ac:dyDescent="0.15">
      <c r="B36" s="5">
        <v>36</v>
      </c>
      <c r="C36" s="40" t="s">
        <v>3810</v>
      </c>
    </row>
    <row r="37" spans="2:3" x14ac:dyDescent="0.15">
      <c r="B37" s="5">
        <v>37</v>
      </c>
      <c r="C37" s="6" t="s">
        <v>3811</v>
      </c>
    </row>
    <row r="38" spans="2:3" x14ac:dyDescent="0.15">
      <c r="B38" s="5">
        <v>38</v>
      </c>
      <c r="C38" s="6" t="s">
        <v>3812</v>
      </c>
    </row>
    <row r="39" spans="2:3" x14ac:dyDescent="0.15">
      <c r="B39" s="5">
        <v>39</v>
      </c>
      <c r="C39" s="6" t="s">
        <v>3813</v>
      </c>
    </row>
    <row r="40" spans="2:3" x14ac:dyDescent="0.15">
      <c r="B40" s="5">
        <v>40</v>
      </c>
      <c r="C40" s="6" t="s">
        <v>3814</v>
      </c>
    </row>
    <row r="41" spans="2:3" x14ac:dyDescent="0.15">
      <c r="B41" s="5">
        <v>41</v>
      </c>
      <c r="C41" s="6" t="s">
        <v>3815</v>
      </c>
    </row>
    <row r="42" spans="2:3" x14ac:dyDescent="0.15">
      <c r="B42" s="5">
        <v>42</v>
      </c>
      <c r="C42" s="6" t="s">
        <v>3816</v>
      </c>
    </row>
    <row r="43" spans="2:3" x14ac:dyDescent="0.15">
      <c r="B43" s="5">
        <v>43</v>
      </c>
      <c r="C43" s="6" t="s">
        <v>3817</v>
      </c>
    </row>
    <row r="44" spans="2:3" x14ac:dyDescent="0.15">
      <c r="B44" s="5">
        <v>44</v>
      </c>
      <c r="C44" s="6" t="s">
        <v>3818</v>
      </c>
    </row>
    <row r="45" spans="2:3" x14ac:dyDescent="0.15">
      <c r="B45" s="5">
        <v>45</v>
      </c>
      <c r="C45" s="6" t="s">
        <v>3819</v>
      </c>
    </row>
    <row r="46" spans="2:3" x14ac:dyDescent="0.15">
      <c r="B46" s="5">
        <v>46</v>
      </c>
      <c r="C46" s="6" t="s">
        <v>3820</v>
      </c>
    </row>
    <row r="47" spans="2:3" x14ac:dyDescent="0.15">
      <c r="B47" s="5">
        <v>47</v>
      </c>
      <c r="C47" s="6" t="s">
        <v>3821</v>
      </c>
    </row>
    <row r="48" spans="2:3" x14ac:dyDescent="0.15">
      <c r="B48" s="5">
        <v>48</v>
      </c>
      <c r="C48" s="6" t="s">
        <v>3822</v>
      </c>
    </row>
    <row r="49" spans="2:3" x14ac:dyDescent="0.15">
      <c r="B49" s="5">
        <v>50</v>
      </c>
      <c r="C49" s="6" t="s">
        <v>3823</v>
      </c>
    </row>
    <row r="50" spans="2:3" x14ac:dyDescent="0.15">
      <c r="B50" s="5">
        <v>51</v>
      </c>
      <c r="C50" s="6" t="s">
        <v>3824</v>
      </c>
    </row>
    <row r="51" spans="2:3" x14ac:dyDescent="0.15">
      <c r="B51" s="5">
        <v>52</v>
      </c>
      <c r="C51" s="6" t="s">
        <v>3825</v>
      </c>
    </row>
    <row r="52" spans="2:3" x14ac:dyDescent="0.15">
      <c r="B52" s="5">
        <v>55</v>
      </c>
      <c r="C52" s="6" t="s">
        <v>3826</v>
      </c>
    </row>
    <row r="53" spans="2:3" x14ac:dyDescent="0.15">
      <c r="B53" s="5">
        <v>56</v>
      </c>
      <c r="C53" s="6" t="s">
        <v>3827</v>
      </c>
    </row>
    <row r="54" spans="2:3" x14ac:dyDescent="0.15">
      <c r="B54" s="5">
        <v>57</v>
      </c>
      <c r="C54" s="6" t="s">
        <v>3828</v>
      </c>
    </row>
    <row r="55" spans="2:3" x14ac:dyDescent="0.15">
      <c r="B55" s="5">
        <v>58</v>
      </c>
      <c r="C55" s="6" t="s">
        <v>3829</v>
      </c>
    </row>
    <row r="56" spans="2:3" x14ac:dyDescent="0.15">
      <c r="B56" s="5">
        <v>59</v>
      </c>
      <c r="C56" s="6" t="s">
        <v>3830</v>
      </c>
    </row>
    <row r="57" spans="2:3" x14ac:dyDescent="0.15">
      <c r="B57" s="5">
        <v>60</v>
      </c>
      <c r="C57" s="6" t="s">
        <v>3831</v>
      </c>
    </row>
    <row r="58" spans="2:3" x14ac:dyDescent="0.15">
      <c r="B58" s="5">
        <v>61</v>
      </c>
      <c r="C58" s="6" t="s">
        <v>3832</v>
      </c>
    </row>
    <row r="59" spans="2:3" x14ac:dyDescent="0.15">
      <c r="B59" s="5">
        <v>62</v>
      </c>
      <c r="C59" s="6" t="s">
        <v>3833</v>
      </c>
    </row>
    <row r="60" spans="2:3" x14ac:dyDescent="0.15">
      <c r="B60" s="5">
        <v>63</v>
      </c>
      <c r="C60" s="6" t="s">
        <v>3834</v>
      </c>
    </row>
    <row r="61" spans="2:3" x14ac:dyDescent="0.15">
      <c r="B61" s="5">
        <v>64</v>
      </c>
      <c r="C61" s="6" t="s">
        <v>3835</v>
      </c>
    </row>
    <row r="62" spans="2:3" x14ac:dyDescent="0.15">
      <c r="B62" s="5">
        <v>65</v>
      </c>
      <c r="C62" s="6" t="s">
        <v>3836</v>
      </c>
    </row>
    <row r="63" spans="2:3" x14ac:dyDescent="0.15">
      <c r="B63" s="5">
        <v>66</v>
      </c>
      <c r="C63" s="6" t="s">
        <v>3837</v>
      </c>
    </row>
    <row r="64" spans="2:3" x14ac:dyDescent="0.15">
      <c r="B64" s="5">
        <v>67</v>
      </c>
      <c r="C64" s="6" t="s">
        <v>3838</v>
      </c>
    </row>
    <row r="65" spans="2:3" x14ac:dyDescent="0.15">
      <c r="B65" s="5">
        <v>68</v>
      </c>
      <c r="C65" s="6" t="s">
        <v>3839</v>
      </c>
    </row>
    <row r="66" spans="2:3" x14ac:dyDescent="0.15">
      <c r="B66" s="5">
        <v>69</v>
      </c>
      <c r="C66" s="6" t="s">
        <v>321</v>
      </c>
    </row>
    <row r="67" spans="2:3" x14ac:dyDescent="0.15">
      <c r="B67" s="5">
        <v>70</v>
      </c>
      <c r="C67" s="6" t="s">
        <v>322</v>
      </c>
    </row>
    <row r="68" spans="2:3" x14ac:dyDescent="0.15">
      <c r="B68" s="5">
        <v>71</v>
      </c>
      <c r="C68" s="6" t="s">
        <v>3840</v>
      </c>
    </row>
    <row r="69" spans="2:3" x14ac:dyDescent="0.15">
      <c r="B69" s="5">
        <v>72</v>
      </c>
      <c r="C69" s="6" t="s">
        <v>3841</v>
      </c>
    </row>
    <row r="70" spans="2:3" x14ac:dyDescent="0.15">
      <c r="B70" s="5">
        <v>76</v>
      </c>
      <c r="C70" s="6" t="s">
        <v>3842</v>
      </c>
    </row>
    <row r="71" spans="2:3" x14ac:dyDescent="0.15">
      <c r="B71" s="5">
        <v>77</v>
      </c>
      <c r="C71" s="6" t="s">
        <v>3843</v>
      </c>
    </row>
    <row r="72" spans="2:3" x14ac:dyDescent="0.15">
      <c r="B72" s="5">
        <v>80</v>
      </c>
      <c r="C72" s="6" t="s">
        <v>3844</v>
      </c>
    </row>
    <row r="73" spans="2:3" x14ac:dyDescent="0.15">
      <c r="B73" s="5">
        <v>81</v>
      </c>
      <c r="C73" s="6" t="s">
        <v>3845</v>
      </c>
    </row>
    <row r="74" spans="2:3" x14ac:dyDescent="0.15">
      <c r="B74" s="5">
        <v>83</v>
      </c>
      <c r="C74" s="6" t="s">
        <v>3846</v>
      </c>
    </row>
    <row r="75" spans="2:3" x14ac:dyDescent="0.15">
      <c r="B75" s="5">
        <v>94</v>
      </c>
      <c r="C75" s="6" t="s">
        <v>3847</v>
      </c>
    </row>
    <row r="76" spans="2:3" x14ac:dyDescent="0.15">
      <c r="B76" s="41">
        <v>97</v>
      </c>
      <c r="C76" s="40" t="s">
        <v>3848</v>
      </c>
    </row>
    <row r="77" spans="2:3" x14ac:dyDescent="0.15">
      <c r="B77" s="5">
        <v>98</v>
      </c>
      <c r="C77" s="6" t="s">
        <v>3849</v>
      </c>
    </row>
    <row r="78" spans="2:3" x14ac:dyDescent="0.15">
      <c r="B78" s="9">
        <v>108</v>
      </c>
      <c r="C78" s="42" t="s">
        <v>3850</v>
      </c>
    </row>
  </sheetData>
  <phoneticPr fontId="19" type="noConversion"/>
  <pageMargins left="0.69930555555555596" right="0.69930555555555596" top="0.75" bottom="0.75" header="0.3" footer="0.3"/>
  <pageSetup paperSize="9"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E88"/>
  <sheetViews>
    <sheetView topLeftCell="A67" workbookViewId="0">
      <selection activeCell="E82" sqref="E82"/>
    </sheetView>
  </sheetViews>
  <sheetFormatPr defaultColWidth="9" defaultRowHeight="13.5" x14ac:dyDescent="0.15"/>
  <cols>
    <col min="1" max="1" width="1" style="1" customWidth="1"/>
    <col min="2" max="2" width="19.5" style="1" customWidth="1"/>
    <col min="3" max="3" width="24.375" style="1" customWidth="1"/>
    <col min="4" max="4" width="13" style="1" customWidth="1"/>
    <col min="5" max="5" width="42.875" style="1" customWidth="1"/>
    <col min="6" max="16384" width="9" style="1"/>
  </cols>
  <sheetData>
    <row r="1" spans="2:5" ht="6.75" customHeight="1" x14ac:dyDescent="0.15"/>
    <row r="2" spans="2:5" x14ac:dyDescent="0.15">
      <c r="B2" s="3" t="s">
        <v>3851</v>
      </c>
      <c r="C2" s="11" t="s">
        <v>3852</v>
      </c>
      <c r="D2" s="12" t="s">
        <v>374</v>
      </c>
      <c r="E2" s="13" t="s">
        <v>360</v>
      </c>
    </row>
    <row r="3" spans="2:5" x14ac:dyDescent="0.15">
      <c r="B3" s="330" t="s">
        <v>3853</v>
      </c>
      <c r="C3" s="326" t="s">
        <v>3854</v>
      </c>
      <c r="D3" s="14" t="s">
        <v>3855</v>
      </c>
      <c r="E3" s="15" t="s">
        <v>3856</v>
      </c>
    </row>
    <row r="4" spans="2:5" x14ac:dyDescent="0.15">
      <c r="B4" s="331"/>
      <c r="C4" s="327"/>
      <c r="D4" s="16" t="s">
        <v>3857</v>
      </c>
      <c r="E4" s="17" t="s">
        <v>3858</v>
      </c>
    </row>
    <row r="5" spans="2:5" x14ac:dyDescent="0.15">
      <c r="B5" s="331"/>
      <c r="C5" s="327"/>
      <c r="D5" s="16" t="s">
        <v>3859</v>
      </c>
      <c r="E5" s="17" t="s">
        <v>3860</v>
      </c>
    </row>
    <row r="6" spans="2:5" x14ac:dyDescent="0.15">
      <c r="B6" s="331"/>
      <c r="C6" s="327"/>
      <c r="D6" s="18" t="s">
        <v>3861</v>
      </c>
      <c r="E6" s="19" t="s">
        <v>3862</v>
      </c>
    </row>
    <row r="7" spans="2:5" x14ac:dyDescent="0.15">
      <c r="B7" s="331"/>
      <c r="C7" s="327"/>
      <c r="D7" s="18" t="s">
        <v>3863</v>
      </c>
      <c r="E7" s="19" t="s">
        <v>3864</v>
      </c>
    </row>
    <row r="8" spans="2:5" x14ac:dyDescent="0.15">
      <c r="B8" s="331"/>
      <c r="C8" s="327"/>
      <c r="D8" s="18" t="s">
        <v>3865</v>
      </c>
      <c r="E8" s="19" t="s">
        <v>3866</v>
      </c>
    </row>
    <row r="9" spans="2:5" x14ac:dyDescent="0.15">
      <c r="B9" s="331"/>
      <c r="C9" s="327"/>
      <c r="D9" s="20" t="s">
        <v>3867</v>
      </c>
      <c r="E9" s="21" t="s">
        <v>3868</v>
      </c>
    </row>
    <row r="10" spans="2:5" x14ac:dyDescent="0.15">
      <c r="B10" s="332"/>
      <c r="C10" s="328"/>
      <c r="D10" s="20" t="s">
        <v>3869</v>
      </c>
      <c r="E10" s="21" t="s">
        <v>3870</v>
      </c>
    </row>
    <row r="11" spans="2:5" x14ac:dyDescent="0.15">
      <c r="B11" s="330" t="s">
        <v>3871</v>
      </c>
      <c r="C11" s="333" t="s">
        <v>3872</v>
      </c>
      <c r="D11" s="18" t="s">
        <v>3857</v>
      </c>
      <c r="E11" s="19" t="s">
        <v>3873</v>
      </c>
    </row>
    <row r="12" spans="2:5" x14ac:dyDescent="0.15">
      <c r="B12" s="331"/>
      <c r="C12" s="334"/>
      <c r="D12" s="18" t="s">
        <v>3859</v>
      </c>
      <c r="E12" s="19" t="s">
        <v>3874</v>
      </c>
    </row>
    <row r="13" spans="2:5" x14ac:dyDescent="0.15">
      <c r="B13" s="332"/>
      <c r="C13" s="335"/>
      <c r="D13" s="22" t="s">
        <v>3875</v>
      </c>
      <c r="E13" s="23" t="s">
        <v>3876</v>
      </c>
    </row>
    <row r="14" spans="2:5" x14ac:dyDescent="0.15">
      <c r="B14" s="330" t="s">
        <v>3877</v>
      </c>
      <c r="C14" s="333" t="s">
        <v>3878</v>
      </c>
      <c r="D14" s="18" t="s">
        <v>3855</v>
      </c>
      <c r="E14" s="19" t="s">
        <v>3879</v>
      </c>
    </row>
    <row r="15" spans="2:5" x14ac:dyDescent="0.15">
      <c r="B15" s="331"/>
      <c r="C15" s="334"/>
      <c r="D15" s="18" t="s">
        <v>3880</v>
      </c>
      <c r="E15" s="19" t="s">
        <v>3881</v>
      </c>
    </row>
    <row r="16" spans="2:5" x14ac:dyDescent="0.15">
      <c r="B16" s="332"/>
      <c r="C16" s="328"/>
      <c r="D16" s="24"/>
      <c r="E16" s="25"/>
    </row>
    <row r="17" spans="2:5" x14ac:dyDescent="0.15">
      <c r="B17" s="330" t="s">
        <v>3882</v>
      </c>
      <c r="C17" s="326" t="s">
        <v>3883</v>
      </c>
      <c r="D17" s="14">
        <v>0</v>
      </c>
      <c r="E17" s="15" t="s">
        <v>3884</v>
      </c>
    </row>
    <row r="18" spans="2:5" x14ac:dyDescent="0.15">
      <c r="B18" s="331"/>
      <c r="C18" s="327"/>
      <c r="D18" s="26">
        <v>1</v>
      </c>
      <c r="E18" s="27" t="s">
        <v>3885</v>
      </c>
    </row>
    <row r="19" spans="2:5" x14ac:dyDescent="0.15">
      <c r="B19" s="332"/>
      <c r="C19" s="328"/>
      <c r="D19" s="28">
        <v>2</v>
      </c>
      <c r="E19" s="29" t="s">
        <v>3886</v>
      </c>
    </row>
    <row r="20" spans="2:5" x14ac:dyDescent="0.15">
      <c r="B20" s="330" t="s">
        <v>3887</v>
      </c>
      <c r="C20" s="326" t="s">
        <v>3888</v>
      </c>
      <c r="D20" s="14">
        <v>0</v>
      </c>
      <c r="E20" s="15" t="s">
        <v>3889</v>
      </c>
    </row>
    <row r="21" spans="2:5" x14ac:dyDescent="0.15">
      <c r="B21" s="331"/>
      <c r="C21" s="327"/>
      <c r="D21" s="26">
        <v>1</v>
      </c>
      <c r="E21" s="27" t="s">
        <v>3890</v>
      </c>
    </row>
    <row r="22" spans="2:5" x14ac:dyDescent="0.15">
      <c r="B22" s="331"/>
      <c r="C22" s="327"/>
      <c r="D22" s="26" t="s">
        <v>3875</v>
      </c>
      <c r="E22" s="27" t="s">
        <v>3891</v>
      </c>
    </row>
    <row r="23" spans="2:5" x14ac:dyDescent="0.15">
      <c r="B23" s="331"/>
      <c r="C23" s="327"/>
      <c r="D23" s="26" t="s">
        <v>3892</v>
      </c>
      <c r="E23" s="27" t="s">
        <v>3893</v>
      </c>
    </row>
    <row r="24" spans="2:5" x14ac:dyDescent="0.15">
      <c r="B24" s="332"/>
      <c r="C24" s="328"/>
      <c r="D24" s="28" t="s">
        <v>3894</v>
      </c>
      <c r="E24" s="29" t="s">
        <v>3895</v>
      </c>
    </row>
    <row r="25" spans="2:5" x14ac:dyDescent="0.15">
      <c r="B25" s="330" t="s">
        <v>3896</v>
      </c>
      <c r="C25" s="326" t="s">
        <v>3897</v>
      </c>
      <c r="D25" s="30" t="s">
        <v>3898</v>
      </c>
      <c r="E25" s="31" t="s">
        <v>3899</v>
      </c>
    </row>
    <row r="26" spans="2:5" x14ac:dyDescent="0.15">
      <c r="B26" s="331"/>
      <c r="C26" s="327"/>
      <c r="D26" s="26" t="s">
        <v>3855</v>
      </c>
      <c r="E26" s="15" t="s">
        <v>3900</v>
      </c>
    </row>
    <row r="27" spans="2:5" x14ac:dyDescent="0.15">
      <c r="B27" s="331"/>
      <c r="C27" s="327"/>
      <c r="D27" s="26" t="s">
        <v>3857</v>
      </c>
      <c r="E27" s="27" t="s">
        <v>3901</v>
      </c>
    </row>
    <row r="28" spans="2:5" x14ac:dyDescent="0.15">
      <c r="B28" s="331"/>
      <c r="C28" s="327"/>
      <c r="D28" s="26" t="s">
        <v>3859</v>
      </c>
      <c r="E28" s="32" t="s">
        <v>3902</v>
      </c>
    </row>
    <row r="29" spans="2:5" x14ac:dyDescent="0.15">
      <c r="B29" s="332"/>
      <c r="C29" s="328"/>
      <c r="D29" s="28" t="s">
        <v>3875</v>
      </c>
      <c r="E29" s="29" t="s">
        <v>3903</v>
      </c>
    </row>
    <row r="30" spans="2:5" x14ac:dyDescent="0.15">
      <c r="B30" s="330" t="s">
        <v>3904</v>
      </c>
      <c r="C30" s="326" t="s">
        <v>3905</v>
      </c>
      <c r="D30" s="14">
        <v>1</v>
      </c>
      <c r="E30" s="15" t="s">
        <v>488</v>
      </c>
    </row>
    <row r="31" spans="2:5" x14ac:dyDescent="0.15">
      <c r="B31" s="331"/>
      <c r="C31" s="327"/>
      <c r="D31" s="26">
        <v>2</v>
      </c>
      <c r="E31" s="27" t="s">
        <v>3906</v>
      </c>
    </row>
    <row r="32" spans="2:5" x14ac:dyDescent="0.15">
      <c r="B32" s="331"/>
      <c r="C32" s="327"/>
      <c r="D32" s="26">
        <v>4</v>
      </c>
      <c r="E32" s="27" t="s">
        <v>3907</v>
      </c>
    </row>
    <row r="33" spans="2:5" x14ac:dyDescent="0.15">
      <c r="B33" s="331"/>
      <c r="C33" s="327"/>
      <c r="D33" s="26">
        <v>8</v>
      </c>
      <c r="E33" s="27" t="s">
        <v>3908</v>
      </c>
    </row>
    <row r="34" spans="2:5" x14ac:dyDescent="0.15">
      <c r="B34" s="332"/>
      <c r="C34" s="328"/>
      <c r="D34" s="28">
        <v>32</v>
      </c>
      <c r="E34" s="29" t="s">
        <v>3909</v>
      </c>
    </row>
    <row r="35" spans="2:5" x14ac:dyDescent="0.15">
      <c r="B35" s="330" t="s">
        <v>3910</v>
      </c>
      <c r="C35" s="326" t="s">
        <v>3911</v>
      </c>
      <c r="D35" s="30" t="s">
        <v>3855</v>
      </c>
      <c r="E35" s="31" t="s">
        <v>3912</v>
      </c>
    </row>
    <row r="36" spans="2:5" x14ac:dyDescent="0.15">
      <c r="B36" s="331"/>
      <c r="C36" s="327"/>
      <c r="D36" s="26" t="s">
        <v>3857</v>
      </c>
      <c r="E36" s="27" t="s">
        <v>3913</v>
      </c>
    </row>
    <row r="37" spans="2:5" x14ac:dyDescent="0.15">
      <c r="B37" s="331"/>
      <c r="C37" s="327"/>
      <c r="D37" s="26" t="s">
        <v>3859</v>
      </c>
      <c r="E37" s="27" t="s">
        <v>3914</v>
      </c>
    </row>
    <row r="38" spans="2:5" x14ac:dyDescent="0.15">
      <c r="B38" s="331"/>
      <c r="C38" s="327"/>
      <c r="D38" s="26" t="s">
        <v>3875</v>
      </c>
      <c r="E38" s="27" t="s">
        <v>3915</v>
      </c>
    </row>
    <row r="39" spans="2:5" x14ac:dyDescent="0.15">
      <c r="B39" s="331"/>
      <c r="C39" s="327"/>
      <c r="D39" s="26" t="s">
        <v>3880</v>
      </c>
      <c r="E39" s="27" t="s">
        <v>3916</v>
      </c>
    </row>
    <row r="40" spans="2:5" x14ac:dyDescent="0.15">
      <c r="B40" s="331"/>
      <c r="C40" s="327"/>
      <c r="D40" s="26" t="s">
        <v>3917</v>
      </c>
      <c r="E40" s="27" t="s">
        <v>3918</v>
      </c>
    </row>
    <row r="41" spans="2:5" x14ac:dyDescent="0.15">
      <c r="B41" s="331"/>
      <c r="C41" s="327"/>
      <c r="D41" s="26" t="s">
        <v>3892</v>
      </c>
      <c r="E41" s="27" t="s">
        <v>3919</v>
      </c>
    </row>
    <row r="42" spans="2:5" x14ac:dyDescent="0.15">
      <c r="B42" s="331"/>
      <c r="C42" s="327"/>
      <c r="D42" s="26" t="s">
        <v>3894</v>
      </c>
      <c r="E42" s="27" t="s">
        <v>3920</v>
      </c>
    </row>
    <row r="43" spans="2:5" x14ac:dyDescent="0.15">
      <c r="B43" s="332"/>
      <c r="C43" s="328"/>
      <c r="D43" s="28" t="s">
        <v>3921</v>
      </c>
      <c r="E43" s="29" t="s">
        <v>3922</v>
      </c>
    </row>
    <row r="44" spans="2:5" x14ac:dyDescent="0.15">
      <c r="B44" s="330" t="s">
        <v>3923</v>
      </c>
      <c r="C44" s="326" t="s">
        <v>3924</v>
      </c>
      <c r="D44" s="14" t="s">
        <v>3855</v>
      </c>
      <c r="E44" s="15" t="s">
        <v>3889</v>
      </c>
    </row>
    <row r="45" spans="2:5" x14ac:dyDescent="0.15">
      <c r="B45" s="331"/>
      <c r="C45" s="327"/>
      <c r="D45" s="26" t="s">
        <v>3857</v>
      </c>
      <c r="E45" s="27" t="s">
        <v>3925</v>
      </c>
    </row>
    <row r="46" spans="2:5" x14ac:dyDescent="0.15">
      <c r="B46" s="331"/>
      <c r="C46" s="327"/>
      <c r="D46" s="26" t="s">
        <v>3859</v>
      </c>
      <c r="E46" s="27" t="s">
        <v>3926</v>
      </c>
    </row>
    <row r="47" spans="2:5" x14ac:dyDescent="0.15">
      <c r="B47" s="332"/>
      <c r="C47" s="328"/>
      <c r="D47" s="28" t="s">
        <v>3927</v>
      </c>
      <c r="E47" s="29" t="s">
        <v>3928</v>
      </c>
    </row>
    <row r="48" spans="2:5" x14ac:dyDescent="0.15">
      <c r="B48" s="330" t="s">
        <v>3929</v>
      </c>
      <c r="C48" s="326" t="s">
        <v>3930</v>
      </c>
      <c r="D48" s="30" t="s">
        <v>3857</v>
      </c>
      <c r="E48" s="31" t="s">
        <v>3931</v>
      </c>
    </row>
    <row r="49" spans="2:5" x14ac:dyDescent="0.15">
      <c r="B49" s="332"/>
      <c r="C49" s="328"/>
      <c r="D49" s="28" t="s">
        <v>3859</v>
      </c>
      <c r="E49" s="29" t="s">
        <v>3932</v>
      </c>
    </row>
    <row r="50" spans="2:5" x14ac:dyDescent="0.15">
      <c r="B50" s="330" t="s">
        <v>3933</v>
      </c>
      <c r="C50" s="326" t="s">
        <v>3934</v>
      </c>
      <c r="D50" s="14">
        <v>0</v>
      </c>
      <c r="E50" s="15" t="s">
        <v>3884</v>
      </c>
    </row>
    <row r="51" spans="2:5" x14ac:dyDescent="0.15">
      <c r="B51" s="331"/>
      <c r="C51" s="327"/>
      <c r="D51" s="26">
        <v>1</v>
      </c>
      <c r="E51" s="27" t="s">
        <v>3935</v>
      </c>
    </row>
    <row r="52" spans="2:5" x14ac:dyDescent="0.15">
      <c r="B52" s="332"/>
      <c r="C52" s="328"/>
      <c r="D52" s="28">
        <v>2</v>
      </c>
      <c r="E52" s="29" t="s">
        <v>3936</v>
      </c>
    </row>
    <row r="53" spans="2:5" x14ac:dyDescent="0.15">
      <c r="B53" s="330" t="s">
        <v>3937</v>
      </c>
      <c r="C53" s="326" t="s">
        <v>3938</v>
      </c>
      <c r="D53" s="30" t="s">
        <v>3857</v>
      </c>
      <c r="E53" s="31" t="s">
        <v>3939</v>
      </c>
    </row>
    <row r="54" spans="2:5" x14ac:dyDescent="0.15">
      <c r="B54" s="331"/>
      <c r="C54" s="327"/>
      <c r="D54" s="26" t="s">
        <v>3859</v>
      </c>
      <c r="E54" s="27" t="s">
        <v>3940</v>
      </c>
    </row>
    <row r="55" spans="2:5" x14ac:dyDescent="0.15">
      <c r="B55" s="332"/>
      <c r="C55" s="328"/>
      <c r="D55" s="28" t="s">
        <v>3880</v>
      </c>
      <c r="E55" s="29" t="s">
        <v>3941</v>
      </c>
    </row>
    <row r="56" spans="2:5" x14ac:dyDescent="0.15">
      <c r="B56" s="337" t="s">
        <v>3942</v>
      </c>
      <c r="C56" s="336" t="s">
        <v>389</v>
      </c>
      <c r="D56" s="30" t="s">
        <v>3943</v>
      </c>
      <c r="E56" s="31" t="s">
        <v>3944</v>
      </c>
    </row>
    <row r="57" spans="2:5" x14ac:dyDescent="0.15">
      <c r="B57" s="337"/>
      <c r="C57" s="336"/>
      <c r="D57" s="26" t="s">
        <v>3945</v>
      </c>
      <c r="E57" s="27" t="s">
        <v>3946</v>
      </c>
    </row>
    <row r="58" spans="2:5" x14ac:dyDescent="0.15">
      <c r="B58" s="337"/>
      <c r="C58" s="336"/>
      <c r="D58" s="26" t="s">
        <v>3947</v>
      </c>
      <c r="E58" s="27" t="s">
        <v>3948</v>
      </c>
    </row>
    <row r="59" spans="2:5" x14ac:dyDescent="0.15">
      <c r="B59" s="337"/>
      <c r="C59" s="336"/>
      <c r="D59" s="26" t="s">
        <v>3949</v>
      </c>
      <c r="E59" s="27" t="s">
        <v>3950</v>
      </c>
    </row>
    <row r="60" spans="2:5" x14ac:dyDescent="0.15">
      <c r="B60" s="337"/>
      <c r="C60" s="336"/>
      <c r="D60" s="26" t="s">
        <v>3951</v>
      </c>
      <c r="E60" s="27" t="s">
        <v>3952</v>
      </c>
    </row>
    <row r="61" spans="2:5" x14ac:dyDescent="0.15">
      <c r="B61" s="337"/>
      <c r="C61" s="336"/>
      <c r="D61" s="28" t="s">
        <v>3953</v>
      </c>
      <c r="E61" s="29" t="s">
        <v>3954</v>
      </c>
    </row>
    <row r="62" spans="2:5" s="2" customFormat="1" ht="15" customHeight="1" x14ac:dyDescent="0.15">
      <c r="B62" s="337" t="s">
        <v>3955</v>
      </c>
      <c r="C62" s="336" t="s">
        <v>3956</v>
      </c>
      <c r="D62" s="30" t="s">
        <v>3957</v>
      </c>
      <c r="E62" s="31" t="s">
        <v>207</v>
      </c>
    </row>
    <row r="63" spans="2:5" s="2" customFormat="1" ht="15" customHeight="1" x14ac:dyDescent="0.15">
      <c r="B63" s="337"/>
      <c r="C63" s="336"/>
      <c r="D63" s="26" t="s">
        <v>3958</v>
      </c>
      <c r="E63" s="27" t="s">
        <v>208</v>
      </c>
    </row>
    <row r="64" spans="2:5" s="2" customFormat="1" ht="15" customHeight="1" x14ac:dyDescent="0.15">
      <c r="B64" s="337"/>
      <c r="C64" s="336"/>
      <c r="D64" s="26" t="s">
        <v>3959</v>
      </c>
      <c r="E64" s="27" t="s">
        <v>3960</v>
      </c>
    </row>
    <row r="65" spans="2:5" s="2" customFormat="1" ht="15" customHeight="1" x14ac:dyDescent="0.15">
      <c r="B65" s="337"/>
      <c r="C65" s="336"/>
      <c r="D65" s="26" t="s">
        <v>3880</v>
      </c>
      <c r="E65" s="27" t="s">
        <v>3961</v>
      </c>
    </row>
    <row r="66" spans="2:5" s="2" customFormat="1" ht="15" customHeight="1" x14ac:dyDescent="0.15">
      <c r="B66" s="337"/>
      <c r="C66" s="336"/>
      <c r="D66" s="26" t="s">
        <v>3962</v>
      </c>
      <c r="E66" s="27" t="s">
        <v>3785</v>
      </c>
    </row>
    <row r="67" spans="2:5" s="2" customFormat="1" ht="15" customHeight="1" x14ac:dyDescent="0.15">
      <c r="B67" s="337"/>
      <c r="C67" s="336"/>
      <c r="D67" s="26" t="s">
        <v>3963</v>
      </c>
      <c r="E67" s="27" t="s">
        <v>3964</v>
      </c>
    </row>
    <row r="68" spans="2:5" s="2" customFormat="1" ht="15" customHeight="1" x14ac:dyDescent="0.15">
      <c r="B68" s="337"/>
      <c r="C68" s="336"/>
      <c r="D68" s="26" t="s">
        <v>3965</v>
      </c>
      <c r="E68" s="27" t="s">
        <v>3966</v>
      </c>
    </row>
    <row r="69" spans="2:5" s="2" customFormat="1" ht="15" customHeight="1" x14ac:dyDescent="0.15">
      <c r="B69" s="337"/>
      <c r="C69" s="336"/>
      <c r="D69" s="26" t="s">
        <v>3967</v>
      </c>
      <c r="E69" s="27" t="s">
        <v>3968</v>
      </c>
    </row>
    <row r="70" spans="2:5" s="2" customFormat="1" ht="15" customHeight="1" x14ac:dyDescent="0.15">
      <c r="B70" s="337"/>
      <c r="C70" s="336"/>
      <c r="D70" s="26" t="s">
        <v>3969</v>
      </c>
      <c r="E70" s="27" t="s">
        <v>3970</v>
      </c>
    </row>
    <row r="71" spans="2:5" s="2" customFormat="1" ht="15" customHeight="1" x14ac:dyDescent="0.15">
      <c r="B71" s="337"/>
      <c r="C71" s="336"/>
      <c r="D71" s="26" t="s">
        <v>3971</v>
      </c>
      <c r="E71" s="27" t="s">
        <v>3972</v>
      </c>
    </row>
    <row r="72" spans="2:5" s="2" customFormat="1" ht="15" customHeight="1" x14ac:dyDescent="0.15">
      <c r="B72" s="337"/>
      <c r="C72" s="336"/>
      <c r="D72" s="26" t="s">
        <v>3973</v>
      </c>
      <c r="E72" s="27" t="s">
        <v>3974</v>
      </c>
    </row>
    <row r="73" spans="2:5" s="2" customFormat="1" ht="15" customHeight="1" x14ac:dyDescent="0.15">
      <c r="B73" s="337"/>
      <c r="C73" s="336"/>
      <c r="D73" s="26" t="s">
        <v>3975</v>
      </c>
      <c r="E73" s="27" t="s">
        <v>3976</v>
      </c>
    </row>
    <row r="74" spans="2:5" s="2" customFormat="1" ht="15" customHeight="1" x14ac:dyDescent="0.15">
      <c r="B74" s="337"/>
      <c r="C74" s="336"/>
      <c r="D74" s="26" t="s">
        <v>3977</v>
      </c>
      <c r="E74" s="27" t="s">
        <v>3978</v>
      </c>
    </row>
    <row r="75" spans="2:5" s="2" customFormat="1" ht="15" customHeight="1" x14ac:dyDescent="0.15">
      <c r="B75" s="337"/>
      <c r="C75" s="336"/>
      <c r="D75" s="26" t="s">
        <v>3979</v>
      </c>
      <c r="E75" s="27" t="s">
        <v>3980</v>
      </c>
    </row>
    <row r="76" spans="2:5" s="2" customFormat="1" ht="15" customHeight="1" x14ac:dyDescent="0.15">
      <c r="B76" s="337"/>
      <c r="C76" s="336"/>
      <c r="D76" s="26"/>
      <c r="E76" s="27" t="s">
        <v>3981</v>
      </c>
    </row>
    <row r="77" spans="2:5" s="2" customFormat="1" ht="15" customHeight="1" x14ac:dyDescent="0.15">
      <c r="B77" s="337"/>
      <c r="C77" s="336"/>
      <c r="D77" s="26"/>
      <c r="E77" s="27" t="s">
        <v>3982</v>
      </c>
    </row>
    <row r="78" spans="2:5" s="2" customFormat="1" ht="15" customHeight="1" x14ac:dyDescent="0.15">
      <c r="B78" s="337"/>
      <c r="C78" s="336"/>
      <c r="D78" s="26"/>
      <c r="E78" s="27" t="s">
        <v>3983</v>
      </c>
    </row>
    <row r="79" spans="2:5" s="2" customFormat="1" ht="15" customHeight="1" x14ac:dyDescent="0.15">
      <c r="B79" s="330"/>
      <c r="C79" s="326"/>
      <c r="D79" s="33"/>
      <c r="E79" s="32" t="s">
        <v>3984</v>
      </c>
    </row>
    <row r="80" spans="2:5" x14ac:dyDescent="0.15">
      <c r="B80" s="330" t="s">
        <v>3985</v>
      </c>
      <c r="C80" s="326" t="s">
        <v>3986</v>
      </c>
      <c r="D80" s="34">
        <v>0</v>
      </c>
      <c r="E80" s="35" t="s">
        <v>3889</v>
      </c>
    </row>
    <row r="81" spans="2:5" x14ac:dyDescent="0.15">
      <c r="B81" s="331"/>
      <c r="C81" s="327"/>
      <c r="D81" s="26">
        <v>1</v>
      </c>
      <c r="E81" s="27" t="s">
        <v>3987</v>
      </c>
    </row>
    <row r="82" spans="2:5" ht="14.25" customHeight="1" x14ac:dyDescent="0.15">
      <c r="B82" s="332"/>
      <c r="C82" s="328"/>
      <c r="D82" s="28">
        <v>2</v>
      </c>
      <c r="E82" s="29" t="s">
        <v>3988</v>
      </c>
    </row>
    <row r="83" spans="2:5" x14ac:dyDescent="0.15">
      <c r="B83" s="330" t="s">
        <v>3989</v>
      </c>
      <c r="C83" s="326" t="s">
        <v>3990</v>
      </c>
      <c r="D83" s="14">
        <v>0</v>
      </c>
      <c r="E83" s="15" t="s">
        <v>3991</v>
      </c>
    </row>
    <row r="84" spans="2:5" x14ac:dyDescent="0.15">
      <c r="B84" s="331"/>
      <c r="C84" s="327"/>
      <c r="D84" s="26">
        <v>1</v>
      </c>
      <c r="E84" s="27" t="s">
        <v>3992</v>
      </c>
    </row>
    <row r="85" spans="2:5" x14ac:dyDescent="0.15">
      <c r="B85" s="331"/>
      <c r="C85" s="327"/>
      <c r="D85" s="26" t="s">
        <v>3859</v>
      </c>
      <c r="E85" s="27" t="s">
        <v>3993</v>
      </c>
    </row>
    <row r="86" spans="2:5" x14ac:dyDescent="0.15">
      <c r="B86" s="332"/>
      <c r="C86" s="327"/>
      <c r="D86" s="33" t="s">
        <v>3875</v>
      </c>
      <c r="E86" s="32" t="s">
        <v>3994</v>
      </c>
    </row>
    <row r="87" spans="2:5" x14ac:dyDescent="0.15">
      <c r="B87" s="326" t="s">
        <v>3995</v>
      </c>
      <c r="C87" s="326" t="s">
        <v>3996</v>
      </c>
      <c r="D87" s="36" t="s">
        <v>3997</v>
      </c>
      <c r="E87" s="37" t="s">
        <v>257</v>
      </c>
    </row>
    <row r="88" spans="2:5" x14ac:dyDescent="0.15">
      <c r="B88" s="329"/>
      <c r="C88" s="329"/>
      <c r="D88" s="38" t="s">
        <v>3998</v>
      </c>
      <c r="E88" s="39" t="s">
        <v>3999</v>
      </c>
    </row>
  </sheetData>
  <mergeCells count="34">
    <mergeCell ref="B3:B10"/>
    <mergeCell ref="B11:B13"/>
    <mergeCell ref="B14:B16"/>
    <mergeCell ref="B17:B19"/>
    <mergeCell ref="B20:B24"/>
    <mergeCell ref="B25:B29"/>
    <mergeCell ref="B30:B34"/>
    <mergeCell ref="B35:B43"/>
    <mergeCell ref="B44:B47"/>
    <mergeCell ref="B48:B49"/>
    <mergeCell ref="C50:C52"/>
    <mergeCell ref="C53:C55"/>
    <mergeCell ref="C56:C61"/>
    <mergeCell ref="C62:C79"/>
    <mergeCell ref="B50:B52"/>
    <mergeCell ref="B53:B55"/>
    <mergeCell ref="B56:B61"/>
    <mergeCell ref="B62:B79"/>
    <mergeCell ref="C25:C29"/>
    <mergeCell ref="C30:C34"/>
    <mergeCell ref="C35:C43"/>
    <mergeCell ref="C44:C47"/>
    <mergeCell ref="C48:C49"/>
    <mergeCell ref="C3:C10"/>
    <mergeCell ref="C11:C13"/>
    <mergeCell ref="C14:C16"/>
    <mergeCell ref="C17:C19"/>
    <mergeCell ref="C20:C24"/>
    <mergeCell ref="C80:C82"/>
    <mergeCell ref="C83:C86"/>
    <mergeCell ref="C87:C88"/>
    <mergeCell ref="B83:B86"/>
    <mergeCell ref="B87:B88"/>
    <mergeCell ref="B80:B82"/>
  </mergeCells>
  <phoneticPr fontId="19" type="noConversion"/>
  <pageMargins left="0.69930555555555596" right="0.69930555555555596" top="0.75" bottom="0.75" header="0.3" footer="0.3"/>
  <pageSetup paperSize="9"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D9"/>
  <sheetViews>
    <sheetView workbookViewId="0">
      <selection activeCell="D32" sqref="D32"/>
    </sheetView>
  </sheetViews>
  <sheetFormatPr defaultColWidth="9" defaultRowHeight="13.5" x14ac:dyDescent="0.15"/>
  <cols>
    <col min="1" max="1" width="1" style="1" customWidth="1"/>
    <col min="2" max="2" width="12.75" style="2" customWidth="1"/>
    <col min="3" max="3" width="13.625" style="2" customWidth="1"/>
    <col min="4" max="4" width="28.625" style="2" customWidth="1"/>
    <col min="5" max="16384" width="9" style="1"/>
  </cols>
  <sheetData>
    <row r="1" spans="2:4" ht="6.75" customHeight="1" x14ac:dyDescent="0.15"/>
    <row r="2" spans="2:4" x14ac:dyDescent="0.15">
      <c r="B2" s="3" t="s">
        <v>4000</v>
      </c>
      <c r="C2" s="4" t="s">
        <v>4001</v>
      </c>
      <c r="D2" s="4" t="s">
        <v>4002</v>
      </c>
    </row>
    <row r="3" spans="2:4" x14ac:dyDescent="0.15">
      <c r="B3" s="5" t="s">
        <v>3943</v>
      </c>
      <c r="C3" s="6" t="s">
        <v>4003</v>
      </c>
      <c r="D3" s="6" t="s">
        <v>4004</v>
      </c>
    </row>
    <row r="4" spans="2:4" x14ac:dyDescent="0.15">
      <c r="B4" s="5" t="s">
        <v>3947</v>
      </c>
      <c r="C4" s="6" t="s">
        <v>3948</v>
      </c>
      <c r="D4" s="6" t="s">
        <v>4005</v>
      </c>
    </row>
    <row r="5" spans="2:4" x14ac:dyDescent="0.15">
      <c r="B5" s="5" t="s">
        <v>3945</v>
      </c>
      <c r="C5" s="6" t="s">
        <v>4006</v>
      </c>
      <c r="D5" s="6" t="s">
        <v>4007</v>
      </c>
    </row>
    <row r="6" spans="2:4" x14ac:dyDescent="0.15">
      <c r="B6" s="5" t="s">
        <v>3949</v>
      </c>
      <c r="C6" s="6" t="s">
        <v>3950</v>
      </c>
      <c r="D6" s="6" t="s">
        <v>4008</v>
      </c>
    </row>
    <row r="7" spans="2:4" x14ac:dyDescent="0.15">
      <c r="B7" s="7" t="s">
        <v>3951</v>
      </c>
      <c r="C7" s="8" t="s">
        <v>4009</v>
      </c>
      <c r="D7" s="8" t="s">
        <v>4010</v>
      </c>
    </row>
    <row r="8" spans="2:4" x14ac:dyDescent="0.15">
      <c r="B8" s="5" t="s">
        <v>3953</v>
      </c>
      <c r="C8" s="6" t="s">
        <v>4011</v>
      </c>
      <c r="D8" s="6" t="s">
        <v>4012</v>
      </c>
    </row>
    <row r="9" spans="2:4" x14ac:dyDescent="0.15">
      <c r="B9" s="9" t="s">
        <v>4013</v>
      </c>
      <c r="C9" s="10" t="s">
        <v>4014</v>
      </c>
      <c r="D9" s="6" t="s">
        <v>4015</v>
      </c>
    </row>
  </sheetData>
  <phoneticPr fontId="19" type="noConversion"/>
  <pageMargins left="0.69930555555555596" right="0.69930555555555596" top="0.75" bottom="0.75" header="0.3" footer="0.3"/>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封面</vt:lpstr>
      <vt:lpstr>修订说明</vt:lpstr>
      <vt:lpstr>功能索引</vt:lpstr>
      <vt:lpstr>接口信息</vt:lpstr>
      <vt:lpstr>基本字段定义</vt:lpstr>
      <vt:lpstr>交易类别</vt:lpstr>
      <vt:lpstr>数据字典</vt:lpstr>
      <vt:lpstr>市场参数</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zxj</dc:creator>
  <cp:lastModifiedBy>liu</cp:lastModifiedBy>
  <dcterms:created xsi:type="dcterms:W3CDTF">2014-09-19T10:12:36Z</dcterms:created>
  <dcterms:modified xsi:type="dcterms:W3CDTF">2014-11-13T09:21:09Z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2052-9.1.0.4567</vt:lpwstr>
  </property>
</Properties>
</file>