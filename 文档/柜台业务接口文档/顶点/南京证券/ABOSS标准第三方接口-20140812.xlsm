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bookViews>
    <workbookView xWindow="0" yWindow="0" windowWidth="19440" windowHeight="8370" tabRatio="470" activeTab="3"/>
  </bookViews>
  <sheets>
    <sheet name="封面" sheetId="1" r:id="rId1"/>
    <sheet name="修订说明" sheetId="2" r:id="rId2"/>
    <sheet name="功能索引" sheetId="3" r:id="rId3"/>
    <sheet name="接口信息" sheetId="4" r:id="rId4"/>
    <sheet name="基本字段定义" sheetId="5" r:id="rId5"/>
    <sheet name="交易类别" sheetId="6" r:id="rId6"/>
    <sheet name="数据字典" sheetId="7" r:id="rId7"/>
    <sheet name="市场参数" sheetId="8" r:id="rId8"/>
  </sheets>
  <calcPr calcId="124519"/>
  <extLst/>
</workbook>
</file>

<file path=xl/calcChain.xml><?xml version="1.0" encoding="utf-8"?>
<calcChain xmlns="http://schemas.openxmlformats.org/spreadsheetml/2006/main">
  <c r="D3571" i="4"/>
  <c r="D3572"/>
  <c r="D3570"/>
  <c r="D3569"/>
  <c r="D3568"/>
  <c r="D3567"/>
  <c r="D3566"/>
  <c r="D3565"/>
  <c r="D3564"/>
  <c r="D3557"/>
  <c r="D3556"/>
  <c r="D3555"/>
  <c r="D3554"/>
  <c r="D3553"/>
  <c r="D3552"/>
  <c r="D3551"/>
  <c r="D3550"/>
  <c r="D3549"/>
  <c r="D3548"/>
  <c r="D3547"/>
  <c r="D3546"/>
  <c r="D3545"/>
  <c r="D3537"/>
  <c r="D3536"/>
  <c r="D3535"/>
  <c r="D3534"/>
  <c r="D3533"/>
  <c r="D3532"/>
  <c r="D3524"/>
  <c r="D3523"/>
  <c r="D3522"/>
  <c r="D3521"/>
  <c r="D3520"/>
  <c r="D3512"/>
  <c r="D3511"/>
  <c r="D3510"/>
  <c r="D3509"/>
  <c r="D3508"/>
  <c r="D3501"/>
  <c r="D3500"/>
  <c r="D3499"/>
  <c r="D3498"/>
  <c r="D3497"/>
  <c r="D3496"/>
  <c r="D3495"/>
  <c r="D3494"/>
  <c r="D3493"/>
  <c r="D3492"/>
  <c r="D3491"/>
  <c r="D3490"/>
  <c r="D3489"/>
  <c r="D3482"/>
  <c r="D3481"/>
  <c r="D3480"/>
  <c r="D3479"/>
  <c r="D3478"/>
  <c r="D3477"/>
  <c r="D3476"/>
  <c r="D3475"/>
  <c r="D3474"/>
  <c r="D3473"/>
  <c r="D3472"/>
  <c r="D3471"/>
  <c r="D3470"/>
  <c r="D3469"/>
  <c r="D3468"/>
  <c r="D3467"/>
  <c r="D3466"/>
  <c r="D3465"/>
  <c r="G3461"/>
  <c r="C3461"/>
  <c r="D3458"/>
  <c r="D3457"/>
  <c r="D3456"/>
  <c r="D3455"/>
  <c r="D3454"/>
  <c r="D3453"/>
  <c r="D3452"/>
  <c r="D3451"/>
  <c r="D3450"/>
  <c r="D3449"/>
  <c r="D3448"/>
  <c r="D3447"/>
  <c r="D3446"/>
  <c r="D3445"/>
  <c r="D3444"/>
  <c r="D3443"/>
  <c r="D3442"/>
  <c r="D3441"/>
  <c r="D3440"/>
  <c r="D3439"/>
  <c r="D3438"/>
  <c r="D3437"/>
  <c r="D3436"/>
  <c r="D3435"/>
  <c r="D3434"/>
  <c r="D3433"/>
  <c r="D3432"/>
  <c r="D3431"/>
  <c r="D3430"/>
  <c r="D3429"/>
  <c r="D3428"/>
  <c r="D3427"/>
  <c r="D3426"/>
  <c r="D3425"/>
  <c r="D3424"/>
  <c r="D3423"/>
  <c r="D3422"/>
  <c r="D3421"/>
  <c r="D3420"/>
  <c r="D3419"/>
  <c r="D3418"/>
  <c r="D3417"/>
  <c r="D3416"/>
  <c r="D3415"/>
  <c r="D3414"/>
  <c r="D3413"/>
  <c r="G3409"/>
  <c r="C3409"/>
  <c r="D3406"/>
  <c r="D3405"/>
  <c r="D3404"/>
  <c r="D3403"/>
  <c r="D3402"/>
  <c r="D3401"/>
  <c r="D3400"/>
  <c r="D3399"/>
  <c r="D3398"/>
  <c r="D3391"/>
  <c r="D3390"/>
  <c r="D3389"/>
  <c r="D3388"/>
  <c r="D3387"/>
  <c r="D3386"/>
  <c r="D3385"/>
  <c r="D3384"/>
  <c r="D3383"/>
  <c r="D3382"/>
  <c r="D3381"/>
  <c r="D3380"/>
  <c r="D3379"/>
  <c r="D3378"/>
  <c r="D3377"/>
  <c r="D3376"/>
  <c r="D3375"/>
  <c r="D3374"/>
  <c r="D3373"/>
  <c r="D3372"/>
  <c r="D3371"/>
  <c r="D3370"/>
  <c r="D3369"/>
  <c r="D3368"/>
  <c r="D3367"/>
  <c r="D3366"/>
  <c r="G3362"/>
  <c r="C3362"/>
  <c r="D3358"/>
  <c r="D3357"/>
  <c r="D3356"/>
  <c r="D3355"/>
  <c r="D3354"/>
  <c r="D3353"/>
  <c r="D3352"/>
  <c r="D3351"/>
  <c r="D3350"/>
  <c r="D3349"/>
  <c r="D3348"/>
  <c r="D3347"/>
  <c r="D3346"/>
  <c r="D3345"/>
  <c r="D3344"/>
  <c r="D3343"/>
  <c r="D3342"/>
  <c r="D3341"/>
  <c r="G3337"/>
  <c r="C3337"/>
  <c r="D3333"/>
  <c r="D3332"/>
  <c r="D3331"/>
  <c r="D3330"/>
  <c r="D3329"/>
  <c r="D3328"/>
  <c r="D3327"/>
  <c r="D3326"/>
  <c r="D3325"/>
  <c r="D3324"/>
  <c r="D3323"/>
  <c r="D3322"/>
  <c r="G3318"/>
  <c r="C3318"/>
  <c r="D3315"/>
  <c r="D3314"/>
  <c r="D3313"/>
  <c r="D3312"/>
  <c r="D3311"/>
  <c r="D3310"/>
  <c r="D3309"/>
  <c r="D3308"/>
  <c r="D3307"/>
  <c r="D3306"/>
  <c r="D3305"/>
  <c r="D3304"/>
  <c r="D3303"/>
  <c r="D3302"/>
  <c r="D3301"/>
  <c r="D3300"/>
  <c r="D3299"/>
  <c r="D3298"/>
  <c r="G3294"/>
  <c r="C3294"/>
  <c r="D3290"/>
  <c r="D3289"/>
  <c r="D3288"/>
  <c r="D3287"/>
  <c r="D3286"/>
  <c r="D3285"/>
  <c r="D3284"/>
  <c r="D3283"/>
  <c r="D3282"/>
  <c r="G3278"/>
  <c r="C3278"/>
  <c r="D3275"/>
  <c r="D3274"/>
  <c r="D3273"/>
  <c r="D3272"/>
  <c r="D3271"/>
  <c r="D3270"/>
  <c r="D3269"/>
  <c r="D3268"/>
  <c r="D3267"/>
  <c r="D3266"/>
  <c r="D3265"/>
  <c r="D3264"/>
  <c r="D3263"/>
  <c r="D3262"/>
  <c r="D3261"/>
  <c r="D3260"/>
  <c r="D3259"/>
  <c r="D3258"/>
  <c r="G3254"/>
  <c r="C3254"/>
  <c r="D3251"/>
  <c r="D3250"/>
  <c r="D3249"/>
  <c r="D3248"/>
  <c r="D3247"/>
  <c r="D3246"/>
  <c r="D3245"/>
  <c r="D3244"/>
  <c r="D3243"/>
  <c r="D3242"/>
  <c r="D3241"/>
  <c r="D3240"/>
  <c r="D3239"/>
  <c r="D3238"/>
  <c r="D3237"/>
  <c r="D3236"/>
  <c r="D3235"/>
  <c r="D3234"/>
  <c r="D3233"/>
  <c r="D3232"/>
  <c r="D3231"/>
  <c r="D3230"/>
  <c r="D3229"/>
  <c r="D3228"/>
  <c r="D3227"/>
  <c r="D3226"/>
  <c r="D3225"/>
  <c r="D3224"/>
  <c r="D3223"/>
  <c r="D3222"/>
  <c r="D3221"/>
  <c r="D3220"/>
  <c r="D3219"/>
  <c r="D3218"/>
  <c r="D3217"/>
  <c r="D3216"/>
  <c r="D3215"/>
  <c r="D3214"/>
  <c r="D3213"/>
  <c r="D3212"/>
  <c r="D3211"/>
  <c r="D3210"/>
  <c r="D3209"/>
  <c r="D3208"/>
  <c r="D3207"/>
  <c r="D3206"/>
  <c r="D3205"/>
  <c r="D3204"/>
  <c r="D3203"/>
  <c r="D3202"/>
  <c r="D3201"/>
  <c r="D3200"/>
  <c r="D3199"/>
  <c r="D3198"/>
  <c r="D3197"/>
  <c r="D3196"/>
  <c r="D3195"/>
  <c r="D3194"/>
  <c r="D3193"/>
  <c r="D3192"/>
  <c r="D3191"/>
  <c r="D3190"/>
  <c r="D3189"/>
  <c r="D3188"/>
  <c r="D3187"/>
  <c r="D3186"/>
  <c r="D3185"/>
  <c r="D3184"/>
  <c r="D3183"/>
  <c r="D3182"/>
  <c r="D3181"/>
  <c r="D3180"/>
  <c r="D3179"/>
  <c r="D3178"/>
  <c r="D3177"/>
  <c r="D3176"/>
  <c r="D3175"/>
  <c r="D3174"/>
  <c r="D3173"/>
  <c r="D3172"/>
  <c r="D3171"/>
  <c r="D3170"/>
  <c r="D3169"/>
  <c r="D3168"/>
  <c r="D3167"/>
  <c r="G3163"/>
  <c r="C3163"/>
  <c r="D3160"/>
  <c r="D3159"/>
  <c r="D3158"/>
  <c r="D3157"/>
  <c r="D3156"/>
  <c r="D3155"/>
  <c r="D3154"/>
  <c r="D3153"/>
  <c r="D3152"/>
  <c r="D3151"/>
  <c r="D3150"/>
  <c r="D3149"/>
  <c r="D3148"/>
  <c r="D3147"/>
  <c r="D3146"/>
  <c r="D3145"/>
  <c r="D3144"/>
  <c r="D3143"/>
  <c r="D3142"/>
  <c r="D3141"/>
  <c r="D3140"/>
  <c r="D3139"/>
  <c r="D3138"/>
  <c r="G3134"/>
  <c r="C3134"/>
  <c r="D3130"/>
  <c r="D3129"/>
  <c r="D3128"/>
  <c r="D3127"/>
  <c r="D3126"/>
  <c r="D3125"/>
  <c r="D3124"/>
  <c r="D3123"/>
  <c r="D3122"/>
  <c r="D3121"/>
  <c r="D3120"/>
  <c r="D3119"/>
  <c r="D3118"/>
  <c r="D3117"/>
  <c r="D3116"/>
  <c r="D3115"/>
  <c r="D3114"/>
  <c r="D3113"/>
  <c r="G3109"/>
  <c r="C3109"/>
  <c r="D3106"/>
  <c r="D3105"/>
  <c r="D3104"/>
  <c r="D3103"/>
  <c r="D3102"/>
  <c r="D3101"/>
  <c r="D3100"/>
  <c r="D3099"/>
  <c r="D3098"/>
  <c r="D3097"/>
  <c r="D3096"/>
  <c r="D3095"/>
  <c r="D3094"/>
  <c r="D3093"/>
  <c r="D3092"/>
  <c r="D3091"/>
  <c r="D3090"/>
  <c r="D3089"/>
  <c r="D3088"/>
  <c r="D3087"/>
  <c r="D3086"/>
  <c r="D3085"/>
  <c r="D3084"/>
  <c r="D3083"/>
  <c r="D3082"/>
  <c r="D3081"/>
  <c r="D3080"/>
  <c r="D3079"/>
  <c r="D3078"/>
  <c r="D3077"/>
  <c r="D3076"/>
  <c r="D3075"/>
  <c r="D3074"/>
  <c r="D3073"/>
  <c r="D3072"/>
  <c r="D3071"/>
  <c r="D3070"/>
  <c r="D3069"/>
  <c r="D3068"/>
  <c r="D3067"/>
  <c r="D3066"/>
  <c r="D3065"/>
  <c r="D3064"/>
  <c r="D3063"/>
  <c r="D3062"/>
  <c r="D3061"/>
  <c r="D3060"/>
  <c r="D3059"/>
  <c r="D3058"/>
  <c r="D3057"/>
  <c r="D3056"/>
  <c r="D3055"/>
  <c r="D3054"/>
  <c r="D3053"/>
  <c r="D3052"/>
  <c r="D3051"/>
  <c r="D3050"/>
  <c r="D3049"/>
  <c r="D3048"/>
  <c r="D3047"/>
  <c r="G3043"/>
  <c r="C3043"/>
  <c r="D3039"/>
  <c r="D3038"/>
  <c r="D3037"/>
  <c r="D3036"/>
  <c r="D3035"/>
  <c r="D3034"/>
  <c r="D3033"/>
  <c r="D3032"/>
  <c r="D3031"/>
  <c r="D3030"/>
  <c r="D3029"/>
  <c r="D3028"/>
  <c r="D3027"/>
  <c r="D3026"/>
  <c r="D3025"/>
  <c r="D3024"/>
  <c r="D3023"/>
  <c r="D3022"/>
  <c r="D3021"/>
  <c r="D3020"/>
  <c r="D3019"/>
  <c r="D3018"/>
  <c r="D3011"/>
  <c r="D3010"/>
  <c r="D3009"/>
  <c r="D3008"/>
  <c r="D3007"/>
  <c r="D3006"/>
  <c r="D3005"/>
  <c r="D3004"/>
  <c r="D3003"/>
  <c r="D3002"/>
  <c r="D2995"/>
  <c r="D2994"/>
  <c r="D2993"/>
  <c r="D2992"/>
  <c r="D2991"/>
  <c r="D2990"/>
  <c r="D2989"/>
  <c r="D2988"/>
  <c r="D2987"/>
  <c r="D2986"/>
  <c r="D2985"/>
  <c r="D2984"/>
  <c r="D2983"/>
  <c r="D2982"/>
  <c r="D2981"/>
  <c r="D2980"/>
  <c r="D2979"/>
  <c r="D2978"/>
  <c r="D2976"/>
  <c r="D2975"/>
  <c r="D2974"/>
  <c r="G2970"/>
  <c r="C2970"/>
  <c r="D2966"/>
  <c r="D2965"/>
  <c r="D2964"/>
  <c r="D2962"/>
  <c r="D2961"/>
  <c r="D2960"/>
  <c r="D2959"/>
  <c r="D2958"/>
  <c r="D2957"/>
  <c r="D2956"/>
  <c r="D2955"/>
  <c r="D2954"/>
  <c r="D2953"/>
  <c r="D2952"/>
  <c r="D2951"/>
  <c r="G2947"/>
  <c r="C2947"/>
  <c r="D2944"/>
  <c r="D2943"/>
  <c r="D2942"/>
  <c r="D2941"/>
  <c r="D2940"/>
  <c r="D2939"/>
  <c r="D2938"/>
  <c r="D2937"/>
  <c r="D2936"/>
  <c r="D2935"/>
  <c r="D2934"/>
  <c r="D2933"/>
  <c r="D2932"/>
  <c r="D2931"/>
  <c r="D2930"/>
  <c r="D2929"/>
  <c r="D2922"/>
  <c r="D2921"/>
  <c r="D2920"/>
  <c r="D2919"/>
  <c r="D2918"/>
  <c r="D2917"/>
  <c r="D2916"/>
  <c r="D2915"/>
  <c r="D2914"/>
  <c r="D2913"/>
  <c r="D2912"/>
  <c r="D2911"/>
  <c r="D2910"/>
  <c r="D2909"/>
  <c r="D2908"/>
  <c r="D2907"/>
  <c r="D2906"/>
  <c r="D2905"/>
  <c r="D2904"/>
  <c r="D2903"/>
  <c r="D2902"/>
  <c r="D2901"/>
  <c r="D2900"/>
  <c r="D2899"/>
  <c r="D2898"/>
  <c r="D2897"/>
  <c r="D2896"/>
  <c r="D2895"/>
  <c r="D2888"/>
  <c r="D2887"/>
  <c r="D2886"/>
  <c r="D2885"/>
  <c r="D2884"/>
  <c r="D2883"/>
  <c r="D2882"/>
  <c r="D2881"/>
  <c r="D2880"/>
  <c r="D2879"/>
  <c r="D2878"/>
  <c r="D2877"/>
  <c r="D2876"/>
  <c r="D2875"/>
  <c r="D2874"/>
  <c r="D2873"/>
  <c r="D2872"/>
  <c r="D2864"/>
  <c r="D2863"/>
  <c r="D2862"/>
  <c r="D2861"/>
  <c r="D2860"/>
  <c r="D2859"/>
  <c r="D2858"/>
  <c r="D2857"/>
  <c r="D2856"/>
  <c r="D2855"/>
  <c r="D2854"/>
  <c r="D2853"/>
  <c r="D2852"/>
  <c r="D2851"/>
  <c r="D2850"/>
  <c r="D2849"/>
  <c r="D2848"/>
  <c r="D2847"/>
  <c r="D2846"/>
  <c r="D2845"/>
  <c r="D2844"/>
  <c r="D2843"/>
  <c r="D2836"/>
  <c r="D2835"/>
  <c r="D2834"/>
  <c r="D2833"/>
  <c r="D2832"/>
  <c r="D2831"/>
  <c r="D2830"/>
  <c r="D2829"/>
  <c r="D2828"/>
  <c r="D2827"/>
  <c r="D2826"/>
  <c r="D2825"/>
  <c r="D2824"/>
  <c r="D2823"/>
  <c r="D2822"/>
  <c r="D2821"/>
  <c r="D2820"/>
  <c r="D2819"/>
  <c r="D2812"/>
  <c r="D2811"/>
  <c r="D2810"/>
  <c r="D2809"/>
  <c r="D2808"/>
  <c r="D2807"/>
  <c r="D2806"/>
  <c r="D2805"/>
  <c r="D2804"/>
  <c r="D2803"/>
  <c r="D2802"/>
  <c r="D2801"/>
  <c r="D2800"/>
  <c r="D2799"/>
  <c r="D2798"/>
  <c r="D2797"/>
  <c r="D2796"/>
  <c r="D2795"/>
  <c r="D2794"/>
  <c r="D2793"/>
  <c r="D2792"/>
  <c r="D2791"/>
  <c r="D2790"/>
  <c r="D2789"/>
  <c r="D2788"/>
  <c r="D2787"/>
  <c r="D2786"/>
  <c r="D2785"/>
  <c r="D2784"/>
  <c r="D2783"/>
  <c r="D2782"/>
  <c r="D2774"/>
  <c r="D2773"/>
  <c r="D2772"/>
  <c r="D2771"/>
  <c r="D2770"/>
  <c r="D2769"/>
  <c r="D2768"/>
  <c r="D2767"/>
  <c r="D2766"/>
  <c r="D2758"/>
  <c r="D2757"/>
  <c r="D2756"/>
  <c r="D2755"/>
  <c r="D2754"/>
  <c r="D2753"/>
  <c r="D2745"/>
  <c r="D2744"/>
  <c r="D2743"/>
  <c r="D2742"/>
  <c r="D2738"/>
  <c r="D2737"/>
  <c r="D2736"/>
  <c r="D2735"/>
  <c r="D2734"/>
  <c r="D2733"/>
  <c r="D2732"/>
  <c r="D2731"/>
  <c r="D2730"/>
  <c r="D2729"/>
  <c r="D2721"/>
  <c r="D2720"/>
  <c r="D2719"/>
  <c r="D2718"/>
  <c r="D2717"/>
  <c r="D2716"/>
  <c r="C2712"/>
  <c r="D2708"/>
  <c r="D2707"/>
  <c r="D2706"/>
  <c r="D2705"/>
  <c r="D2704"/>
  <c r="D2703"/>
  <c r="D2702"/>
  <c r="D2701"/>
  <c r="D2700"/>
  <c r="C2696"/>
  <c r="D2692"/>
  <c r="D2691"/>
  <c r="D2690"/>
  <c r="D2689"/>
  <c r="D2688"/>
  <c r="D2687"/>
  <c r="D2686"/>
  <c r="D2685"/>
  <c r="D2684"/>
  <c r="D2683"/>
  <c r="D2682"/>
  <c r="D2681"/>
  <c r="D2680"/>
  <c r="D2679"/>
  <c r="D2678"/>
  <c r="D2677"/>
  <c r="D2676"/>
  <c r="D2675"/>
  <c r="D2674"/>
  <c r="D2673"/>
  <c r="D2672"/>
  <c r="D2671"/>
  <c r="D2670"/>
  <c r="G2666"/>
  <c r="C2666"/>
  <c r="D2663"/>
  <c r="D2662"/>
  <c r="D2661"/>
  <c r="D2660"/>
  <c r="D2659"/>
  <c r="D2658"/>
  <c r="D2657"/>
  <c r="D2656"/>
  <c r="D2655"/>
  <c r="D2654"/>
  <c r="D2653"/>
  <c r="D2652"/>
  <c r="D2651"/>
  <c r="D2650"/>
  <c r="D2649"/>
  <c r="D2648"/>
  <c r="D2647"/>
  <c r="D2646"/>
  <c r="D2645"/>
  <c r="D2644"/>
  <c r="D2643"/>
  <c r="D2642"/>
  <c r="D2641"/>
  <c r="D2640"/>
  <c r="D2639"/>
  <c r="D2638"/>
  <c r="D2637"/>
  <c r="D2636"/>
  <c r="D2635"/>
  <c r="D2634"/>
  <c r="D2633"/>
  <c r="D2632"/>
  <c r="D2631"/>
  <c r="D2630"/>
  <c r="D2629"/>
  <c r="D2628"/>
  <c r="D2627"/>
  <c r="D2626"/>
  <c r="D2625"/>
  <c r="D2624"/>
  <c r="D2623"/>
  <c r="D2622"/>
  <c r="D2621"/>
  <c r="D2620"/>
  <c r="D2619"/>
  <c r="D2618"/>
  <c r="D2617"/>
  <c r="D2616"/>
  <c r="D2615"/>
  <c r="D2614"/>
  <c r="D2613"/>
  <c r="D2612"/>
  <c r="D2611"/>
  <c r="D2610"/>
  <c r="D2609"/>
  <c r="D2608"/>
  <c r="D2607"/>
  <c r="D2606"/>
  <c r="D2605"/>
  <c r="D2604"/>
  <c r="D2603"/>
  <c r="D2602"/>
  <c r="D2601"/>
  <c r="D2600"/>
  <c r="D2599"/>
  <c r="D2598"/>
  <c r="D2597"/>
  <c r="D2596"/>
  <c r="G2592"/>
  <c r="C2592"/>
  <c r="D2588"/>
  <c r="D2587"/>
  <c r="D2586"/>
  <c r="D2585"/>
  <c r="D2584"/>
  <c r="D2583"/>
  <c r="D2582"/>
  <c r="D2581"/>
  <c r="D2580"/>
  <c r="D2579"/>
  <c r="D2578"/>
  <c r="D2577"/>
  <c r="D2576"/>
  <c r="D2575"/>
  <c r="D2574"/>
  <c r="D2573"/>
  <c r="D2572"/>
  <c r="D2571"/>
  <c r="G2567"/>
  <c r="C2567"/>
  <c r="D2563"/>
  <c r="D2562"/>
  <c r="D2561"/>
  <c r="D2560"/>
  <c r="D2559"/>
  <c r="D2558"/>
  <c r="D2557"/>
  <c r="D2556"/>
  <c r="D2555"/>
  <c r="D2554"/>
  <c r="D2553"/>
  <c r="D2552"/>
  <c r="D2551"/>
  <c r="D2550"/>
  <c r="D2549"/>
  <c r="D2548"/>
  <c r="D2547"/>
  <c r="D2546"/>
  <c r="D2545"/>
  <c r="D2544"/>
  <c r="G2540"/>
  <c r="C2540"/>
  <c r="D2536"/>
  <c r="D2535"/>
  <c r="D2534"/>
  <c r="D2533"/>
  <c r="D2532"/>
  <c r="D2531"/>
  <c r="D2530"/>
  <c r="D2529"/>
  <c r="D2528"/>
  <c r="D2527"/>
  <c r="D2526"/>
  <c r="D2525"/>
  <c r="D2524"/>
  <c r="D2523"/>
  <c r="D2522"/>
  <c r="D2520"/>
  <c r="D2519"/>
  <c r="D2518"/>
  <c r="D2517"/>
  <c r="D2516"/>
  <c r="G2512"/>
  <c r="C2512"/>
  <c r="D2508"/>
  <c r="D2507"/>
  <c r="D2506"/>
  <c r="D2505"/>
  <c r="D2504"/>
  <c r="D2503"/>
  <c r="D2502"/>
  <c r="D2501"/>
  <c r="D2500"/>
  <c r="D2499"/>
  <c r="D2498"/>
  <c r="D2497"/>
  <c r="D2496"/>
  <c r="D2495"/>
  <c r="D2494"/>
  <c r="D2493"/>
  <c r="G2489"/>
  <c r="C2489"/>
  <c r="D2485"/>
  <c r="D2484"/>
  <c r="D2483"/>
  <c r="D2482"/>
  <c r="D2481"/>
  <c r="D2480"/>
  <c r="D2479"/>
  <c r="D2478"/>
  <c r="D2477"/>
  <c r="D2476"/>
  <c r="D2475"/>
  <c r="D2474"/>
  <c r="D2473"/>
  <c r="D2472"/>
  <c r="D2471"/>
  <c r="D2470"/>
  <c r="D2469"/>
  <c r="D2468"/>
  <c r="D2467"/>
  <c r="D2465"/>
  <c r="D2464"/>
  <c r="D2463"/>
  <c r="D2462"/>
  <c r="D2461"/>
  <c r="D2460"/>
  <c r="G2456"/>
  <c r="C2456"/>
  <c r="D2452"/>
  <c r="D2451"/>
  <c r="D2450"/>
  <c r="D2449"/>
  <c r="D2448"/>
  <c r="D2447"/>
  <c r="D2446"/>
  <c r="D2445"/>
  <c r="D2444"/>
  <c r="D2443"/>
  <c r="D2442"/>
  <c r="D2441"/>
  <c r="D2440"/>
  <c r="D2439"/>
  <c r="D2438"/>
  <c r="D2437"/>
  <c r="D2436"/>
  <c r="D2435"/>
  <c r="D2434"/>
  <c r="D2433"/>
  <c r="D2432"/>
  <c r="D2431"/>
  <c r="D2430"/>
  <c r="D2429"/>
  <c r="D2428"/>
  <c r="G2424"/>
  <c r="C2424"/>
  <c r="D2420"/>
  <c r="D2419"/>
  <c r="D2418"/>
  <c r="D2417"/>
  <c r="D2416"/>
  <c r="D2415"/>
  <c r="D2414"/>
  <c r="D2413"/>
  <c r="D2412"/>
  <c r="D2411"/>
  <c r="D2410"/>
  <c r="D2409"/>
  <c r="D2408"/>
  <c r="D2407"/>
  <c r="D2406"/>
  <c r="D2405"/>
  <c r="D2404"/>
  <c r="D2403"/>
  <c r="D2402"/>
  <c r="D2401"/>
  <c r="D2400"/>
  <c r="D2399"/>
  <c r="D2398"/>
  <c r="D2397"/>
  <c r="D2396"/>
  <c r="D2395"/>
  <c r="D2394"/>
  <c r="D2393"/>
  <c r="D2392"/>
  <c r="D2391"/>
  <c r="D2390"/>
  <c r="D2389"/>
  <c r="D2388"/>
  <c r="D2387"/>
  <c r="D2386"/>
  <c r="D2385"/>
  <c r="D2384"/>
  <c r="G2380"/>
  <c r="C2380"/>
  <c r="D2376"/>
  <c r="D2375"/>
  <c r="D2374"/>
  <c r="D2373"/>
  <c r="D2372"/>
  <c r="D2371"/>
  <c r="D2370"/>
  <c r="D2369"/>
  <c r="D2368"/>
  <c r="D2367"/>
  <c r="D2366"/>
  <c r="D2365"/>
  <c r="D2364"/>
  <c r="D2363"/>
  <c r="D2362"/>
  <c r="D2361"/>
  <c r="D2360"/>
  <c r="D2359"/>
  <c r="D2358"/>
  <c r="D2357"/>
  <c r="D2356"/>
  <c r="D2355"/>
  <c r="D2354"/>
  <c r="D2353"/>
  <c r="D2352"/>
  <c r="D2351"/>
  <c r="D2350"/>
  <c r="D2349"/>
  <c r="D2348"/>
  <c r="D2347"/>
  <c r="D2346"/>
  <c r="D2345"/>
  <c r="G2341"/>
  <c r="C2341"/>
  <c r="D2337"/>
  <c r="D2336"/>
  <c r="D2335"/>
  <c r="D2334"/>
  <c r="D2333"/>
  <c r="D2331"/>
  <c r="D2330"/>
  <c r="G2326"/>
  <c r="C2326"/>
  <c r="D2322"/>
  <c r="D2321"/>
  <c r="D2320"/>
  <c r="D2319"/>
  <c r="D2318"/>
  <c r="D2317"/>
  <c r="D2316"/>
  <c r="D2315"/>
  <c r="D2314"/>
  <c r="D2313"/>
  <c r="D2312"/>
  <c r="D2311"/>
  <c r="D2310"/>
  <c r="D2309"/>
  <c r="D2308"/>
  <c r="D2307"/>
  <c r="D2306"/>
  <c r="D2305"/>
  <c r="D2304"/>
  <c r="D2303"/>
  <c r="D2302"/>
  <c r="D2301"/>
  <c r="D2300"/>
  <c r="D2299"/>
  <c r="D2298"/>
  <c r="D2297"/>
  <c r="D2296"/>
  <c r="D2295"/>
  <c r="D2294"/>
  <c r="D2293"/>
  <c r="D2292"/>
  <c r="D2291"/>
  <c r="D2290"/>
  <c r="D2289"/>
  <c r="G2285"/>
  <c r="C2285"/>
  <c r="D2281"/>
  <c r="D2280"/>
  <c r="D2279"/>
  <c r="D2278"/>
  <c r="D2277"/>
  <c r="D2276"/>
  <c r="G2272"/>
  <c r="C2272"/>
  <c r="D2268"/>
  <c r="D2267"/>
  <c r="D2266"/>
  <c r="D2265"/>
  <c r="D2264"/>
  <c r="D2263"/>
  <c r="D2262"/>
  <c r="D2261"/>
  <c r="D2260"/>
  <c r="D2259"/>
  <c r="D2258"/>
  <c r="D2257"/>
  <c r="D2256"/>
  <c r="D2255"/>
  <c r="D2254"/>
  <c r="D2253"/>
  <c r="D2252"/>
  <c r="G2248"/>
  <c r="C2248"/>
  <c r="D2244"/>
  <c r="D2243"/>
  <c r="D2242"/>
  <c r="D2241"/>
  <c r="D2240"/>
  <c r="D2239"/>
  <c r="D2238"/>
  <c r="D2237"/>
  <c r="D2236"/>
  <c r="G2232"/>
  <c r="C2232"/>
  <c r="D2228"/>
  <c r="D2227"/>
  <c r="D2226"/>
  <c r="D2225"/>
  <c r="D2224"/>
  <c r="D2223"/>
  <c r="D2222"/>
  <c r="D2221"/>
  <c r="D2220"/>
  <c r="D2219"/>
  <c r="D2218"/>
  <c r="D2217"/>
  <c r="D2216"/>
  <c r="D2215"/>
  <c r="D2214"/>
  <c r="D2213"/>
  <c r="D2212"/>
  <c r="D2211"/>
  <c r="D2210"/>
  <c r="D2209"/>
  <c r="D2208"/>
  <c r="D2207"/>
  <c r="D2206"/>
  <c r="D2205"/>
  <c r="D2204"/>
  <c r="D2203"/>
  <c r="D2202"/>
  <c r="D2201"/>
  <c r="D2200"/>
  <c r="D2199"/>
  <c r="D2198"/>
  <c r="D2197"/>
  <c r="D2196"/>
  <c r="D2195"/>
  <c r="D2194"/>
  <c r="D2193"/>
  <c r="D2192"/>
  <c r="D2191"/>
  <c r="D2190"/>
  <c r="D2189"/>
  <c r="D2188"/>
  <c r="D2187"/>
  <c r="D2186"/>
  <c r="D2185"/>
  <c r="G2181"/>
  <c r="C2181"/>
  <c r="D2175"/>
  <c r="D2174"/>
  <c r="D2173"/>
  <c r="D2172"/>
  <c r="D2171"/>
  <c r="D2170"/>
  <c r="D2169"/>
  <c r="D2168"/>
  <c r="D2167"/>
  <c r="D2166"/>
  <c r="D2165"/>
  <c r="D2164"/>
  <c r="D2163"/>
  <c r="D2162"/>
  <c r="D2161"/>
  <c r="D2160"/>
  <c r="D2159"/>
  <c r="D2158"/>
  <c r="D2157"/>
  <c r="D2156"/>
  <c r="D2155"/>
  <c r="D2154"/>
  <c r="D2153"/>
  <c r="D2152"/>
  <c r="D2151"/>
  <c r="D2150"/>
  <c r="D2149"/>
  <c r="D2148"/>
  <c r="D2147"/>
  <c r="D2146"/>
  <c r="D2145"/>
  <c r="D2144"/>
  <c r="D2143"/>
  <c r="D2142"/>
  <c r="D2141"/>
  <c r="D2140"/>
  <c r="D2139"/>
  <c r="D2138"/>
  <c r="D2137"/>
  <c r="D2136"/>
  <c r="D2135"/>
  <c r="D2134"/>
  <c r="D2133"/>
  <c r="D2132"/>
  <c r="D2131"/>
  <c r="D2130"/>
  <c r="D2129"/>
  <c r="D2128"/>
  <c r="D2127"/>
  <c r="D2126"/>
  <c r="D2125"/>
  <c r="D2124"/>
  <c r="D2123"/>
  <c r="D2122"/>
  <c r="D2121"/>
  <c r="D2120"/>
  <c r="D2119"/>
  <c r="D2118"/>
  <c r="D2117"/>
  <c r="D2116"/>
  <c r="D2115"/>
  <c r="D2114"/>
  <c r="D2113"/>
  <c r="D2112"/>
  <c r="D2111"/>
  <c r="D2110"/>
  <c r="D2109"/>
  <c r="D2108"/>
  <c r="D2107"/>
  <c r="D2106"/>
  <c r="G2102"/>
  <c r="C2102"/>
  <c r="D2098"/>
  <c r="D2097"/>
  <c r="D2096"/>
  <c r="D2095"/>
  <c r="D2094"/>
  <c r="D2093"/>
  <c r="G2089"/>
  <c r="C2089"/>
  <c r="D2085"/>
  <c r="D2084"/>
  <c r="D2083"/>
  <c r="D2082"/>
  <c r="D2081"/>
  <c r="D2080"/>
  <c r="D2079"/>
  <c r="D2078"/>
  <c r="D2077"/>
  <c r="D2076"/>
  <c r="D2075"/>
  <c r="G2071"/>
  <c r="C2071"/>
  <c r="D2067"/>
  <c r="D2066"/>
  <c r="D2065"/>
  <c r="D2064"/>
  <c r="D2063"/>
  <c r="D2062"/>
  <c r="D2061"/>
  <c r="D2060"/>
  <c r="D2059"/>
  <c r="D2058"/>
  <c r="D2057"/>
  <c r="D2056"/>
  <c r="G2052"/>
  <c r="C2052"/>
  <c r="D2048"/>
  <c r="D2047"/>
  <c r="D2046"/>
  <c r="D2045"/>
  <c r="D2044"/>
  <c r="D2043"/>
  <c r="D2042"/>
  <c r="D2041"/>
  <c r="D2040"/>
  <c r="G2036"/>
  <c r="C2036"/>
  <c r="D2032"/>
  <c r="D2031"/>
  <c r="D2030"/>
  <c r="D2029"/>
  <c r="D2028"/>
  <c r="D2027"/>
  <c r="G2023"/>
  <c r="C2023"/>
  <c r="D2019"/>
  <c r="D2018"/>
  <c r="D2017"/>
  <c r="D2016"/>
  <c r="D2015"/>
  <c r="D2014"/>
  <c r="D2013"/>
  <c r="D2012"/>
  <c r="D2011"/>
  <c r="G2007"/>
  <c r="C2007"/>
  <c r="D2003"/>
  <c r="D2002"/>
  <c r="D2001"/>
  <c r="D2000"/>
  <c r="D1999"/>
  <c r="D1998"/>
  <c r="D1997"/>
  <c r="D1996"/>
  <c r="D1995"/>
  <c r="G1991"/>
  <c r="C1991"/>
  <c r="D1987"/>
  <c r="D1986"/>
  <c r="D1985"/>
  <c r="D1984"/>
  <c r="D1983"/>
  <c r="D1982"/>
  <c r="D1981"/>
  <c r="D1980"/>
  <c r="D1979"/>
  <c r="D1978"/>
  <c r="G1974"/>
  <c r="C1974"/>
  <c r="D1970"/>
  <c r="D1969"/>
  <c r="D1968"/>
  <c r="D1967"/>
  <c r="D1966"/>
  <c r="D1965"/>
  <c r="D1964"/>
  <c r="D1963"/>
  <c r="D1962"/>
  <c r="D1961"/>
  <c r="D1960"/>
  <c r="D1959"/>
  <c r="G1955"/>
  <c r="C1955"/>
  <c r="D1951"/>
  <c r="D1950"/>
  <c r="D1949"/>
  <c r="D1948"/>
  <c r="D1947"/>
  <c r="D1946"/>
  <c r="D1945"/>
  <c r="D1944"/>
  <c r="D1943"/>
  <c r="D1942"/>
  <c r="D1941"/>
  <c r="D1940"/>
  <c r="D1939"/>
  <c r="D1938"/>
  <c r="D1937"/>
  <c r="D1936"/>
  <c r="D1935"/>
  <c r="D1934"/>
  <c r="D1933"/>
  <c r="D1932"/>
  <c r="D1931"/>
  <c r="D1930"/>
  <c r="D1929"/>
  <c r="D1928"/>
  <c r="D1927"/>
  <c r="D1926"/>
  <c r="D1925"/>
  <c r="D1924"/>
  <c r="D1923"/>
  <c r="D1922"/>
  <c r="D1921"/>
  <c r="D1920"/>
  <c r="D1919"/>
  <c r="D1918"/>
  <c r="D1917"/>
  <c r="D1916"/>
  <c r="D1915"/>
  <c r="D1914"/>
  <c r="D1913"/>
  <c r="D1912"/>
  <c r="D1911"/>
  <c r="D1910"/>
  <c r="D1909"/>
  <c r="D1908"/>
  <c r="D1907"/>
  <c r="D1906"/>
  <c r="D1905"/>
  <c r="D1904"/>
  <c r="D1903"/>
  <c r="D1902"/>
  <c r="D1901"/>
  <c r="D1900"/>
  <c r="D1899"/>
  <c r="D1898"/>
  <c r="D1897"/>
  <c r="D1896"/>
  <c r="D1895"/>
  <c r="G1891"/>
  <c r="C1891"/>
  <c r="D1888"/>
  <c r="D1887"/>
  <c r="D1886"/>
  <c r="D1885"/>
  <c r="D1884"/>
  <c r="D1883"/>
  <c r="D1882"/>
  <c r="D1881"/>
  <c r="D1880"/>
  <c r="D1879"/>
  <c r="D1878"/>
  <c r="D1877"/>
  <c r="D1876"/>
  <c r="D1875"/>
  <c r="D1874"/>
  <c r="G1870"/>
  <c r="C1870"/>
  <c r="D1855"/>
  <c r="D1854"/>
  <c r="D1853"/>
  <c r="D1852"/>
  <c r="D1851"/>
  <c r="D1850"/>
  <c r="D1849"/>
  <c r="D1847"/>
  <c r="D1846"/>
  <c r="D1845"/>
  <c r="D1844"/>
  <c r="D1843"/>
  <c r="G1839"/>
  <c r="C1839"/>
  <c r="D1835"/>
  <c r="D1834"/>
  <c r="D1833"/>
  <c r="D1832"/>
  <c r="D1831"/>
  <c r="D1830"/>
  <c r="D1829"/>
  <c r="G1825"/>
  <c r="C1825"/>
  <c r="D1821"/>
  <c r="D1820"/>
  <c r="D1819"/>
  <c r="D1818"/>
  <c r="D1817"/>
  <c r="G1813"/>
  <c r="C1813"/>
  <c r="D1809"/>
  <c r="D1808"/>
  <c r="D1807"/>
  <c r="D1806"/>
  <c r="D1805"/>
  <c r="D1804"/>
  <c r="D1803"/>
  <c r="D1802"/>
  <c r="G1798"/>
  <c r="C1798"/>
  <c r="D1791"/>
  <c r="D1790"/>
  <c r="D1789"/>
  <c r="D1788"/>
  <c r="D1787"/>
  <c r="D1786"/>
  <c r="D1785"/>
  <c r="D1784"/>
  <c r="D1783"/>
  <c r="D1782"/>
  <c r="G1778"/>
  <c r="C1778"/>
  <c r="D1774"/>
  <c r="D1773"/>
  <c r="D1772"/>
  <c r="D1771"/>
  <c r="D1770"/>
  <c r="D1769"/>
  <c r="D1768"/>
  <c r="G1764"/>
  <c r="C1764"/>
  <c r="D1760"/>
  <c r="D1759"/>
  <c r="G1754"/>
  <c r="C1754"/>
  <c r="D1750"/>
  <c r="D1749"/>
  <c r="D1748"/>
  <c r="D1747"/>
  <c r="G1743"/>
  <c r="C1743"/>
  <c r="D1739"/>
  <c r="D1738"/>
  <c r="D1737"/>
  <c r="D1736"/>
  <c r="D1735"/>
  <c r="D1734"/>
  <c r="D1733"/>
  <c r="D1732"/>
  <c r="D1731"/>
  <c r="D1730"/>
  <c r="D1729"/>
  <c r="D1728"/>
  <c r="D1727"/>
  <c r="D1726"/>
  <c r="D1725"/>
  <c r="D1724"/>
  <c r="D1723"/>
  <c r="G1719"/>
  <c r="C1719"/>
  <c r="D1715"/>
  <c r="D1712"/>
  <c r="D1710"/>
  <c r="D1709"/>
  <c r="D1708"/>
  <c r="D1707"/>
  <c r="D1706"/>
  <c r="D1705"/>
  <c r="D1704"/>
  <c r="D1703"/>
  <c r="D1702"/>
  <c r="D1701"/>
  <c r="D1700"/>
  <c r="D1699"/>
  <c r="G1695"/>
  <c r="C1695"/>
  <c r="D1691"/>
  <c r="D1690"/>
  <c r="D1689"/>
  <c r="D1688"/>
  <c r="D1687"/>
  <c r="G1683"/>
  <c r="C1683"/>
  <c r="D1679"/>
  <c r="D1678"/>
  <c r="D1677"/>
  <c r="D1676"/>
  <c r="D1675"/>
  <c r="D1674"/>
  <c r="D1673"/>
  <c r="D1672"/>
  <c r="D1671"/>
  <c r="D1670"/>
  <c r="D1669"/>
  <c r="G1665"/>
  <c r="C1665"/>
  <c r="D1661"/>
  <c r="D1660"/>
  <c r="D1659"/>
  <c r="D1658"/>
  <c r="D1657"/>
  <c r="D1656"/>
  <c r="D1655"/>
  <c r="D1654"/>
  <c r="D1653"/>
  <c r="D1652"/>
  <c r="D1651"/>
  <c r="D1650"/>
  <c r="D1649"/>
  <c r="D1648"/>
  <c r="G1644"/>
  <c r="C1644"/>
  <c r="D1640"/>
  <c r="D1639"/>
  <c r="D1638"/>
  <c r="D1637"/>
  <c r="D1636"/>
  <c r="G1632"/>
  <c r="C1632"/>
  <c r="D1628"/>
  <c r="D1627"/>
  <c r="D1626"/>
  <c r="D1625"/>
  <c r="D1624"/>
  <c r="D1623"/>
  <c r="D1622"/>
  <c r="D1621"/>
  <c r="D1620"/>
  <c r="D1619"/>
  <c r="D1618"/>
  <c r="D1617"/>
  <c r="D1616"/>
  <c r="D1615"/>
  <c r="D1614"/>
  <c r="D1613"/>
  <c r="D1612"/>
  <c r="D1611"/>
  <c r="D1610"/>
  <c r="D1609"/>
  <c r="G1605"/>
  <c r="C1605"/>
  <c r="D1601"/>
  <c r="D1600"/>
  <c r="D1599"/>
  <c r="D1598"/>
  <c r="G1594"/>
  <c r="C1594"/>
  <c r="D1590"/>
  <c r="D1589"/>
  <c r="D1588"/>
  <c r="D1587"/>
  <c r="D1586"/>
  <c r="D1585"/>
  <c r="D1584"/>
  <c r="D1583"/>
  <c r="D1582"/>
  <c r="D1581"/>
  <c r="D1580"/>
  <c r="D1579"/>
  <c r="G1575"/>
  <c r="C1575"/>
  <c r="D1571"/>
  <c r="D1570"/>
  <c r="D1569"/>
  <c r="D1568"/>
  <c r="D1567"/>
  <c r="D1566"/>
  <c r="D1565"/>
  <c r="D1564"/>
  <c r="D1563"/>
  <c r="G1559"/>
  <c r="C1559"/>
  <c r="D1555"/>
  <c r="D1554"/>
  <c r="D1553"/>
  <c r="D1552"/>
  <c r="D1551"/>
  <c r="D1550"/>
  <c r="D1549"/>
  <c r="D1548"/>
  <c r="D1547"/>
  <c r="D1545"/>
  <c r="G1541"/>
  <c r="C1541"/>
  <c r="D1537"/>
  <c r="D1536"/>
  <c r="D1535"/>
  <c r="D1534"/>
  <c r="D1533"/>
  <c r="D1532"/>
  <c r="D1531"/>
  <c r="D1530"/>
  <c r="D1529"/>
  <c r="D1528"/>
  <c r="D1527"/>
  <c r="D1526"/>
  <c r="G1522"/>
  <c r="C1522"/>
  <c r="D1518"/>
  <c r="D1517"/>
  <c r="D1516"/>
  <c r="D1515"/>
  <c r="G1511"/>
  <c r="C1511"/>
  <c r="D1507"/>
  <c r="D1506"/>
  <c r="D1505"/>
  <c r="D1504"/>
  <c r="D1503"/>
  <c r="G1499"/>
  <c r="C1499"/>
  <c r="D1495"/>
  <c r="D1494"/>
  <c r="D1493"/>
  <c r="D1492"/>
  <c r="D1491"/>
  <c r="D1490"/>
  <c r="G1486"/>
  <c r="C1486"/>
  <c r="D1482"/>
  <c r="D1481"/>
  <c r="D1480"/>
  <c r="D1479"/>
  <c r="G1475"/>
  <c r="C1475"/>
  <c r="D1471"/>
  <c r="D1470"/>
  <c r="D1469"/>
  <c r="D1468"/>
  <c r="D1467"/>
  <c r="D1466"/>
  <c r="D1465"/>
  <c r="D1464"/>
  <c r="D1463"/>
  <c r="D1462"/>
  <c r="D1461"/>
  <c r="D1460"/>
  <c r="D1459"/>
  <c r="D1458"/>
  <c r="G1454"/>
  <c r="C1454"/>
  <c r="D1450"/>
  <c r="D1449"/>
  <c r="D1448"/>
  <c r="D1447"/>
  <c r="G1443"/>
  <c r="C1443"/>
  <c r="D1439"/>
  <c r="D1438"/>
  <c r="D1437"/>
  <c r="D1436"/>
  <c r="D1435"/>
  <c r="D1434"/>
  <c r="D1433"/>
  <c r="D1432"/>
  <c r="D1431"/>
  <c r="D1430"/>
  <c r="D1429"/>
  <c r="D1428"/>
  <c r="D1427"/>
  <c r="G1421"/>
  <c r="C1421"/>
  <c r="D1417"/>
  <c r="D1416"/>
  <c r="D1415"/>
  <c r="D1414"/>
  <c r="D1413"/>
  <c r="D1412"/>
  <c r="D1411"/>
  <c r="D1410"/>
  <c r="D1409"/>
  <c r="D1408"/>
  <c r="D1407"/>
  <c r="D1406"/>
  <c r="D1405"/>
  <c r="D1404"/>
  <c r="D1403"/>
  <c r="D1402"/>
  <c r="G1398"/>
  <c r="C1398"/>
  <c r="D1394"/>
  <c r="D1393"/>
  <c r="D1392"/>
  <c r="D1391"/>
  <c r="D1390"/>
  <c r="D1389"/>
  <c r="D1388"/>
  <c r="G1384"/>
  <c r="C1384"/>
  <c r="D1381"/>
  <c r="D1380"/>
  <c r="D1379"/>
  <c r="D1378"/>
  <c r="D1377"/>
  <c r="D1376"/>
  <c r="D1375"/>
  <c r="D1374"/>
  <c r="D1373"/>
  <c r="D1372"/>
  <c r="G1368"/>
  <c r="C1368"/>
  <c r="D1365"/>
  <c r="D1364"/>
  <c r="D1363"/>
  <c r="D1362"/>
  <c r="D1361"/>
  <c r="D1360"/>
  <c r="D1359"/>
  <c r="D1358"/>
  <c r="D1357"/>
  <c r="D1356"/>
  <c r="D1355"/>
  <c r="D1354"/>
  <c r="D1353"/>
  <c r="G1349"/>
  <c r="C1349"/>
  <c r="D1345"/>
  <c r="D1344"/>
  <c r="D1343"/>
  <c r="D1342"/>
  <c r="D1341"/>
  <c r="D1340"/>
  <c r="D1339"/>
  <c r="D1338"/>
  <c r="D1337"/>
  <c r="D1336"/>
  <c r="D1335"/>
  <c r="D1334"/>
  <c r="D1333"/>
  <c r="D1332"/>
  <c r="D1331"/>
  <c r="D1330"/>
  <c r="D1329"/>
  <c r="D1328"/>
  <c r="D1327"/>
  <c r="D1326"/>
  <c r="D1325"/>
  <c r="D1324"/>
  <c r="D1323"/>
  <c r="D1322"/>
  <c r="G1318"/>
  <c r="C1318"/>
  <c r="D1314"/>
  <c r="D1313"/>
  <c r="D1312"/>
  <c r="D1311"/>
  <c r="D1310"/>
  <c r="D1309"/>
  <c r="D1308"/>
  <c r="D1307"/>
  <c r="D1306"/>
  <c r="D1305"/>
  <c r="D1304"/>
  <c r="D1303"/>
  <c r="D1302"/>
  <c r="D1301"/>
  <c r="D1300"/>
  <c r="D1299"/>
  <c r="D1298"/>
  <c r="D1297"/>
  <c r="D1296"/>
  <c r="G1292"/>
  <c r="C1292"/>
  <c r="D1288"/>
  <c r="D1287"/>
  <c r="D1286"/>
  <c r="D1285"/>
  <c r="D1284"/>
  <c r="D1283"/>
  <c r="D1282"/>
  <c r="D1281"/>
  <c r="D1280"/>
  <c r="D1279"/>
  <c r="D1278"/>
  <c r="D1277"/>
  <c r="D1276"/>
  <c r="D1275"/>
  <c r="D1274"/>
  <c r="D1273"/>
  <c r="D1272"/>
  <c r="D1271"/>
  <c r="D1270"/>
  <c r="G1266"/>
  <c r="C1266"/>
  <c r="D1262"/>
  <c r="D1261"/>
  <c r="D1260"/>
  <c r="D1259"/>
  <c r="D1258"/>
  <c r="D1257"/>
  <c r="G1253"/>
  <c r="C1253"/>
  <c r="D1249"/>
  <c r="D1248"/>
  <c r="D1247"/>
  <c r="D1246"/>
  <c r="D1245"/>
  <c r="D1244"/>
  <c r="D1243"/>
  <c r="D1242"/>
  <c r="D1241"/>
  <c r="D1240"/>
  <c r="G1236"/>
  <c r="C1236"/>
  <c r="D1232"/>
  <c r="D1231"/>
  <c r="D1230"/>
  <c r="D1229"/>
  <c r="D1228"/>
  <c r="D1227"/>
  <c r="D1226"/>
  <c r="G1222"/>
  <c r="C1222"/>
  <c r="D1218"/>
  <c r="D1217"/>
  <c r="D1216"/>
  <c r="D1215"/>
  <c r="D1214"/>
  <c r="D1213"/>
  <c r="D1212"/>
  <c r="D1211"/>
  <c r="D1210"/>
  <c r="D1209"/>
  <c r="D1208"/>
  <c r="D1207"/>
  <c r="D1206"/>
  <c r="D1205"/>
  <c r="D1204"/>
  <c r="G1200"/>
  <c r="C1200"/>
  <c r="D1196"/>
  <c r="D1195"/>
  <c r="D1194"/>
  <c r="D1193"/>
  <c r="D1192"/>
  <c r="D1191"/>
  <c r="D1190"/>
  <c r="D1189"/>
  <c r="D1188"/>
  <c r="D1187"/>
  <c r="D1186"/>
  <c r="D1185"/>
  <c r="G1181"/>
  <c r="C1181"/>
  <c r="D1177"/>
  <c r="D1176"/>
  <c r="D1175"/>
  <c r="D1174"/>
  <c r="D1173"/>
  <c r="D1172"/>
  <c r="D1171"/>
  <c r="D1170"/>
  <c r="D1169"/>
  <c r="D1168"/>
  <c r="D1167"/>
  <c r="D1166"/>
  <c r="D1165"/>
  <c r="D1164"/>
  <c r="D1163"/>
  <c r="D1162"/>
  <c r="D1161"/>
  <c r="D1160"/>
  <c r="D1159"/>
  <c r="D1158"/>
  <c r="G1154"/>
  <c r="C1154"/>
  <c r="D1150"/>
  <c r="D1149"/>
  <c r="D1148"/>
  <c r="D1147"/>
  <c r="D1146"/>
  <c r="D1145"/>
  <c r="D1144"/>
  <c r="D1143"/>
  <c r="D1142"/>
  <c r="D1141"/>
  <c r="D1140"/>
  <c r="D1139"/>
  <c r="D1138"/>
  <c r="D1137"/>
  <c r="D1136"/>
  <c r="D1135"/>
  <c r="D1134"/>
  <c r="D1133"/>
  <c r="D1132"/>
  <c r="G1128"/>
  <c r="C1128"/>
  <c r="D1124"/>
  <c r="D1123"/>
  <c r="D1122"/>
  <c r="D1121"/>
  <c r="D1120"/>
  <c r="D1119"/>
  <c r="D1118"/>
  <c r="D1117"/>
  <c r="D1116"/>
  <c r="D1115"/>
  <c r="D1114"/>
  <c r="D1113"/>
  <c r="D1112"/>
  <c r="D1111"/>
  <c r="D1110"/>
  <c r="D1109"/>
  <c r="D1108"/>
  <c r="D1107"/>
  <c r="D1106"/>
  <c r="D1105"/>
  <c r="D1104"/>
  <c r="D1103"/>
  <c r="D1102"/>
  <c r="D1101"/>
  <c r="D1100"/>
  <c r="D1099"/>
  <c r="D1098"/>
  <c r="D1097"/>
  <c r="D1096"/>
  <c r="D1095"/>
  <c r="G1091"/>
  <c r="C1091"/>
  <c r="D1087"/>
  <c r="D1086"/>
  <c r="D1085"/>
  <c r="D1084"/>
  <c r="D1083"/>
  <c r="D1082"/>
  <c r="D1081"/>
  <c r="D1080"/>
  <c r="D1079"/>
  <c r="D1078"/>
  <c r="D1077"/>
  <c r="D1076"/>
  <c r="D1075"/>
  <c r="D1074"/>
  <c r="D1073"/>
  <c r="D1072"/>
  <c r="D1071"/>
  <c r="D1070"/>
  <c r="D1069"/>
  <c r="D1068"/>
  <c r="D1067"/>
  <c r="D1066"/>
  <c r="D1065"/>
  <c r="D1064"/>
  <c r="D1063"/>
  <c r="D1062"/>
  <c r="D1061"/>
  <c r="D1060"/>
  <c r="D1059"/>
  <c r="D1058"/>
  <c r="D1057"/>
  <c r="D1056"/>
  <c r="D1055"/>
  <c r="D1054"/>
  <c r="G1050"/>
  <c r="C1050"/>
  <c r="D1046"/>
  <c r="D1045"/>
  <c r="D1044"/>
  <c r="D1043"/>
  <c r="D1042"/>
  <c r="D1041"/>
  <c r="D1040"/>
  <c r="D1039"/>
  <c r="D1038"/>
  <c r="G1034"/>
  <c r="C1034"/>
  <c r="D1030"/>
  <c r="D1029"/>
  <c r="D1028"/>
  <c r="D1027"/>
  <c r="D1026"/>
  <c r="D1025"/>
  <c r="D1024"/>
  <c r="D1023"/>
  <c r="D1022"/>
  <c r="D1021"/>
  <c r="D1020"/>
  <c r="G1016"/>
  <c r="C1016"/>
  <c r="D1012"/>
  <c r="D1011"/>
  <c r="D1010"/>
  <c r="D1009"/>
  <c r="D1008"/>
  <c r="D1007"/>
  <c r="G1003"/>
  <c r="C1003"/>
  <c r="D999"/>
  <c r="D998"/>
  <c r="D997"/>
  <c r="D996"/>
  <c r="D995"/>
  <c r="D994"/>
  <c r="D993"/>
  <c r="D992"/>
  <c r="D991"/>
  <c r="D990"/>
  <c r="D989"/>
  <c r="D988"/>
  <c r="D987"/>
  <c r="D986"/>
  <c r="D985"/>
  <c r="D984"/>
  <c r="D983"/>
  <c r="D982"/>
  <c r="D981"/>
  <c r="D980"/>
  <c r="D979"/>
  <c r="D978"/>
  <c r="G974"/>
  <c r="C974"/>
  <c r="D970"/>
  <c r="D969"/>
  <c r="D968"/>
  <c r="D967"/>
  <c r="D966"/>
  <c r="D965"/>
  <c r="D964"/>
  <c r="D963"/>
  <c r="D962"/>
  <c r="D961"/>
  <c r="G957"/>
  <c r="C957"/>
  <c r="D953"/>
  <c r="D952"/>
  <c r="D951"/>
  <c r="D950"/>
  <c r="D949"/>
  <c r="G945"/>
  <c r="C945"/>
  <c r="D941"/>
  <c r="D940"/>
  <c r="D939"/>
  <c r="D938"/>
  <c r="D937"/>
  <c r="D936"/>
  <c r="D935"/>
  <c r="D934"/>
  <c r="G930"/>
  <c r="C930"/>
  <c r="D926"/>
  <c r="D925"/>
  <c r="D924"/>
  <c r="D923"/>
  <c r="D922"/>
  <c r="D921"/>
  <c r="D920"/>
  <c r="D919"/>
  <c r="D918"/>
  <c r="D917"/>
  <c r="G913"/>
  <c r="C913"/>
  <c r="D909"/>
  <c r="D908"/>
  <c r="D907"/>
  <c r="D906"/>
  <c r="D905"/>
  <c r="D904"/>
  <c r="D903"/>
  <c r="D902"/>
  <c r="D901"/>
  <c r="D900"/>
  <c r="D899"/>
  <c r="D898"/>
  <c r="D897"/>
  <c r="D896"/>
  <c r="D895"/>
  <c r="D894"/>
  <c r="D893"/>
  <c r="D892"/>
  <c r="D891"/>
  <c r="D890"/>
  <c r="D889"/>
  <c r="D888"/>
  <c r="D887"/>
  <c r="D886"/>
  <c r="D885"/>
  <c r="D884"/>
  <c r="D883"/>
  <c r="D882"/>
  <c r="D881"/>
  <c r="D880"/>
  <c r="D879"/>
  <c r="D878"/>
  <c r="D877"/>
  <c r="D876"/>
  <c r="G872"/>
  <c r="C872"/>
  <c r="D868"/>
  <c r="D867"/>
  <c r="D866"/>
  <c r="D865"/>
  <c r="D864"/>
  <c r="D863"/>
  <c r="D862"/>
  <c r="D861"/>
  <c r="G857"/>
  <c r="C857"/>
  <c r="D852"/>
  <c r="D851"/>
  <c r="D850"/>
  <c r="D849"/>
  <c r="D848"/>
  <c r="D847"/>
  <c r="D846"/>
  <c r="G842"/>
  <c r="C842"/>
  <c r="D837"/>
  <c r="D836"/>
  <c r="D835"/>
  <c r="D834"/>
  <c r="D833"/>
  <c r="D832"/>
  <c r="G828"/>
  <c r="C828"/>
  <c r="D824"/>
  <c r="D823"/>
  <c r="D822"/>
  <c r="D821"/>
  <c r="D820"/>
  <c r="D819"/>
  <c r="D818"/>
  <c r="G814"/>
  <c r="C814"/>
  <c r="D810"/>
  <c r="D809"/>
  <c r="D808"/>
  <c r="D807"/>
  <c r="D806"/>
  <c r="D805"/>
  <c r="D804"/>
  <c r="D803"/>
  <c r="D802"/>
  <c r="D801"/>
  <c r="D800"/>
  <c r="D799"/>
  <c r="D798"/>
  <c r="G794"/>
  <c r="C794"/>
  <c r="D790"/>
  <c r="D789"/>
  <c r="D788"/>
  <c r="D787"/>
  <c r="D786"/>
  <c r="D785"/>
  <c r="D784"/>
  <c r="D783"/>
  <c r="D782"/>
  <c r="G778"/>
  <c r="C778"/>
  <c r="D774"/>
  <c r="D773"/>
  <c r="D772"/>
  <c r="D771"/>
  <c r="D770"/>
  <c r="D769"/>
  <c r="D768"/>
  <c r="D767"/>
  <c r="D766"/>
  <c r="D765"/>
  <c r="D764"/>
  <c r="D763"/>
  <c r="D762"/>
  <c r="D761"/>
  <c r="G757"/>
  <c r="C757"/>
  <c r="D753"/>
  <c r="D752"/>
  <c r="D751"/>
  <c r="D750"/>
  <c r="D749"/>
  <c r="D748"/>
  <c r="D747"/>
  <c r="D746"/>
  <c r="D745"/>
  <c r="D744"/>
  <c r="D743"/>
  <c r="D742"/>
  <c r="C738"/>
  <c r="D734"/>
  <c r="D733"/>
  <c r="D732"/>
  <c r="D731"/>
  <c r="D730"/>
  <c r="D729"/>
  <c r="D728"/>
  <c r="D727"/>
  <c r="G723"/>
  <c r="C723"/>
  <c r="D718"/>
  <c r="D717"/>
  <c r="D716"/>
  <c r="D715"/>
  <c r="D714"/>
  <c r="D713"/>
  <c r="D712"/>
  <c r="D711"/>
  <c r="D710"/>
  <c r="D709"/>
  <c r="D708"/>
  <c r="D707"/>
  <c r="D706"/>
  <c r="D705"/>
  <c r="D704"/>
  <c r="D703"/>
  <c r="D702"/>
  <c r="D701"/>
  <c r="D700"/>
  <c r="D699"/>
  <c r="D698"/>
  <c r="D697"/>
  <c r="D696"/>
  <c r="D695"/>
  <c r="D694"/>
  <c r="D693"/>
  <c r="D692"/>
  <c r="D691"/>
  <c r="D690"/>
  <c r="D689"/>
  <c r="D688"/>
  <c r="D687"/>
  <c r="D686"/>
  <c r="D685"/>
  <c r="D684"/>
  <c r="D683"/>
  <c r="D682"/>
  <c r="D681"/>
  <c r="G677"/>
  <c r="C677"/>
  <c r="D673"/>
  <c r="D672"/>
  <c r="D671"/>
  <c r="D670"/>
  <c r="D669"/>
  <c r="D668"/>
  <c r="D667"/>
  <c r="D666"/>
  <c r="D665"/>
  <c r="D664"/>
  <c r="D663"/>
  <c r="G659"/>
  <c r="C659"/>
  <c r="D655"/>
  <c r="D654"/>
  <c r="D653"/>
  <c r="D652"/>
  <c r="D651"/>
  <c r="D650"/>
  <c r="D649"/>
  <c r="G645"/>
  <c r="C645"/>
  <c r="D641"/>
  <c r="D640"/>
  <c r="D639"/>
  <c r="D638"/>
  <c r="D637"/>
  <c r="D636"/>
  <c r="D635"/>
  <c r="D634"/>
  <c r="D633"/>
  <c r="D632"/>
  <c r="D631"/>
  <c r="D630"/>
  <c r="D629"/>
  <c r="D628"/>
  <c r="G624"/>
  <c r="C624"/>
  <c r="D620"/>
  <c r="D619"/>
  <c r="D618"/>
  <c r="D617"/>
  <c r="D616"/>
  <c r="D615"/>
  <c r="D614"/>
  <c r="D613"/>
  <c r="D612"/>
  <c r="D611"/>
  <c r="C607"/>
  <c r="D603"/>
  <c r="D602"/>
  <c r="D601"/>
  <c r="D600"/>
  <c r="D599"/>
  <c r="D598"/>
  <c r="D597"/>
  <c r="D596"/>
  <c r="D595"/>
  <c r="D594"/>
  <c r="D593"/>
  <c r="G589"/>
  <c r="C589"/>
  <c r="D585"/>
  <c r="D584"/>
  <c r="D583"/>
  <c r="D582"/>
  <c r="D581"/>
  <c r="D580"/>
  <c r="D579"/>
  <c r="D578"/>
  <c r="D577"/>
  <c r="D576"/>
  <c r="G572"/>
  <c r="C572"/>
  <c r="D568"/>
  <c r="D567"/>
  <c r="D566"/>
  <c r="D565"/>
  <c r="D564"/>
  <c r="D563"/>
  <c r="D562"/>
  <c r="D561"/>
  <c r="D560"/>
  <c r="D559"/>
  <c r="D558"/>
  <c r="G554"/>
  <c r="C554"/>
  <c r="D550"/>
  <c r="D549"/>
  <c r="D548"/>
  <c r="D547"/>
  <c r="D546"/>
  <c r="D545"/>
  <c r="D544"/>
  <c r="D543"/>
  <c r="D542"/>
  <c r="D541"/>
  <c r="D540"/>
  <c r="G536"/>
  <c r="C536"/>
  <c r="D532"/>
  <c r="D531"/>
  <c r="D530"/>
  <c r="D529"/>
  <c r="D528"/>
  <c r="D527"/>
  <c r="D526"/>
  <c r="G522"/>
  <c r="C522"/>
  <c r="D518"/>
  <c r="D517"/>
  <c r="D516"/>
  <c r="D515"/>
  <c r="D514"/>
  <c r="D513"/>
  <c r="D512"/>
  <c r="D511"/>
  <c r="D510"/>
  <c r="D509"/>
  <c r="D508"/>
  <c r="D507"/>
  <c r="D506"/>
  <c r="D505"/>
  <c r="D504"/>
  <c r="D503"/>
  <c r="D502"/>
  <c r="G498"/>
  <c r="C498"/>
  <c r="D494"/>
  <c r="D493"/>
  <c r="D492"/>
  <c r="D491"/>
  <c r="D490"/>
  <c r="D489"/>
  <c r="D488"/>
  <c r="D487"/>
  <c r="D486"/>
  <c r="D485"/>
  <c r="G481"/>
  <c r="C481"/>
  <c r="D478"/>
  <c r="D476"/>
  <c r="D475"/>
  <c r="D474"/>
  <c r="D473"/>
  <c r="D472"/>
  <c r="D471"/>
  <c r="D470"/>
  <c r="D469"/>
  <c r="D468"/>
  <c r="D467"/>
  <c r="G463"/>
  <c r="C463"/>
  <c r="D459"/>
  <c r="D458"/>
  <c r="D457"/>
  <c r="D456"/>
  <c r="D455"/>
  <c r="D454"/>
  <c r="D453"/>
  <c r="D452"/>
  <c r="D451"/>
  <c r="G447"/>
  <c r="C447"/>
  <c r="D443"/>
  <c r="D442"/>
  <c r="D441"/>
  <c r="D440"/>
  <c r="D439"/>
  <c r="D438"/>
  <c r="D437"/>
  <c r="D436"/>
  <c r="D435"/>
  <c r="D434"/>
  <c r="D433"/>
  <c r="D432"/>
  <c r="D431"/>
  <c r="D430"/>
  <c r="D429"/>
  <c r="D428"/>
  <c r="G424"/>
  <c r="C424"/>
  <c r="D420"/>
  <c r="D419"/>
  <c r="D418"/>
  <c r="D417"/>
  <c r="D416"/>
  <c r="D415"/>
  <c r="D414"/>
  <c r="D413"/>
  <c r="D412"/>
  <c r="D411"/>
  <c r="D410"/>
  <c r="D409"/>
  <c r="D408"/>
  <c r="D407"/>
  <c r="D406"/>
  <c r="D405"/>
  <c r="G401"/>
  <c r="C401"/>
  <c r="D397"/>
  <c r="D396"/>
  <c r="D395"/>
  <c r="D394"/>
  <c r="D393"/>
  <c r="D392"/>
  <c r="G388"/>
  <c r="C388"/>
  <c r="D384"/>
  <c r="D383"/>
  <c r="D382"/>
  <c r="D381"/>
  <c r="D380"/>
  <c r="D379"/>
  <c r="D378"/>
  <c r="D377"/>
  <c r="G373"/>
  <c r="C373"/>
  <c r="D369"/>
  <c r="D368"/>
  <c r="D367"/>
  <c r="D366"/>
  <c r="D365"/>
  <c r="G361"/>
  <c r="C361"/>
  <c r="D357"/>
  <c r="D356"/>
  <c r="D355"/>
  <c r="D354"/>
  <c r="G350"/>
  <c r="C350"/>
  <c r="D346"/>
  <c r="D345"/>
  <c r="D344"/>
  <c r="D343"/>
  <c r="D342"/>
  <c r="D341"/>
  <c r="G337"/>
  <c r="C337"/>
  <c r="D333"/>
  <c r="D332"/>
  <c r="D331"/>
  <c r="D330"/>
  <c r="D329"/>
  <c r="D328"/>
  <c r="G324"/>
  <c r="C324"/>
  <c r="D320"/>
  <c r="D319"/>
  <c r="D318"/>
  <c r="D317"/>
  <c r="D316"/>
  <c r="D315"/>
  <c r="D314"/>
  <c r="G310"/>
  <c r="C310"/>
  <c r="D306"/>
  <c r="D305"/>
  <c r="D304"/>
  <c r="D303"/>
  <c r="D302"/>
  <c r="D301"/>
  <c r="G297"/>
  <c r="C297"/>
  <c r="D293"/>
  <c r="D292"/>
  <c r="D291"/>
  <c r="D290"/>
  <c r="D289"/>
  <c r="G285"/>
  <c r="C285"/>
  <c r="D281"/>
  <c r="D280"/>
  <c r="D279"/>
  <c r="D278"/>
  <c r="G274"/>
  <c r="C274"/>
  <c r="D270"/>
  <c r="D269"/>
  <c r="D268"/>
  <c r="D267"/>
  <c r="D266"/>
  <c r="D265"/>
  <c r="D264"/>
  <c r="D263"/>
  <c r="G259"/>
  <c r="C259"/>
  <c r="D255"/>
  <c r="D254"/>
  <c r="D253"/>
  <c r="D252"/>
  <c r="D251"/>
  <c r="D250"/>
  <c r="D249"/>
  <c r="D248"/>
  <c r="D247"/>
  <c r="D246"/>
  <c r="D245"/>
  <c r="G241"/>
  <c r="C241"/>
  <c r="D237"/>
  <c r="D236"/>
  <c r="D235"/>
  <c r="D234"/>
  <c r="G230"/>
  <c r="C230"/>
  <c r="D226"/>
  <c r="D225"/>
  <c r="D224"/>
  <c r="D223"/>
  <c r="D222"/>
  <c r="D221"/>
  <c r="G217"/>
  <c r="C217"/>
  <c r="D213"/>
  <c r="D212"/>
  <c r="D211"/>
  <c r="D210"/>
  <c r="D209"/>
  <c r="D208"/>
  <c r="D207"/>
  <c r="D206"/>
  <c r="D205"/>
  <c r="D204"/>
  <c r="D203"/>
  <c r="D202"/>
  <c r="D201"/>
  <c r="G197"/>
  <c r="C197"/>
  <c r="D193"/>
  <c r="D192"/>
  <c r="D191"/>
  <c r="D190"/>
  <c r="D189"/>
  <c r="D188"/>
  <c r="D187"/>
  <c r="D186"/>
  <c r="D185"/>
  <c r="D184"/>
  <c r="D183"/>
  <c r="D182"/>
  <c r="D181"/>
  <c r="D180"/>
  <c r="D179"/>
  <c r="D178"/>
  <c r="D177"/>
  <c r="D176"/>
  <c r="D175"/>
  <c r="G171"/>
  <c r="C171"/>
  <c r="D167"/>
  <c r="D166"/>
  <c r="D165"/>
  <c r="D164"/>
  <c r="D163"/>
  <c r="D162"/>
  <c r="G158"/>
  <c r="C158"/>
  <c r="D154"/>
  <c r="D153"/>
  <c r="D152"/>
  <c r="D151"/>
  <c r="D150"/>
  <c r="D149"/>
  <c r="G145"/>
  <c r="C145"/>
  <c r="D141"/>
  <c r="D140"/>
  <c r="D139"/>
  <c r="D138"/>
  <c r="D137"/>
  <c r="G133"/>
  <c r="C133"/>
  <c r="D129"/>
  <c r="D128"/>
  <c r="D127"/>
  <c r="D126"/>
  <c r="D125"/>
  <c r="D124"/>
  <c r="D123"/>
  <c r="D122"/>
  <c r="D121"/>
  <c r="D120"/>
  <c r="D119"/>
  <c r="D118"/>
  <c r="D117"/>
  <c r="D116"/>
  <c r="D115"/>
  <c r="D114"/>
  <c r="D113"/>
  <c r="G109"/>
  <c r="C109"/>
  <c r="D106"/>
  <c r="D105"/>
  <c r="D104"/>
  <c r="D103"/>
  <c r="D102"/>
  <c r="D101"/>
  <c r="D100"/>
  <c r="D99"/>
  <c r="D98"/>
  <c r="D97"/>
  <c r="D96"/>
  <c r="C92"/>
  <c r="D88"/>
  <c r="D87"/>
  <c r="D86"/>
  <c r="D85"/>
  <c r="D84"/>
  <c r="G80"/>
  <c r="C80"/>
  <c r="D76"/>
  <c r="D75"/>
  <c r="D74"/>
  <c r="D73"/>
  <c r="G69"/>
  <c r="C69"/>
  <c r="D65"/>
  <c r="D64"/>
  <c r="D63"/>
  <c r="D62"/>
  <c r="G58"/>
  <c r="C58"/>
  <c r="D54"/>
  <c r="D53"/>
  <c r="D52"/>
  <c r="D51"/>
  <c r="G47"/>
  <c r="C47"/>
  <c r="D43"/>
  <c r="D42"/>
  <c r="D41"/>
  <c r="D40"/>
  <c r="G36"/>
  <c r="C36"/>
  <c r="D32"/>
  <c r="D31"/>
  <c r="G26"/>
  <c r="C26"/>
  <c r="D22"/>
  <c r="D21"/>
  <c r="D20"/>
  <c r="D19"/>
  <c r="G15"/>
  <c r="C15"/>
  <c r="D11"/>
  <c r="D10"/>
  <c r="D9"/>
  <c r="D8"/>
  <c r="G3"/>
  <c r="C3"/>
  <c r="G3516" l="1"/>
  <c r="G3504"/>
  <c r="G3528"/>
  <c r="G3541"/>
  <c r="G3485"/>
</calcChain>
</file>

<file path=xl/sharedStrings.xml><?xml version="1.0" encoding="utf-8"?>
<sst xmlns="http://schemas.openxmlformats.org/spreadsheetml/2006/main" count="15097" uniqueCount="3973">
  <si>
    <t>ABOSS2标准第三方接口说明</t>
  </si>
  <si>
    <t>核心交易产品部</t>
  </si>
  <si>
    <t>版本</t>
  </si>
  <si>
    <t>修订日期</t>
  </si>
  <si>
    <t>修改内容</t>
  </si>
  <si>
    <t>修订人</t>
  </si>
  <si>
    <t>2.1.50</t>
  </si>
  <si>
    <t>增加功能码204594查询质押回购客户交易额度信息</t>
  </si>
  <si>
    <t>张晓波</t>
  </si>
  <si>
    <t>2.1.49</t>
  </si>
  <si>
    <t>增加市场参数数据字典</t>
  </si>
  <si>
    <t>卢惠珍</t>
  </si>
  <si>
    <t>2.1.48</t>
  </si>
  <si>
    <t>修改功能码407001，增加入参出参</t>
  </si>
  <si>
    <t>曾冬梅</t>
  </si>
  <si>
    <t>2.1.47</t>
  </si>
  <si>
    <t>增加功能码103001 查询汇率参数</t>
  </si>
  <si>
    <t>廖忠芹</t>
  </si>
  <si>
    <t>2.1.46</t>
  </si>
  <si>
    <t>1、增加账户可用资金查询接口303008；3、修改原普通委托接口以支持港股通业务（增加订单交易指令限制类型和订单时效限制类型）</t>
  </si>
  <si>
    <t>蔡海防</t>
  </si>
  <si>
    <t>2.1.45</t>
  </si>
  <si>
    <t>修改功能码204835，增加入参出参</t>
  </si>
  <si>
    <t>2.1.44</t>
  </si>
  <si>
    <t>1、小微贷合约信息中增加记录预警线最低线信息；2、204550（综合业务委托之质押质押快速微贷）增加预计利息查询功能</t>
  </si>
  <si>
    <t>2.1.43</t>
  </si>
  <si>
    <t>1、小微贷相关接口更新维护；2、新增客户新股贷可用资金查询204544功能</t>
  </si>
  <si>
    <t>2.1.42</t>
  </si>
  <si>
    <t>新增功能码204979</t>
  </si>
  <si>
    <t>2.1.41</t>
  </si>
  <si>
    <t>新增功能码204972</t>
  </si>
  <si>
    <t>李海山</t>
  </si>
  <si>
    <t>2.1.40</t>
  </si>
  <si>
    <t>修改功能码204833增加罚息预计利息、罚息已归还利息返回</t>
  </si>
  <si>
    <t>2.1.39</t>
  </si>
  <si>
    <t>增加204583（约定购回展期）、204567（约购合约信息查询）和204629（约购顺延明细查询）等接口</t>
  </si>
  <si>
    <t>2.1.38</t>
  </si>
  <si>
    <t>增加功能吗303009查询客户资金冻结明细</t>
  </si>
  <si>
    <t>增冬梅</t>
  </si>
  <si>
    <t>2.1.37</t>
  </si>
  <si>
    <t>增加功能码203019变更主资金帐户检查</t>
  </si>
  <si>
    <t>潘攀</t>
  </si>
  <si>
    <t>2.1.36</t>
  </si>
  <si>
    <t>修改功能码204833，增加入参</t>
  </si>
  <si>
    <t>2.1.35</t>
  </si>
  <si>
    <t>增加功能码302018客户资料变更明细查询</t>
  </si>
  <si>
    <t>2.1.34</t>
  </si>
  <si>
    <t>修改304823增加入参</t>
  </si>
  <si>
    <t>2.1.33</t>
  </si>
  <si>
    <t>新增204974查询融券白名单信息功能码</t>
  </si>
  <si>
    <t>2.1.32</t>
  </si>
  <si>
    <t>修改304823增加券源标识字段</t>
  </si>
  <si>
    <t>2.1.31</t>
  </si>
  <si>
    <t>功能码304232增加三个出参</t>
  </si>
  <si>
    <t>2.1.30</t>
  </si>
  <si>
    <t>增加功能码101007查询某一系统参数配置</t>
  </si>
  <si>
    <t>罗春淼</t>
  </si>
  <si>
    <t>2.1.29</t>
  </si>
  <si>
    <t>增加功能码304233查询质押回购标的证券_FOR快速微贷</t>
  </si>
  <si>
    <t>2.1.28</t>
  </si>
  <si>
    <t>增加功能码204588查询质押回购协议信息、增加104212查询北交所做市行情</t>
  </si>
  <si>
    <t>2.1.27</t>
  </si>
  <si>
    <t>204591（查询质押回购履约金比例）增加需要补充质押的市值（正数）或可以解除质押的市值（负数）</t>
  </si>
  <si>
    <t>2.1.26</t>
  </si>
  <si>
    <t>股票质押回购微贷业务增加接口204543（查询可融资金额信息）</t>
  </si>
  <si>
    <t>2.1.25</t>
  </si>
  <si>
    <t>股票质押回购微贷业务交易接口204550支持</t>
  </si>
  <si>
    <t>2.1.24</t>
  </si>
  <si>
    <t>添加204590 查询质押回购标的证券折算金额及304232质押回购微贷参数查询</t>
  </si>
  <si>
    <t>2.1.23</t>
  </si>
  <si>
    <t>更新204831增加输入：FID_SBGDH（A股股东号）</t>
  </si>
  <si>
    <t>2.1.22</t>
  </si>
  <si>
    <t>更新407003客户历史负债信息功能号入参出参</t>
  </si>
  <si>
    <t>邱艳</t>
  </si>
  <si>
    <t>2.1.21</t>
  </si>
  <si>
    <t>新增 104211北交所协议行情查询</t>
  </si>
  <si>
    <t>2.1.20</t>
  </si>
  <si>
    <t>修改304822，增加输出FID_SXF，手续费字段</t>
  </si>
  <si>
    <t>2.1.19</t>
  </si>
  <si>
    <t>新增304230-查询客户配售权益</t>
  </si>
  <si>
    <t>陈晓丹</t>
  </si>
  <si>
    <t>2.1.18</t>
  </si>
  <si>
    <t>修改405003、403204增加入参。</t>
  </si>
  <si>
    <t>2.1.17</t>
  </si>
  <si>
    <t>增加功能码407002【客户历史信用合同信息查询】</t>
  </si>
  <si>
    <t>2.1.16</t>
  </si>
  <si>
    <t>修改功能码304807【合同信息查询】增加个性化保证金相关的3个字段输出</t>
  </si>
  <si>
    <t>2.1.15</t>
  </si>
  <si>
    <t>新增功能码202039记录【自助登入信息】</t>
  </si>
  <si>
    <t>2.1.14</t>
  </si>
  <si>
    <t>新增功能码204956【校验风险控制指标】</t>
  </si>
  <si>
    <t>2.1.13</t>
  </si>
  <si>
    <t>新增104012功能号</t>
  </si>
  <si>
    <t>刘凯</t>
  </si>
  <si>
    <t>2.1.12</t>
  </si>
  <si>
    <t>修改204835功能号</t>
  </si>
  <si>
    <t>2.1.11</t>
  </si>
  <si>
    <t>新增302050功能号</t>
  </si>
  <si>
    <t>2.1.10</t>
  </si>
  <si>
    <t>新增104044查询基金行情信息</t>
  </si>
  <si>
    <t>2.1.9</t>
  </si>
  <si>
    <t>增加145009修改定期定额协议的功能号</t>
  </si>
  <si>
    <t>陈志</t>
  </si>
  <si>
    <t>2.1.8</t>
  </si>
  <si>
    <t>304104【查询待购回】增加返回购回应收金额</t>
  </si>
  <si>
    <t>2.1.7</t>
  </si>
  <si>
    <t>增加305009【查询基金份额明细数据】第三方接口</t>
  </si>
  <si>
    <t>钟瑞兵</t>
  </si>
  <si>
    <t>2.1.6</t>
  </si>
  <si>
    <t>提供164080【添加股东附加交易权限】和104041【查询股东附加交易权限】的接口信息</t>
  </si>
  <si>
    <t>谢丹凤</t>
  </si>
  <si>
    <t>2.1.5</t>
  </si>
  <si>
    <t>提供“股东帐户信息”修改，功能码204002的接口信息</t>
  </si>
  <si>
    <t>2.1.4</t>
  </si>
  <si>
    <t>提供股东“交易权限”查询，功能码304002的接口信息</t>
  </si>
  <si>
    <t>2.1.3</t>
  </si>
  <si>
    <t>数据字典删除ABOSS2未用到的新编码，行情查询104101增加输出证券类别，股东号查询304001增加输出股东交易权限</t>
  </si>
  <si>
    <t>2.1.2</t>
  </si>
  <si>
    <t>增加接口中字符型入参的字段长度</t>
  </si>
  <si>
    <t>2.1.1</t>
  </si>
  <si>
    <t>现金宝增加参与方式输入和输出,涉及功能码125012,305209</t>
  </si>
  <si>
    <t>孙登</t>
  </si>
  <si>
    <t>2.0.10</t>
  </si>
  <si>
    <t>第三方接口中增加FUN_SECU_LIST_YIELD_KH（投资损益）接口说明</t>
  </si>
  <si>
    <t>2.0.9</t>
  </si>
  <si>
    <t>修改ABOSS标准第三方接口.xlsm文件，增加304216功能码的接口说明</t>
  </si>
  <si>
    <t>2.0.8</t>
  </si>
  <si>
    <t>增加功能码303016查询客户存取授权流水，增加125012入参，修正功能索引超连接</t>
  </si>
  <si>
    <t>2.0.7</t>
  </si>
  <si>
    <t>超额存取预约203515功能号返回域太少</t>
  </si>
  <si>
    <t>刘畅</t>
  </si>
  <si>
    <t>2.0.6</t>
  </si>
  <si>
    <t>增加综合业务委托表的接口，适用于报价回购、约定购回</t>
  </si>
  <si>
    <t>王加林</t>
  </si>
  <si>
    <t>2.0.5</t>
  </si>
  <si>
    <t>基金代码查询增加理财产品标志说明，涉及功能码105002</t>
  </si>
  <si>
    <t>张雄金</t>
  </si>
  <si>
    <t>2.0.4</t>
  </si>
  <si>
    <t>增加现金宝相关外围接口说明，涉及功能码205105和145010</t>
  </si>
  <si>
    <t>2.0.3</t>
  </si>
  <si>
    <t>增加银行存管预约转账的接口说明，涉及功能码203529</t>
  </si>
  <si>
    <t>2.0.2</t>
  </si>
  <si>
    <t>增加报价回购的接口说明，涉及功能码101040、101042、204525、204501、304104</t>
  </si>
  <si>
    <t>2.0.1</t>
  </si>
  <si>
    <t>初稿</t>
  </si>
  <si>
    <t>涂义瑾</t>
  </si>
  <si>
    <t>功能号</t>
  </si>
  <si>
    <t>内容</t>
  </si>
  <si>
    <t>多结果集</t>
  </si>
  <si>
    <t>系统参数类</t>
  </si>
  <si>
    <t>查询系统当前状态</t>
  </si>
  <si>
    <t>系统数据字典查询</t>
  </si>
  <si>
    <t>Y</t>
  </si>
  <si>
    <t>客户提示属性项目查询</t>
  </si>
  <si>
    <t>银行代码参数查询</t>
  </si>
  <si>
    <t>查询当天所属交易日</t>
  </si>
  <si>
    <t>查询下一交易日</t>
  </si>
  <si>
    <t>查询上一交易日</t>
  </si>
  <si>
    <t>查询某一系统参数配置</t>
  </si>
  <si>
    <t>查询汇率参数</t>
  </si>
  <si>
    <t>客户管理类</t>
  </si>
  <si>
    <t>交易密码效验</t>
  </si>
  <si>
    <t>资金密码效验</t>
  </si>
  <si>
    <t>交易密码修改</t>
  </si>
  <si>
    <t>资金密码修改</t>
  </si>
  <si>
    <t>客户基本信息查询</t>
  </si>
  <si>
    <t>客户资产汇总查询</t>
  </si>
  <si>
    <t>客户基本信息修改</t>
  </si>
  <si>
    <t>客户委托方式变更</t>
  </si>
  <si>
    <t>邮寄对帐单业务查询</t>
  </si>
  <si>
    <t>邮寄对帐单服务开通</t>
  </si>
  <si>
    <t>邮寄对帐单服务变更</t>
  </si>
  <si>
    <t>邮寄对帐单服务中止</t>
  </si>
  <si>
    <t>客户提示信息查询</t>
  </si>
  <si>
    <t>客户提示信息登记</t>
  </si>
  <si>
    <t>客户提示信息变更</t>
  </si>
  <si>
    <t>客户提示信息删除</t>
  </si>
  <si>
    <t>记录资料变更信息</t>
  </si>
  <si>
    <t>交易风险确认</t>
  </si>
  <si>
    <t>交易风险确认结果查询</t>
  </si>
  <si>
    <t>自助登入信息</t>
  </si>
  <si>
    <t>变更主资金帐户检查</t>
  </si>
  <si>
    <t>资金业务类</t>
  </si>
  <si>
    <t>资金账户查询</t>
  </si>
  <si>
    <t>指定资金账户信息查询</t>
  </si>
  <si>
    <t>实际可取资金查询</t>
  </si>
  <si>
    <t>取款预约</t>
  </si>
  <si>
    <t>资金收费</t>
  </si>
  <si>
    <t>资金明细查询</t>
  </si>
  <si>
    <t>银证转帐对应关系查询</t>
  </si>
  <si>
    <t>银行转证券</t>
  </si>
  <si>
    <t>证券转银行</t>
  </si>
  <si>
    <t>银行账户余额查询申请</t>
  </si>
  <si>
    <t>多银行存管转账</t>
  </si>
  <si>
    <t>银行存管预约转账</t>
  </si>
  <si>
    <t>证券发起银证业务查询</t>
  </si>
  <si>
    <t>银行发起银证业务查询</t>
  </si>
  <si>
    <t>查询客户资金冻结明细</t>
  </si>
  <si>
    <t>查询客户存取授权流水</t>
  </si>
  <si>
    <t>查询账户可用资金</t>
  </si>
  <si>
    <t>证券交易类</t>
  </si>
  <si>
    <t>证券行情查询</t>
  </si>
  <si>
    <t>权证信息查询</t>
  </si>
  <si>
    <t>查询股东附加交易权限</t>
  </si>
  <si>
    <t>查询基金行情信息</t>
  </si>
  <si>
    <t>查询ETF基本信息</t>
  </si>
  <si>
    <t>查询ETF成份股信息</t>
  </si>
  <si>
    <t>查询三板报价转让行情</t>
  </si>
  <si>
    <t>添加股东附加交易权限</t>
  </si>
  <si>
    <t>客户股东号查询</t>
  </si>
  <si>
    <t>股东资料查询</t>
  </si>
  <si>
    <t>根据股东帐号获取客户号</t>
  </si>
  <si>
    <t>客户持仓查询</t>
  </si>
  <si>
    <t>查询客户委托佣金折扣参数</t>
  </si>
  <si>
    <t>股东帐户信息修改</t>
  </si>
  <si>
    <t>检查客户证券风险匹配</t>
  </si>
  <si>
    <t>可委托数量计算</t>
  </si>
  <si>
    <t>股票买卖委托</t>
  </si>
  <si>
    <t>股票委托撤单</t>
  </si>
  <si>
    <t>批量买卖</t>
  </si>
  <si>
    <t>批量撤单</t>
  </si>
  <si>
    <t>客户当日委托查询</t>
  </si>
  <si>
    <t>查询指定委托号的委托详细信息</t>
  </si>
  <si>
    <t>客户实时成交查询</t>
  </si>
  <si>
    <t>客户分笔成交查询</t>
  </si>
  <si>
    <t>客户实时成交汇总查询</t>
  </si>
  <si>
    <t>待购回数据查询</t>
  </si>
  <si>
    <t>持仓成本调整</t>
  </si>
  <si>
    <t>ETF网下预约委托</t>
  </si>
  <si>
    <t>ETF网下预约委托撤单</t>
  </si>
  <si>
    <t>查询客户ETF网下申购委托</t>
  </si>
  <si>
    <t>查询客户ETF成份股的持仓信息</t>
  </si>
  <si>
    <t>查询债券抵押明细记录</t>
  </si>
  <si>
    <t>客户各委托批次号证券持仓成本的查询</t>
  </si>
  <si>
    <t>多股简单行情查询</t>
  </si>
  <si>
    <t>查询客户配售权益</t>
  </si>
  <si>
    <t>查询北交所协议行情</t>
  </si>
  <si>
    <t>查询北交所做市行情</t>
  </si>
  <si>
    <t>综合业务委托类</t>
  </si>
  <si>
    <t>报价回购品种参数查询</t>
  </si>
  <si>
    <t>报价回购预约委托信息查询</t>
  </si>
  <si>
    <t>报价回购预约委托管理</t>
  </si>
  <si>
    <t>综合业务委托</t>
  </si>
  <si>
    <t>综合业务撤单</t>
  </si>
  <si>
    <t>综合业务可买卖数量计算</t>
  </si>
  <si>
    <t>综合业务客户当日委托查询</t>
  </si>
  <si>
    <t>查询质押回购标的证券折算金额</t>
  </si>
  <si>
    <t>股票质押微贷参数查询</t>
  </si>
  <si>
    <t>根据客户号查询快速微贷可折算金额</t>
  </si>
  <si>
    <t>查询质押回购履约金比例</t>
  </si>
  <si>
    <t>综合业务委托之质押质押快速微贷</t>
  </si>
  <si>
    <t>查询质押回购标的证券_FOR快速微贷</t>
  </si>
  <si>
    <t>约定购回合约信息查询</t>
  </si>
  <si>
    <t>约定购回顺延明细查询</t>
  </si>
  <si>
    <t>约定购回信息变更</t>
  </si>
  <si>
    <t>新股贷可用资金查询</t>
  </si>
  <si>
    <t>查询质押回购协议信息</t>
  </si>
  <si>
    <t>查询质押回购客户交易额度信息</t>
  </si>
  <si>
    <t>基金交易类</t>
  </si>
  <si>
    <t>基金公司参数查询</t>
  </si>
  <si>
    <t>基金代码查询</t>
  </si>
  <si>
    <t>客户风险承受能力相适应的基金代码查询</t>
  </si>
  <si>
    <t>基金账户自助开户</t>
  </si>
  <si>
    <t>基金认购申购风险检查</t>
  </si>
  <si>
    <t>基金账户查询</t>
  </si>
  <si>
    <t>基金持有份额查询</t>
  </si>
  <si>
    <t>基金认购申购赎回</t>
  </si>
  <si>
    <t>基金分红方式设置</t>
  </si>
  <si>
    <t>基金转换申请</t>
  </si>
  <si>
    <t>基金委托撤销</t>
  </si>
  <si>
    <t>查询当日基金委托</t>
  </si>
  <si>
    <t>查询基金份额明细数据</t>
  </si>
  <si>
    <t>基金理财类</t>
  </si>
  <si>
    <t>定期定额申购品种查询</t>
  </si>
  <si>
    <t>定期定额协议查询</t>
  </si>
  <si>
    <t>定期定额申购协议开通</t>
  </si>
  <si>
    <t>定期定额申购协议中止</t>
  </si>
  <si>
    <t>电子理财协议查询(现金宝保留额度等)</t>
  </si>
  <si>
    <t>电子理财申购协议开通</t>
  </si>
  <si>
    <t>电子理财申购协议中止</t>
  </si>
  <si>
    <t>现金宝资金保留额度设置</t>
  </si>
  <si>
    <t>修改理财电子合同协议(现金宝解约)</t>
  </si>
  <si>
    <t>修改定期定额申购协议</t>
  </si>
  <si>
    <t>融资融券类</t>
  </si>
  <si>
    <t>信用等级查询</t>
  </si>
  <si>
    <t>信用客户信息查询</t>
  </si>
  <si>
    <t>信用合同信息查询</t>
  </si>
  <si>
    <t>授信额度申请</t>
  </si>
  <si>
    <t>授信中止申请</t>
  </si>
  <si>
    <t>授信申请查询</t>
  </si>
  <si>
    <t>信用资格证券查询</t>
  </si>
  <si>
    <t>融券证券池查询</t>
  </si>
  <si>
    <t>信用资金情况查询</t>
  </si>
  <si>
    <t>信用可委托数量查询</t>
  </si>
  <si>
    <t>担保物划转</t>
  </si>
  <si>
    <t>余券划转</t>
  </si>
  <si>
    <t>还券划转</t>
  </si>
  <si>
    <t>现金直接还款</t>
  </si>
  <si>
    <t>现金替代还券</t>
  </si>
  <si>
    <t>信用交易</t>
  </si>
  <si>
    <t>融资融券交易</t>
  </si>
  <si>
    <t>信用委托撤单</t>
  </si>
  <si>
    <t>信用负债信息查询</t>
  </si>
  <si>
    <t>信用负债汇总查询</t>
  </si>
  <si>
    <t>信用指令信息查询</t>
  </si>
  <si>
    <t>信用负债变动明细查询</t>
  </si>
  <si>
    <t>普通股东账户查询</t>
  </si>
  <si>
    <t>普通账户证券持仓查询</t>
  </si>
  <si>
    <t>查询融券白名单信息</t>
  </si>
  <si>
    <t>查询融券卖出金额</t>
  </si>
  <si>
    <t>查询普通和信用汇总净资产（只支持独立部署）</t>
  </si>
  <si>
    <t>校验风险控制指标</t>
  </si>
  <si>
    <t>历史数据类</t>
  </si>
  <si>
    <t>证券历史委托查询</t>
  </si>
  <si>
    <t>证券历史成交查询</t>
  </si>
  <si>
    <t>基金历史委托查询</t>
  </si>
  <si>
    <t>基金委托确认查询</t>
  </si>
  <si>
    <t>资金变动明细查询</t>
  </si>
  <si>
    <t>三方存管历史申请流水查询</t>
  </si>
  <si>
    <t>证券发起历史资金转账申请查询</t>
  </si>
  <si>
    <t>银行发起历史资金转账申请查询</t>
  </si>
  <si>
    <t>信用负债历史情况</t>
  </si>
  <si>
    <t>信用负债变动历史查询</t>
  </si>
  <si>
    <t>客户历史信用合同信息查询</t>
  </si>
  <si>
    <t>客户历史投资损益查询</t>
  </si>
  <si>
    <t>客户资料变更明细查询</t>
  </si>
  <si>
    <t>更新日期</t>
  </si>
  <si>
    <t>功能名称</t>
  </si>
  <si>
    <t>功能说明</t>
  </si>
  <si>
    <t>输入参数</t>
  </si>
  <si>
    <t>参数名</t>
  </si>
  <si>
    <t>定义</t>
  </si>
  <si>
    <t>类型</t>
  </si>
  <si>
    <t>必须</t>
  </si>
  <si>
    <t>说明</t>
  </si>
  <si>
    <t>输出参数</t>
  </si>
  <si>
    <t>FID_CODE</t>
  </si>
  <si>
    <t>N</t>
  </si>
  <si>
    <t>FID_MESSAGE</t>
  </si>
  <si>
    <t>C</t>
  </si>
  <si>
    <t>FID_QSBZ</t>
  </si>
  <si>
    <t>清算标志：0表示正常，1表示清算中</t>
  </si>
  <si>
    <t>FID_XTCSBZ</t>
  </si>
  <si>
    <t>测试标志：0表示正常；1表示系统处于测试状态</t>
  </si>
  <si>
    <t>FID_FLDM</t>
  </si>
  <si>
    <t>C4</t>
  </si>
  <si>
    <t>分类代码</t>
  </si>
  <si>
    <t>FID_BM</t>
  </si>
  <si>
    <t>编码</t>
  </si>
  <si>
    <t>FID_BMSM</t>
  </si>
  <si>
    <t>FID_SXDM</t>
  </si>
  <si>
    <t>属性代码</t>
  </si>
  <si>
    <t>FID_SXMC</t>
  </si>
  <si>
    <t>属性名称</t>
  </si>
  <si>
    <t>FID_JGLB</t>
  </si>
  <si>
    <t>机构类别：1为B股转账， 3为存管银行代码</t>
  </si>
  <si>
    <t>FID_JGDM</t>
  </si>
  <si>
    <t>机构代码</t>
  </si>
  <si>
    <t>FID_JGJC</t>
  </si>
  <si>
    <t>机构简称</t>
  </si>
  <si>
    <t>用于判断当天是否为交易日，比如周末为非交易日</t>
  </si>
  <si>
    <t>FID_JYS</t>
  </si>
  <si>
    <t>C2</t>
  </si>
  <si>
    <t>交易所</t>
  </si>
  <si>
    <t>FID_JYRBS</t>
  </si>
  <si>
    <t>交易日标识：0正常交易交收日，1非交易日，2非交收日</t>
  </si>
  <si>
    <t>用于判断当天所属的下一交易日，比如周末的交易日为下周一，周一的下一交易日为周二。</t>
  </si>
  <si>
    <t>FID_RQ</t>
  </si>
  <si>
    <t>下一交易日期</t>
  </si>
  <si>
    <t>用于判断当天所属的上一交易日，比如周末的交易日为上周五，周一的上一交易日为上周五。</t>
  </si>
  <si>
    <t>上一交易日期</t>
  </si>
  <si>
    <t>单结果集</t>
  </si>
  <si>
    <t>调用Base_GetXTCS，获取指定营业部及参数类别的参数定义。</t>
  </si>
  <si>
    <t>FID_YYB</t>
  </si>
  <si>
    <t>营业部</t>
  </si>
  <si>
    <t>FID_CSDM</t>
  </si>
  <si>
    <t>参数代码</t>
  </si>
  <si>
    <t>结果代码</t>
  </si>
  <si>
    <t>结果信息</t>
  </si>
  <si>
    <t>FID_CSZ</t>
  </si>
  <si>
    <t>参数值</t>
  </si>
  <si>
    <t>用于查询各币种之间的汇率</t>
  </si>
  <si>
    <t>FID_BZ1</t>
  </si>
  <si>
    <t>币种1</t>
  </si>
  <si>
    <t>FID_BZ2</t>
  </si>
  <si>
    <t>币种2</t>
  </si>
  <si>
    <t>FID_XCMRJ</t>
  </si>
  <si>
    <t>R(16,5)</t>
  </si>
  <si>
    <t>现钞买入价</t>
  </si>
  <si>
    <t>FID_XCMCJ</t>
  </si>
  <si>
    <t>现钞卖出价</t>
  </si>
  <si>
    <t>FID_XHMRJ</t>
  </si>
  <si>
    <t>现汇买入价</t>
  </si>
  <si>
    <t>FID_XHMCJ</t>
  </si>
  <si>
    <t>现汇卖出价</t>
  </si>
  <si>
    <t>FID_GSBL</t>
  </si>
  <si>
    <t>估算兑换比例</t>
  </si>
  <si>
    <t>FID_XGRQ</t>
  </si>
  <si>
    <t>I</t>
  </si>
  <si>
    <t>修改日期</t>
  </si>
  <si>
    <t>FID_HLBZ</t>
  </si>
  <si>
    <t>汇率标志</t>
  </si>
  <si>
    <t>FID_KHH</t>
  </si>
  <si>
    <t>C12</t>
  </si>
  <si>
    <t>客户号</t>
  </si>
  <si>
    <t>FID_GDH</t>
  </si>
  <si>
    <t>C10</t>
  </si>
  <si>
    <t>股东号</t>
  </si>
  <si>
    <t>FID_KHKH</t>
  </si>
  <si>
    <t>C60</t>
  </si>
  <si>
    <t>客户卡号</t>
  </si>
  <si>
    <t>FID_JYMM</t>
  </si>
  <si>
    <t>C16</t>
  </si>
  <si>
    <t>密码</t>
  </si>
  <si>
    <t>FID_JMLX</t>
  </si>
  <si>
    <t xml:space="preserve">加密方式，0  简单加密算法  1  标准加密算法 </t>
  </si>
  <si>
    <t>股东号，使用股东帐号进行身份认证成功的话，会返回完整的股东帐号及交易所</t>
  </si>
  <si>
    <t>FID_KHQZ</t>
  </si>
  <si>
    <t>群组</t>
  </si>
  <si>
    <t>测试状态：1测试状态，0正常交易状态</t>
  </si>
  <si>
    <t>FID_KHXM</t>
  </si>
  <si>
    <t>姓名</t>
  </si>
  <si>
    <t>FID_KHZT</t>
  </si>
  <si>
    <t>客户状态， 0正常，其它为异常</t>
  </si>
  <si>
    <t>FID_TZZFL</t>
  </si>
  <si>
    <t>客户风险承受能力，有些功能码调用时要用此字段作为输入参数</t>
  </si>
  <si>
    <t>FID_ZJMM</t>
  </si>
  <si>
    <t>FID_MM</t>
  </si>
  <si>
    <t>原密码</t>
  </si>
  <si>
    <t>FID_NEWMM</t>
  </si>
  <si>
    <t>新密码</t>
  </si>
  <si>
    <t>由于密码变更引起的令牌更新，后续业务必须用该令牌</t>
  </si>
  <si>
    <t>FID_EXFLG</t>
  </si>
  <si>
    <t>扩展标志，送0或1</t>
  </si>
  <si>
    <t>&gt;0 成功 &lt;=0 失败</t>
  </si>
  <si>
    <t>FID_FWXM</t>
  </si>
  <si>
    <t>服务项目范围,FLDM=FWXM</t>
  </si>
  <si>
    <t>FID_WTFS</t>
  </si>
  <si>
    <t>委托方式范围,FLDM=WTFS</t>
  </si>
  <si>
    <t>FID_ZJBH</t>
  </si>
  <si>
    <t>证件</t>
  </si>
  <si>
    <t>卡号</t>
  </si>
  <si>
    <t>状态：0正常，其它异常, FLDM=KHZT</t>
  </si>
  <si>
    <t>基金风险承受能力， FLDM=TZZFL</t>
  </si>
  <si>
    <t>FID_KHJF</t>
  </si>
  <si>
    <t>证券风险承受能力，FLDM=KHJF</t>
  </si>
  <si>
    <t>FID_DZ</t>
  </si>
  <si>
    <t>通讯地址，FID_EXFLG=1时返回</t>
  </si>
  <si>
    <t>FID_DH</t>
  </si>
  <si>
    <t>电话，FID_EXFLG=1时返回</t>
  </si>
  <si>
    <t>FID_FAX</t>
  </si>
  <si>
    <t>传真，FID_EXFLG=1时返回</t>
  </si>
  <si>
    <t>FID_EMAIL</t>
  </si>
  <si>
    <t>EMAIL,FID_EXFLG=1时返回</t>
  </si>
  <si>
    <t>FID_MOBILE</t>
  </si>
  <si>
    <t>手机，FID_EXFLG=1时返回</t>
  </si>
  <si>
    <t>交易密码</t>
  </si>
  <si>
    <t>基金风险承受能力,FLDM=TZZFL</t>
  </si>
  <si>
    <t>证券风险承受能力,FLDM=KHJF</t>
  </si>
  <si>
    <t>C80</t>
  </si>
  <si>
    <t>通讯地址</t>
  </si>
  <si>
    <t>C20</t>
  </si>
  <si>
    <t>电话</t>
  </si>
  <si>
    <t>传真</t>
  </si>
  <si>
    <t>C50</t>
  </si>
  <si>
    <t>EMAI</t>
  </si>
  <si>
    <t>手机</t>
  </si>
  <si>
    <t>FID_ZLLB</t>
  </si>
  <si>
    <t>修改指令，送入99</t>
  </si>
  <si>
    <t>委托方式范围，累加方式，FLDM=WTFS</t>
  </si>
  <si>
    <t>FID_ZY</t>
  </si>
  <si>
    <t>C255</t>
  </si>
  <si>
    <t>修改说明</t>
  </si>
  <si>
    <t>强制送入99  提交业务处理</t>
  </si>
  <si>
    <t>B</t>
  </si>
  <si>
    <t>FID_YZBM</t>
  </si>
  <si>
    <t>邮编</t>
  </si>
  <si>
    <t>FID_ZDXM</t>
  </si>
  <si>
    <t>对账项目，多值累加， FLDM=KHDZXM</t>
  </si>
  <si>
    <t>寄送地址</t>
  </si>
  <si>
    <t>C6</t>
  </si>
  <si>
    <t>对账项目， 多值累加，FLDM=KHDZXM</t>
  </si>
  <si>
    <t>FID_ZDZQ</t>
  </si>
  <si>
    <t>周期，送1</t>
  </si>
  <si>
    <t>FID_KSRQ</t>
  </si>
  <si>
    <t>开始日期，送0</t>
  </si>
  <si>
    <t>FID_JSRQ</t>
  </si>
  <si>
    <t>结束日期，送0</t>
  </si>
  <si>
    <t>属性代码，属于自定义性质，通过功能码102002查询获得</t>
  </si>
  <si>
    <t>提示项目</t>
  </si>
  <si>
    <t>FID_SXZ</t>
  </si>
  <si>
    <t>提示内容</t>
  </si>
  <si>
    <t>FID_BDRQ</t>
  </si>
  <si>
    <t>变动日期</t>
  </si>
  <si>
    <t>FID_SXZ_OLD</t>
  </si>
  <si>
    <t>原内容</t>
  </si>
  <si>
    <t>FID_YWKM</t>
  </si>
  <si>
    <t>C5</t>
  </si>
  <si>
    <t>根据实际情况，客户资料修改时送20002，修改服务项目送20027</t>
  </si>
  <si>
    <t>FID_LOGINID</t>
  </si>
  <si>
    <t>C8</t>
  </si>
  <si>
    <t>用户标识，由运维人员统一分配</t>
  </si>
  <si>
    <t>登录时可能会提示您的风险承受能力，如果不想每次提示，则调用本功能码后可以不再提示
委托时可能会提示该证券（基金）的风险标准超过您的风险承受能力，是否继续委托，如果不想每次提示，则调用本功能码后不再提示</t>
  </si>
  <si>
    <t>FID_TYPE</t>
  </si>
  <si>
    <t>0表示确认风险承受能力,1表示确认证券交易风险,2表示确认基金交易风险</t>
  </si>
  <si>
    <t>用于查询是否已确认过风险提示，如果客户已表达过不要每次交易都提示，则不外围可以不必每次委托前都调用风险检测的功能服务。</t>
  </si>
  <si>
    <t>0:风险承受能力,1:证券交易风险,2:基金交易风险</t>
  </si>
  <si>
    <t>FID_DJRQ</t>
  </si>
  <si>
    <t>确认日期</t>
  </si>
  <si>
    <t>FID_KQBZ</t>
  </si>
  <si>
    <t>确定标志，未确认过则没有该记录返回，有返回的只会是1.</t>
  </si>
  <si>
    <t>记录客户自动登入登出信息</t>
  </si>
  <si>
    <t>说明，取值在“自助登入”或“自助登出”</t>
  </si>
  <si>
    <t>FID_SQCZRH</t>
  </si>
  <si>
    <t>C13</t>
  </si>
  <si>
    <t>授权操作人号</t>
  </si>
  <si>
    <t>FID_DLSF</t>
  </si>
  <si>
    <t>登录身份</t>
  </si>
  <si>
    <t>FID_FHGY</t>
  </si>
  <si>
    <t>复核柜员</t>
  </si>
  <si>
    <t>FID_ZJZH_ZR</t>
  </si>
  <si>
    <t>新主资金帐号</t>
  </si>
  <si>
    <t>FID_ZJZH</t>
  </si>
  <si>
    <t>原主资金帐号</t>
  </si>
  <si>
    <t>FID_BZ</t>
  </si>
  <si>
    <t>币种</t>
  </si>
  <si>
    <t>0  查询基本信息  1  查询扩展信息</t>
  </si>
  <si>
    <t>C3</t>
  </si>
  <si>
    <t>币种，一般为 RMB，USD或 HKD</t>
  </si>
  <si>
    <t>资金账户</t>
  </si>
  <si>
    <t>FID_ZZHBZ</t>
  </si>
  <si>
    <t>主账户标志，1表示主账户</t>
  </si>
  <si>
    <t>FID_ZHLB</t>
  </si>
  <si>
    <t>1 普通帐户  2 融资融券帐户</t>
  </si>
  <si>
    <t>FID_ZHZT</t>
  </si>
  <si>
    <t>状态，0正常，其它为异常,FLDM=ZJZHZT</t>
  </si>
  <si>
    <t>FID_ZHYE</t>
  </si>
  <si>
    <t>R</t>
  </si>
  <si>
    <t>资金余额</t>
  </si>
  <si>
    <t>FID_DJJE</t>
  </si>
  <si>
    <t>冻结资金</t>
  </si>
  <si>
    <t>FID_KYZJ</t>
  </si>
  <si>
    <t>FID_EXFLG=1时有效，可用资金</t>
  </si>
  <si>
    <t>FID_KQZJ</t>
  </si>
  <si>
    <t>FID_EXFLG=1时有效，可取资金</t>
  </si>
  <si>
    <t>FID_OFSS_JZ</t>
  </si>
  <si>
    <t>FID_EXFLG=1时有效，基金市值</t>
  </si>
  <si>
    <t>FID_ZXSZ</t>
  </si>
  <si>
    <t>FID_EXFLG=1时有效，证券市值</t>
  </si>
  <si>
    <t>FID_QTZC</t>
  </si>
  <si>
    <t>FID_EXFLG=1时有效，其它资产</t>
  </si>
  <si>
    <t>FID_ZZC</t>
  </si>
  <si>
    <t>FID_EXFLG=1时有效，总资产</t>
  </si>
  <si>
    <t>C14</t>
  </si>
  <si>
    <t>0  基本查询  1  详细信息查询</t>
  </si>
  <si>
    <t>因额度控制影响可取资金</t>
  </si>
  <si>
    <t>FID_YHDM</t>
  </si>
  <si>
    <t>银行代码，不同银行额度控制可能不一样</t>
  </si>
  <si>
    <t>类型，送1</t>
  </si>
  <si>
    <t>FID_FLAG</t>
  </si>
  <si>
    <t>单客户多资金账户间内部转帐要填入1，其它情况可以不送</t>
  </si>
  <si>
    <t>&gt;0为成功</t>
  </si>
  <si>
    <t>超额存取预约</t>
  </si>
  <si>
    <t>FID_KHYYB</t>
  </si>
  <si>
    <t>营业部，暂时要送</t>
  </si>
  <si>
    <t>群组，暂时要送</t>
  </si>
  <si>
    <t>通过哪个银行转出</t>
  </si>
  <si>
    <t>FID_QKZE</t>
  </si>
  <si>
    <t>取款总额</t>
  </si>
  <si>
    <t>FID_YXRQ</t>
  </si>
  <si>
    <t>预约取款日期</t>
  </si>
  <si>
    <t>正数则表示申请成功</t>
  </si>
  <si>
    <t>返回结果说明</t>
  </si>
  <si>
    <t>FID_HTSH</t>
  </si>
  <si>
    <t>后台审核</t>
  </si>
  <si>
    <t>FID_LSH</t>
  </si>
  <si>
    <t>流水号</t>
  </si>
  <si>
    <t>FID_CQBZ</t>
  </si>
  <si>
    <t>C1</t>
  </si>
  <si>
    <t>取款标志，必须为 Q</t>
  </si>
  <si>
    <t>暂时必须为'0000'</t>
  </si>
  <si>
    <t>需要运维人员确定</t>
  </si>
  <si>
    <t>FID_FSJE</t>
  </si>
  <si>
    <t>收费金额</t>
  </si>
  <si>
    <t>收费说明</t>
  </si>
  <si>
    <t>多页查询</t>
  </si>
  <si>
    <t>FID_SORTTYPE</t>
  </si>
  <si>
    <t>0  顺序  1  逆序</t>
  </si>
  <si>
    <t>FID_BROWINDEX</t>
  </si>
  <si>
    <t>定位串，首次查询可以不送</t>
  </si>
  <si>
    <t>FID_ROWCOUNT</t>
  </si>
  <si>
    <t>每页查询记录数</t>
  </si>
  <si>
    <t>定位串</t>
  </si>
  <si>
    <t>发生日期</t>
  </si>
  <si>
    <t>FID_FSSJ</t>
  </si>
  <si>
    <t>发生时间</t>
  </si>
  <si>
    <t>科目</t>
  </si>
  <si>
    <t>FID_SRJE</t>
  </si>
  <si>
    <t>收入</t>
  </si>
  <si>
    <t>FID_FCJE</t>
  </si>
  <si>
    <t>付出</t>
  </si>
  <si>
    <t>FID_BCZJYE</t>
  </si>
  <si>
    <t>发生后资金余额</t>
  </si>
  <si>
    <t>发生额： FID_SRJE-FID_FCJE</t>
  </si>
  <si>
    <t>银行代码</t>
  </si>
  <si>
    <t>FID_YHZH</t>
  </si>
  <si>
    <t>银行账户</t>
  </si>
  <si>
    <t>资金号</t>
  </si>
  <si>
    <t>成功申请不代表转账成功</t>
  </si>
  <si>
    <t>C30</t>
  </si>
  <si>
    <t>FID_ZZJE</t>
  </si>
  <si>
    <t>转账金额，正数</t>
  </si>
  <si>
    <t>FID_WBZHMM</t>
  </si>
  <si>
    <t>银行密码</t>
  </si>
  <si>
    <t>FID_SQH</t>
  </si>
  <si>
    <t>申请号</t>
  </si>
  <si>
    <t>转账金额</t>
  </si>
  <si>
    <t>资金密码</t>
  </si>
  <si>
    <t>成功申请不代表查询成功</t>
  </si>
  <si>
    <t>转出方资金账户</t>
  </si>
  <si>
    <t>转入方资金账户</t>
  </si>
  <si>
    <t>转账说明</t>
  </si>
  <si>
    <t>FID_ZZXY</t>
  </si>
  <si>
    <t>T+1自动转账标志，1表示自动转账，默认为0，表示T+1要手工再发起证转银</t>
  </si>
  <si>
    <t>小于0表示发生错误</t>
  </si>
  <si>
    <t>FID_YYRQ</t>
  </si>
  <si>
    <t>预约日期</t>
  </si>
  <si>
    <t>FID_WBZH</t>
  </si>
  <si>
    <t>FID_YWLB</t>
  </si>
  <si>
    <t>业务类别，1银转证,2证转银,4查余额,8登记,16撤销,32冲银转证,
64冲证转银 128交易核实 剩下为其它业务</t>
  </si>
  <si>
    <t>本次资金余额或银行余额</t>
  </si>
  <si>
    <t>FID_SQSJ</t>
  </si>
  <si>
    <t>申请时间</t>
  </si>
  <si>
    <t>FID_CLJG</t>
  </si>
  <si>
    <t>处理结果：111表示成功，其它表示失败</t>
  </si>
  <si>
    <t>FID_JGSM</t>
  </si>
  <si>
    <t>处理说明</t>
  </si>
  <si>
    <t>FID_CXSQH</t>
  </si>
  <si>
    <t>原申请号，对冲正记录有效</t>
  </si>
  <si>
    <t>银行发起业务，只能B股转账有效</t>
  </si>
  <si>
    <t>FID_ZQDM</t>
  </si>
  <si>
    <t>标的证券</t>
  </si>
  <si>
    <t>FID_XQJG</t>
  </si>
  <si>
    <t>行权价格</t>
  </si>
  <si>
    <t>FID_XQBL</t>
  </si>
  <si>
    <t>行权比例</t>
  </si>
  <si>
    <t>FID_XQDM</t>
  </si>
  <si>
    <t>行权代码</t>
  </si>
  <si>
    <t>FID_QZDM</t>
  </si>
  <si>
    <t>权证代码</t>
  </si>
  <si>
    <t>资金帐号</t>
  </si>
  <si>
    <t>有效日期</t>
  </si>
  <si>
    <t>FID_SQRQ</t>
  </si>
  <si>
    <t>申请日期</t>
  </si>
  <si>
    <t>FID_CKZE</t>
  </si>
  <si>
    <t>存款总额限制</t>
  </si>
  <si>
    <t>取款总额限制</t>
  </si>
  <si>
    <t>证券代码</t>
  </si>
  <si>
    <t>交易所，可不送</t>
  </si>
  <si>
    <t>FID_ZQMC</t>
  </si>
  <si>
    <t>证券名称</t>
  </si>
  <si>
    <t>FID_JYDW</t>
  </si>
  <si>
    <t>数量单位，只对债券有效，10表示手，1表示张（近期将全改为张）</t>
  </si>
  <si>
    <t>FID_TPBZ</t>
  </si>
  <si>
    <t>1:停牌  0:正常</t>
  </si>
  <si>
    <t>FID_ZXJ</t>
  </si>
  <si>
    <t>最新价</t>
  </si>
  <si>
    <t>FID_ZSP</t>
  </si>
  <si>
    <t>昨收盘</t>
  </si>
  <si>
    <t>FID_JKP</t>
  </si>
  <si>
    <t>今开盘</t>
  </si>
  <si>
    <t>FID_JYJW</t>
  </si>
  <si>
    <t>交易价位，比如0.01表示1分，0.005则表示报价间隔是5厘。</t>
  </si>
  <si>
    <t>FID_JJJYBZ</t>
  </si>
  <si>
    <t>是否净价交易，一般债券为净价交易，1表示净价，0表示否</t>
  </si>
  <si>
    <t>FID_LXBJ</t>
  </si>
  <si>
    <t>债券利息报价</t>
  </si>
  <si>
    <t>FID_ZDBJ</t>
  </si>
  <si>
    <t>最低报价</t>
  </si>
  <si>
    <t>FID_ZGBJ</t>
  </si>
  <si>
    <t>最高报价</t>
  </si>
  <si>
    <t>FID_CJSL</t>
  </si>
  <si>
    <t>总成交数量</t>
  </si>
  <si>
    <t>FID_CJJE</t>
  </si>
  <si>
    <t>总成交金额</t>
  </si>
  <si>
    <t>FID_ZXZS</t>
  </si>
  <si>
    <t>本市场综合指数</t>
  </si>
  <si>
    <t>FID_MRJG1</t>
  </si>
  <si>
    <t>买价1</t>
  </si>
  <si>
    <t>FID_MRJG2</t>
  </si>
  <si>
    <t>买价2</t>
  </si>
  <si>
    <t>FID_MRJG3</t>
  </si>
  <si>
    <t>买价3</t>
  </si>
  <si>
    <t>FID_MRJG4</t>
  </si>
  <si>
    <t>买价4</t>
  </si>
  <si>
    <t>FID_MRJG5</t>
  </si>
  <si>
    <t>买价5</t>
  </si>
  <si>
    <t>FID_MCJG1</t>
  </si>
  <si>
    <t>卖价1</t>
  </si>
  <si>
    <t>FID_MCJG2</t>
  </si>
  <si>
    <t>卖价2</t>
  </si>
  <si>
    <t>FID_MCJG3</t>
  </si>
  <si>
    <t>卖价3</t>
  </si>
  <si>
    <t>FID_MCJG4</t>
  </si>
  <si>
    <t>卖价4</t>
  </si>
  <si>
    <t>FID_MCJG5</t>
  </si>
  <si>
    <t>卖价5</t>
  </si>
  <si>
    <t>FID_MRSL1</t>
  </si>
  <si>
    <t>买量1</t>
  </si>
  <si>
    <t>FID_MRSL2</t>
  </si>
  <si>
    <t>买量2</t>
  </si>
  <si>
    <t>FID_MRSL3</t>
  </si>
  <si>
    <t>买量3</t>
  </si>
  <si>
    <t>FID_MRSL4</t>
  </si>
  <si>
    <t>买量4</t>
  </si>
  <si>
    <t>FID_MRSL5</t>
  </si>
  <si>
    <t>买量5</t>
  </si>
  <si>
    <t>FID_MCSL1</t>
  </si>
  <si>
    <t>卖量1</t>
  </si>
  <si>
    <t>FID_MCSL2</t>
  </si>
  <si>
    <t>卖量2</t>
  </si>
  <si>
    <t>FID_MCSL3</t>
  </si>
  <si>
    <t>卖量3</t>
  </si>
  <si>
    <t>FID_MCSL4</t>
  </si>
  <si>
    <t>卖量4</t>
  </si>
  <si>
    <t>FID_MCSL5</t>
  </si>
  <si>
    <t>卖量5</t>
  </si>
  <si>
    <t>FID_ZQLB</t>
  </si>
  <si>
    <t>证券类别</t>
  </si>
  <si>
    <t>FID_GDFJQX</t>
  </si>
  <si>
    <t>股东附加权限：101 报价回购 102 约定购回 103 转融通证券出借</t>
  </si>
  <si>
    <t>FID_ZT</t>
  </si>
  <si>
    <t>权限状态</t>
  </si>
  <si>
    <t>FID_CJRQ</t>
  </si>
  <si>
    <t>首次交易日期</t>
  </si>
  <si>
    <t>FID_KHRQ</t>
  </si>
  <si>
    <t>开户日期</t>
  </si>
  <si>
    <t>FID_XHRQ</t>
  </si>
  <si>
    <t>销户日期</t>
  </si>
  <si>
    <t>FID_JJDM</t>
  </si>
  <si>
    <t>基金代码</t>
  </si>
  <si>
    <t>FID_SGDM</t>
  </si>
  <si>
    <t>申购赎回代码</t>
  </si>
  <si>
    <t>FID_JJMC</t>
  </si>
  <si>
    <t>基金简称</t>
  </si>
  <si>
    <t>FID_RGDM</t>
  </si>
  <si>
    <t>认购代码</t>
  </si>
  <si>
    <t>FID_COUNT</t>
  </si>
  <si>
    <t>成份股个数</t>
  </si>
  <si>
    <t>FID_XJTDBL</t>
  </si>
  <si>
    <t>最高现金替代比例</t>
  </si>
  <si>
    <t>FID_SGSHZT</t>
  </si>
  <si>
    <t>状态，0禁止申赎 1允许申赎</t>
  </si>
  <si>
    <t>FID_TZDW</t>
  </si>
  <si>
    <t>篮子单位，比如100万</t>
  </si>
  <si>
    <t>FID_XJCE</t>
  </si>
  <si>
    <t>预估现金差额</t>
  </si>
  <si>
    <t>FID_SGSHDWJZ</t>
  </si>
  <si>
    <t>上日篮子净值</t>
  </si>
  <si>
    <t>成份股证券代码</t>
  </si>
  <si>
    <t>成份股交易所</t>
  </si>
  <si>
    <t>成份股名称</t>
  </si>
  <si>
    <t>FID_ZQSL</t>
  </si>
  <si>
    <t>成份股数量</t>
  </si>
  <si>
    <t>FID_TDBZ</t>
  </si>
  <si>
    <t>替代标志 0股票 1可用现金 2必须现金 3现金溢价</t>
  </si>
  <si>
    <t>FID_TDJE</t>
  </si>
  <si>
    <t>替代金额</t>
  </si>
  <si>
    <t>FID_YJBL</t>
  </si>
  <si>
    <t>溢价比例</t>
  </si>
  <si>
    <t>FID_HYH</t>
  </si>
  <si>
    <t>自动约定号</t>
  </si>
  <si>
    <t>FID_WTLB</t>
  </si>
  <si>
    <t>交易类别：55意向买入，56意向卖出，57定价买入，58定价卖出，其它无效</t>
  </si>
  <si>
    <t>FID_XWH</t>
  </si>
  <si>
    <t>席位号</t>
  </si>
  <si>
    <t>FID_WTSL</t>
  </si>
  <si>
    <t>委托数量</t>
  </si>
  <si>
    <t>FID_WTJG</t>
  </si>
  <si>
    <t>委托价格</t>
  </si>
  <si>
    <t>状态：1表示有效记录，0表示无效记录</t>
  </si>
  <si>
    <t>FID_USERID</t>
  </si>
  <si>
    <t>用户代码</t>
  </si>
  <si>
    <t>FID_USERNAME</t>
  </si>
  <si>
    <t>用户名称</t>
  </si>
  <si>
    <t>股东附加权限:101 报价回购， 102 约定购回  103转融通证券出借</t>
  </si>
  <si>
    <t>主股东号标志，1表示主股东号，其它为辅助股东号</t>
  </si>
  <si>
    <t>FID_JYQX</t>
  </si>
  <si>
    <t>股东交易权限</t>
  </si>
  <si>
    <t>客户姓名</t>
  </si>
  <si>
    <t>FID_GDXM</t>
  </si>
  <si>
    <t>股东姓名</t>
  </si>
  <si>
    <t>只返回满足条件的其中一条客户信息</t>
  </si>
  <si>
    <t>0  不扩展  1  查询扩展信息</t>
  </si>
  <si>
    <t>数量</t>
  </si>
  <si>
    <t>FID_DRMCWTSL</t>
  </si>
  <si>
    <t>当天卖出冻结</t>
  </si>
  <si>
    <t>FID_DRMRCJSL</t>
  </si>
  <si>
    <t>当天买入成交</t>
  </si>
  <si>
    <t>FID_DRMCCJSL</t>
  </si>
  <si>
    <t>当天卖出成交</t>
  </si>
  <si>
    <t>FID_KSHSL</t>
  </si>
  <si>
    <t>可赎回数量(对ETF基金)</t>
  </si>
  <si>
    <t>FID_KSGSL</t>
  </si>
  <si>
    <t>可申购数量(对成份股)</t>
  </si>
  <si>
    <t>FID_KMCSL</t>
  </si>
  <si>
    <t>可卖出数量</t>
  </si>
  <si>
    <t>FID_DJSL</t>
  </si>
  <si>
    <t>其它冻结</t>
  </si>
  <si>
    <t>FID_FLTSL</t>
  </si>
  <si>
    <t>非流通数量</t>
  </si>
  <si>
    <t>FID_JCCL</t>
  </si>
  <si>
    <t>当前持仓数量，包括了当天买入成交及卖出成交部分</t>
  </si>
  <si>
    <t>FID_WJSSL</t>
  </si>
  <si>
    <t>非交收数量</t>
  </si>
  <si>
    <t>FID_KCRQ</t>
  </si>
  <si>
    <t>开仓日期</t>
  </si>
  <si>
    <t>FID_EXFLG=1时有效，最新市值</t>
  </si>
  <si>
    <t>FID_EXFLG=1时有效，数量单位，对债券有效，1表示张，10表示手</t>
  </si>
  <si>
    <t>FID_EXFLG=1时有效，最新价</t>
  </si>
  <si>
    <t>FID_EXFLG=1时有效，利息报价，对债券有效</t>
  </si>
  <si>
    <t>FID_MRJJ</t>
  </si>
  <si>
    <t>FID_EXFLG=1时有效，买入均价</t>
  </si>
  <si>
    <t>FID_CCJJ</t>
  </si>
  <si>
    <t>成本算法一</t>
  </si>
  <si>
    <t>FID_EXFLG=1时有效，成本价(卖出不影响成本价的算法)</t>
  </si>
  <si>
    <t>FID_BBJ</t>
  </si>
  <si>
    <t>FID_EXFLG=1时有效，保本价（考虑了按当前渠道卖出的费用）</t>
  </si>
  <si>
    <t>FID_FDYK</t>
  </si>
  <si>
    <t>FID_EXFLG=1时有效，浮动盈亏（市价与保本价的计算结果）</t>
  </si>
  <si>
    <t>FID_LJYK</t>
  </si>
  <si>
    <t>FID_EXFLG=1时有效，累计盈亏（未卖出的浮动盈亏+卖出部分实现的盈亏）</t>
  </si>
  <si>
    <t>FID_TBCBJ</t>
  </si>
  <si>
    <t>成本算法二</t>
  </si>
  <si>
    <t>FID_EXFLG=1时有效，摊薄成本价(卖出要摊薄成本的算法)</t>
  </si>
  <si>
    <t>FID_TBBBJ</t>
  </si>
  <si>
    <t>FID_EXFLG=1时有效，摊薄保本价（考虑了当前渠道卖出的费用）</t>
  </si>
  <si>
    <t>FID_TBFDYK</t>
  </si>
  <si>
    <t>FID_EXFLG=1时有效，摊薄浮动盈亏</t>
  </si>
  <si>
    <t>客户营业部（只是为了提高查询效率，交易密码检验时会返回它）</t>
  </si>
  <si>
    <t>客户群组（只是为了提高查询效率，交易密码检验时会返回它）</t>
  </si>
  <si>
    <t>FID_JYLB</t>
  </si>
  <si>
    <t>买卖方向：1买入，2卖出</t>
  </si>
  <si>
    <t>FID_DJJSFS</t>
  </si>
  <si>
    <t>佣金计算方式，1佣金折扣，2净佣金折扣(证管费经手费不折扣)，3佣金率</t>
  </si>
  <si>
    <t>FID_YJZKBL</t>
  </si>
  <si>
    <t>佣金折扣率或佣金率，含义由 FID_DJJSFS决定</t>
  </si>
  <si>
    <t>FID_YJXX</t>
  </si>
  <si>
    <t>折扣后实收佣金下限，为0表示不设置上限</t>
  </si>
  <si>
    <t>FID_YJSX</t>
  </si>
  <si>
    <t>折扣后实收佣金上限，为0表示不设置上限</t>
  </si>
  <si>
    <t>客户所属营业部</t>
  </si>
  <si>
    <t>客户群组</t>
  </si>
  <si>
    <t>交易权限(1 基本交易权限 2 回购融资 4 回购融券 8 ETF申赎 16 权证交易 32 三板报价转让 64 创业板128 债券专业投资 512 退市警示)</t>
  </si>
  <si>
    <t>用于客户买入委托前调用，由后台判断该客户是否适合投资该证券，若不适合，可以直接根据FID_MESSAGE信息来提示客户是否继续委托。</t>
  </si>
  <si>
    <t>返回1表示该客户适合投资该证券，0表示不适合，其它为错误</t>
  </si>
  <si>
    <t>提示信息</t>
  </si>
  <si>
    <t>交易类别，见数据字典，常用的就是1买入，2卖出，4融资，5融券等</t>
  </si>
  <si>
    <t>委托价格，当订单类型为0时，此价格无效</t>
  </si>
  <si>
    <t>FID_DDLX</t>
  </si>
  <si>
    <t>订单类型，默认为0，为1时表示市价订单，委托价格自动按涨停价计算</t>
  </si>
  <si>
    <t>可委托数量</t>
  </si>
  <si>
    <t>交易类别：1买入  2 卖出其他请参考交易类别说明</t>
  </si>
  <si>
    <t>委托价格，对普通回购表示年利率</t>
  </si>
  <si>
    <t>订单类型:0限价,1最优5档剩余撤单,2最优5档剩下转限价等，FLDM=DDLX</t>
  </si>
  <si>
    <t>FID_DDYXRQ</t>
  </si>
  <si>
    <t>订单有效日期，大于当天为有效值。</t>
  </si>
  <si>
    <t>FID_HGRQ</t>
  </si>
  <si>
    <r>
      <rPr>
        <sz val="10.5"/>
        <rFont val="宋体"/>
        <family val="3"/>
        <charset val="134"/>
      </rPr>
      <t>报价回购日期，</t>
    </r>
    <r>
      <rPr>
        <sz val="10.5"/>
        <color indexed="10"/>
        <rFont val="宋体"/>
        <family val="3"/>
        <charset val="134"/>
      </rPr>
      <t>对于JYLB是36时需要送入</t>
    </r>
  </si>
  <si>
    <t>FID_CJBH</t>
  </si>
  <si>
    <r>
      <rPr>
        <sz val="10.5"/>
        <rFont val="宋体"/>
        <family val="3"/>
        <charset val="134"/>
      </rPr>
      <t>成交编号，</t>
    </r>
    <r>
      <rPr>
        <sz val="10.5"/>
        <color indexed="10"/>
        <rFont val="宋体"/>
        <family val="3"/>
        <charset val="134"/>
      </rPr>
      <t>对于JYLB是36时需要送入</t>
    </r>
  </si>
  <si>
    <t>自动约定号，对大宗交易、协议转让时可能需要输入</t>
  </si>
  <si>
    <t>FID_DFXW</t>
  </si>
  <si>
    <t>对方席位，对大宗交易、协议转让时可能需要输入</t>
  </si>
  <si>
    <t>FID_DFGDH</t>
  </si>
  <si>
    <t>对方股东号，对大宗交易、协议转让时可能需要输入</t>
  </si>
  <si>
    <t>FID_WTPCH</t>
  </si>
  <si>
    <t>批次号</t>
  </si>
  <si>
    <t>FID_DDJYXZ</t>
  </si>
  <si>
    <t>订单交易指令限制，详见数据字典中相关描述</t>
  </si>
  <si>
    <t>FID_DDSXXZ</t>
  </si>
  <si>
    <t>订单时效限制，详见数据字典中相关描述</t>
  </si>
  <si>
    <t>FID_WTH</t>
  </si>
  <si>
    <t>委托号，一般是数字类型</t>
  </si>
  <si>
    <t>委托号</t>
  </si>
  <si>
    <t>多笔委托同时下单，提高委托速度，最多暂时支持60笔，其中订单类型见字典 FLDM=DDLX,此处不再赘述。
FJXX固定由30个字节长度的信息串组成，即每30个字节长度代表一条委托信息(每个项目不足位数均用前补0方式)，最多组合60笔委托。</t>
  </si>
  <si>
    <t>笔数，不超过60</t>
  </si>
  <si>
    <t>FID_FJXX</t>
  </si>
  <si>
    <t>C[30的倍数]</t>
  </si>
  <si>
    <t>JYS(2位) ZQDM(6位) WTLB(1或2) WTJG(9个字节,9.3) WTSL(9个字节) 
订单类型(3个字节)</t>
  </si>
  <si>
    <t>委托批次号，未送时，本批次统一使用第一笔委托号作为批次号。</t>
  </si>
  <si>
    <t>只要有一笔成功，即返回正数</t>
  </si>
  <si>
    <t>委托成功笔数</t>
  </si>
  <si>
    <t>本次委托批次号</t>
  </si>
  <si>
    <t>FID_EN_WTH</t>
  </si>
  <si>
    <t>用逗号间隔的委托号，失败则为空，比如：1,2,,3,表示的是2笔失败3笔成功</t>
  </si>
  <si>
    <t>交易类别，见数据字典</t>
  </si>
  <si>
    <t>FID_SBBS</t>
  </si>
  <si>
    <t>成功申请撤单的笔数</t>
  </si>
  <si>
    <t>FID_CXBZ</t>
  </si>
  <si>
    <t>O  委托  W  撤单  A 所有(委托和撤单);默认取值</t>
  </si>
  <si>
    <t>委托批次号</t>
  </si>
  <si>
    <t>0 查询所有委托， 1表示只查询可以撤单的委托</t>
  </si>
  <si>
    <t>查询记录数</t>
  </si>
  <si>
    <t>定位串，首次查询可以送空</t>
  </si>
  <si>
    <t>撤销标志，W表示撤单记录，其它为委托记录</t>
  </si>
  <si>
    <t>订单类型，0表示限价订单，其它见数据字典，FLDM=DDLX</t>
  </si>
  <si>
    <t>FID_WTSJ</t>
  </si>
  <si>
    <t>委托时间</t>
  </si>
  <si>
    <t>FID_SBSJ</t>
  </si>
  <si>
    <t>申报时间</t>
  </si>
  <si>
    <t>FID_SBJG</t>
  </si>
  <si>
    <t>申报结果：0未申报，2已申报，5部分成功，6全部成交，8全部撤单，
其它见数据字典FLDM=WTSBJG</t>
  </si>
  <si>
    <t>结果说明</t>
  </si>
  <si>
    <t>FID_CDSL</t>
  </si>
  <si>
    <t>撤单数量</t>
  </si>
  <si>
    <t>成交数量</t>
  </si>
  <si>
    <t>成交金额</t>
  </si>
  <si>
    <t>FID_CJJG</t>
  </si>
  <si>
    <t>成交均价</t>
  </si>
  <si>
    <t>FID_QSZJ</t>
  </si>
  <si>
    <t>清算资金</t>
  </si>
  <si>
    <t>FID_NODE</t>
  </si>
  <si>
    <t>委托站点信息</t>
  </si>
  <si>
    <t>委托号，与申报委托号必须要送一个。</t>
  </si>
  <si>
    <t>FID_SBWTH</t>
  </si>
  <si>
    <t>申报委托号，与撤销标志要同时送，与委托号必须要送一个</t>
  </si>
  <si>
    <t>撤销标志，与申报委托号要同时送，O委托委托  W 撤单记录</t>
  </si>
  <si>
    <t>是否返回撤单记录，1表示要返回，默认不返回</t>
  </si>
  <si>
    <t>申报委托号</t>
  </si>
  <si>
    <t>撤销标志，O表示委托，W表示撤单记录</t>
  </si>
  <si>
    <t>成交价格</t>
  </si>
  <si>
    <t>委托号范围，多个委托号可以用逗号分隔</t>
  </si>
  <si>
    <t>定位串，首次查询可送空</t>
  </si>
  <si>
    <t>FID_QSJE</t>
  </si>
  <si>
    <t>清算金额</t>
  </si>
  <si>
    <t>FID_CJSJ</t>
  </si>
  <si>
    <t>成交时间</t>
  </si>
  <si>
    <t>成交编号</t>
  </si>
  <si>
    <t>0同时返回撤单记录1只返回成交的记录</t>
  </si>
  <si>
    <t>成交日期</t>
  </si>
  <si>
    <t>到期日期</t>
  </si>
  <si>
    <t>证券类别：H3质押式回购，H4报价回购</t>
  </si>
  <si>
    <t>交易类别，4回购融资，5回购融券(报价回购)</t>
  </si>
  <si>
    <t>FID_YSJE</t>
  </si>
  <si>
    <t>购回应收金额</t>
  </si>
  <si>
    <t>修改后，两种算法的成本价初始值一致</t>
  </si>
  <si>
    <t>成本价</t>
  </si>
  <si>
    <t>用于ETF网下股票认购、网下现金认购</t>
  </si>
  <si>
    <t>ETF认购代码</t>
  </si>
  <si>
    <t>32现金认购，33股票认购</t>
  </si>
  <si>
    <t>FID_RGSL</t>
  </si>
  <si>
    <t>现金认购金额，或者成份股数量</t>
  </si>
  <si>
    <t>网下股票认购时必须此参数，网下现金认购不需要</t>
  </si>
  <si>
    <t>委托开始日期</t>
  </si>
  <si>
    <t>委托结束日期</t>
  </si>
  <si>
    <t>FID_WTRQ</t>
  </si>
  <si>
    <t>委托日期</t>
  </si>
  <si>
    <t>交易类别：32 网下现金认购 33 网下股票认购</t>
  </si>
  <si>
    <t>FID_RGJE</t>
  </si>
  <si>
    <t>网下现金认购有意义：认购金额</t>
  </si>
  <si>
    <t>网下股票认购有意义：股票代码</t>
  </si>
  <si>
    <t>网下股票认购有意义：股票数量</t>
  </si>
  <si>
    <t>网下股票认购有意义：股票名称</t>
  </si>
  <si>
    <t>FID_SXF</t>
  </si>
  <si>
    <t>手续费</t>
  </si>
  <si>
    <t>IP或MAC地址</t>
  </si>
  <si>
    <t>客户对应指定ETF基金下成份股的持仓情况。</t>
  </si>
  <si>
    <t>默认为0表示无持仓不返回对应记录，为1则表示返回所有记录</t>
  </si>
  <si>
    <t>FID_PLWTPCH</t>
  </si>
  <si>
    <t>最新市值</t>
  </si>
  <si>
    <t>买入均价</t>
  </si>
  <si>
    <t>成本价(卖出不影响成本价的算法)</t>
  </si>
  <si>
    <t>保本价（考虑了按当前渠道卖出的费用）</t>
  </si>
  <si>
    <t>浮动盈亏（市价与保本价的计算结果）</t>
  </si>
  <si>
    <t>累计盈亏（未卖出的浮动盈亏+卖出部分实现的盈亏）</t>
  </si>
  <si>
    <t>摊薄成本价(卖出要摊薄成本的算法)</t>
  </si>
  <si>
    <t>摊薄保本价（考虑了当前渠道卖出的费用）</t>
  </si>
  <si>
    <t>摊薄浮动盈亏</t>
  </si>
  <si>
    <t>委托类别</t>
  </si>
  <si>
    <t>FID_YDH</t>
  </si>
  <si>
    <t>记录号</t>
  </si>
  <si>
    <t>FID_PBU</t>
  </si>
  <si>
    <t>交易单元</t>
  </si>
  <si>
    <t>申报数量</t>
  </si>
  <si>
    <t>申报价格</t>
  </si>
  <si>
    <t>FID_LXR</t>
  </si>
  <si>
    <t>联系人</t>
  </si>
  <si>
    <t>FID_LXFS</t>
  </si>
  <si>
    <t>联系方式</t>
  </si>
  <si>
    <t>成交约定号</t>
  </si>
  <si>
    <t>业务类别</t>
  </si>
  <si>
    <t>FID_IBY</t>
  </si>
  <si>
    <t>备用字段</t>
  </si>
  <si>
    <t>FID_LX</t>
  </si>
  <si>
    <t>数据类型</t>
  </si>
  <si>
    <t>FID_HGDM</t>
  </si>
  <si>
    <t>回购代码</t>
  </si>
  <si>
    <t>FID_HGMC</t>
  </si>
  <si>
    <t>回购名称</t>
  </si>
  <si>
    <t>FID_DQLL</t>
  </si>
  <si>
    <t>到期利率</t>
  </si>
  <si>
    <t>FID_TQLL</t>
  </si>
  <si>
    <t>提前终止利率</t>
  </si>
  <si>
    <t>FID_HGTS</t>
  </si>
  <si>
    <t>回购天数</t>
  </si>
  <si>
    <t>未来时间自动进行报价回购委托的客户信息，主要包括一天期自动续约客户信息及大额提前终止预约客户信息。</t>
  </si>
  <si>
    <t>FID_CLBZ</t>
  </si>
  <si>
    <t>处理标识：暂时要送0，否则会查到无效的记录</t>
  </si>
  <si>
    <t>FID_DEBS</t>
  </si>
  <si>
    <t>数据标识：0表示一天期自动续约客户信息，1表示大额提前终止预约客户</t>
  </si>
  <si>
    <t>FID_SEQNO</t>
  </si>
  <si>
    <t>预约号</t>
  </si>
  <si>
    <t>CLBZ为0时，表示最近一笔续做委托日期，CLBZ为1表示原委托日期</t>
  </si>
  <si>
    <t>CLBZ为0时，表示最近一笔续做委托号，CLBZ为1表示原成交编号</t>
  </si>
  <si>
    <t>交易类别：DEBS为0时，WTLB=5，DEBS为1时，WTLB=36</t>
  </si>
  <si>
    <t>委托价格：CLBZ为0时表示当前回购价格，CLBZ为1时表示当时提前终止价格</t>
  </si>
  <si>
    <t>预约日期：CLBZ为0时，一般为下一交易日，CLBZ为1时，为预约日期</t>
  </si>
  <si>
    <t>用于大额提前赎回预约或大额提前赎回预约中止、自动续约中止。
大额提前赎回预约：先按304104查询有哪些报价回购未到期，如果通过204501无法正常提前终止，则需要通过本功能进行预约，YYLB=1；
中止预约：即大额提前赎回预约取消，先根据104042(DEBS=1)查询到有哪些提前赎回预约，再通过本功能进行中止，YYLB=3；
中止续约：即一天期报价回购取消续约，先根据104042(DEBS=0)查询到有哪些提前赎回预约，再通过本功能进行中止，YYLB=3；</t>
  </si>
  <si>
    <t>FID_YYLB</t>
  </si>
  <si>
    <t>业务类别：1表示大额提前赎回预约， 3表示中止预约或中止续约</t>
  </si>
  <si>
    <t>提前终止预约
要送</t>
  </si>
  <si>
    <t>YYLB=1时要送，交易类别，暂时送36</t>
  </si>
  <si>
    <t>YYLB=1时要送，原委托日期</t>
  </si>
  <si>
    <t>YYLB=1时要送，原成交编号</t>
  </si>
  <si>
    <t>YYLB=1时要送，预约购回日期</t>
  </si>
  <si>
    <t>中止预(续)约</t>
  </si>
  <si>
    <t>YYLB=3时要送，预约号</t>
  </si>
  <si>
    <t>FID_TADM</t>
  </si>
  <si>
    <t>TA编码</t>
  </si>
  <si>
    <t>基金公司简称</t>
  </si>
  <si>
    <t>FID_JGMC</t>
  </si>
  <si>
    <t>基金公司名称</t>
  </si>
  <si>
    <t>FID_JJFXDJ</t>
  </si>
  <si>
    <t>风险等级， 见数据字典FLDM=OF_JJFXDJ</t>
  </si>
  <si>
    <t>FID_LCCPBZ</t>
  </si>
  <si>
    <t>理财分类， 见数据字典FLDM=OF_LCCPBZ</t>
  </si>
  <si>
    <t>FID_JJJC</t>
  </si>
  <si>
    <t>FID_JJQC</t>
  </si>
  <si>
    <t>基金全称</t>
  </si>
  <si>
    <t>FID_JJJZ</t>
  </si>
  <si>
    <t>基金净值</t>
  </si>
  <si>
    <t>FID_SFFS</t>
  </si>
  <si>
    <t>可多选：1前端收费，2后端收费，4C类收费， 比如3表示支持前、后端收费</t>
  </si>
  <si>
    <t>FID_LJJZ</t>
  </si>
  <si>
    <t>累计净值</t>
  </si>
  <si>
    <t>FID_MWFSY</t>
  </si>
  <si>
    <t>每万份收益</t>
  </si>
  <si>
    <t>FID_NSYL</t>
  </si>
  <si>
    <t>年化收益率</t>
  </si>
  <si>
    <t>股东号（中登开户时有效）</t>
  </si>
  <si>
    <t>用于客户认购申购委托前调用，由后台判断该客户是否适合投资该基金，若不适合，可以直接根据FID_MESSAGE信息来提示客户是否继续委托。</t>
  </si>
  <si>
    <t>FID_JJZH</t>
  </si>
  <si>
    <t>基金账户</t>
  </si>
  <si>
    <t>收费方式：1前端收费 2后端收费 4C类收费</t>
  </si>
  <si>
    <t>FID_FHFS</t>
  </si>
  <si>
    <t>分红方式：1再投资，2现金分红</t>
  </si>
  <si>
    <t>FID_JJSL</t>
  </si>
  <si>
    <t>基金数量</t>
  </si>
  <si>
    <t>FID_KYSL</t>
  </si>
  <si>
    <t>可用数量</t>
  </si>
  <si>
    <t>市值</t>
  </si>
  <si>
    <t>基金公司代码</t>
  </si>
  <si>
    <t>FID_YWDM</t>
  </si>
  <si>
    <t>业务代码：020认购，022申购，024赎回</t>
  </si>
  <si>
    <t>收费方式：1前端，2后端，4C类收费</t>
  </si>
  <si>
    <t>FID_WTJE</t>
  </si>
  <si>
    <t>认购申购时表示金额，赎回时，为委托份额</t>
  </si>
  <si>
    <t>赎回申请时有效，巨额赎回处理方式，0表示取消，1表示自动顺延</t>
  </si>
  <si>
    <t>源基金代码</t>
  </si>
  <si>
    <t>源基金收费方式：1前端，2后端，4C类收费</t>
  </si>
  <si>
    <t>FID_WTFE</t>
  </si>
  <si>
    <t>转换转出份额</t>
  </si>
  <si>
    <t>FID_DFJJDM</t>
  </si>
  <si>
    <t>目标基金代码</t>
  </si>
  <si>
    <t>FID_DFSFFS</t>
  </si>
  <si>
    <t>目标基金收费方式：1前端，2后端，4C类收费</t>
  </si>
  <si>
    <t>业务代码，暂时必须送036</t>
  </si>
  <si>
    <t>业务代码，参照标准业务代码，此处不赘述</t>
  </si>
  <si>
    <t>委托份额</t>
  </si>
  <si>
    <t>委托金额</t>
  </si>
  <si>
    <t>委托结果：-1已撤单，其它为正常记录</t>
  </si>
  <si>
    <t>目标基金代码：基金转换时有效</t>
  </si>
  <si>
    <t>目标基金收费方式：基金转换时有效，1前端，2后端，4C类收费</t>
  </si>
  <si>
    <t>分红方式：设置分红方式时有效：1再投资，2现金分红</t>
  </si>
  <si>
    <t>巨额赎回处理方式：0取消，1顺延。 赎回委托时有效</t>
  </si>
  <si>
    <t>FID_PZDM</t>
  </si>
  <si>
    <t>品种代码</t>
  </si>
  <si>
    <t>FID_NOTE</t>
  </si>
  <si>
    <t>名称</t>
  </si>
  <si>
    <t>每月扣款日</t>
  </si>
  <si>
    <t>有效标志：1表示只查询有效记录，默认查询所有记录</t>
  </si>
  <si>
    <t>FID_XYBH</t>
  </si>
  <si>
    <t>协议编号</t>
  </si>
  <si>
    <t>FID_MYKKRQ</t>
  </si>
  <si>
    <t>有效日期开始</t>
  </si>
  <si>
    <t>有效日期结束</t>
  </si>
  <si>
    <t>状态： 0正常，1终止，2已终止，10本月已扣款，见字典FLDM=OF_DQDEXYZT</t>
  </si>
  <si>
    <t>FID_SGJE</t>
  </si>
  <si>
    <t>每次投资金额</t>
  </si>
  <si>
    <t>C256</t>
  </si>
  <si>
    <t>开始日期</t>
  </si>
  <si>
    <t>结束日期</t>
  </si>
  <si>
    <t>开通日期</t>
  </si>
  <si>
    <t>开通时间</t>
  </si>
  <si>
    <t>状态：0待审核，1已审核，2待补正</t>
  </si>
  <si>
    <t>FID_ZJKZED</t>
  </si>
  <si>
    <t>增值计划保留额度</t>
  </si>
  <si>
    <t>FID_ZDXY</t>
  </si>
  <si>
    <t>现金宝参与方式（0手动参与，1自动参与）</t>
  </si>
  <si>
    <t>FID_DQRQ</t>
  </si>
  <si>
    <t>保留额度截至日期</t>
  </si>
  <si>
    <t>FID_HYZ</t>
  </si>
  <si>
    <t>激活状态(详见“数据字典”标签页"OF_LCCPJHZT"项)</t>
  </si>
  <si>
    <t>FID_HBSMJG</t>
  </si>
  <si>
    <t>确认说明</t>
  </si>
  <si>
    <t>有些参数不太合理，暂时按以下约定方式处理，后台升级后不再需要送红色部分参数</t>
  </si>
  <si>
    <t>客户营业部，暂时需要此参数，密码检验成功后有返回此字段</t>
  </si>
  <si>
    <t>客户群组，暂时需要此参数，密码检验成功后有返回此字段</t>
  </si>
  <si>
    <t>FID_ZDKZBZ</t>
  </si>
  <si>
    <t>暂时必须送1</t>
  </si>
  <si>
    <t>FID_SQWD</t>
  </si>
  <si>
    <t>C64</t>
  </si>
  <si>
    <t>暂时送MAC地址</t>
  </si>
  <si>
    <t>FID_WDH</t>
  </si>
  <si>
    <t>暂时送客户营业部</t>
  </si>
  <si>
    <t>基金风险等级，暂时要送，基金信息查询时会返回该字段</t>
  </si>
  <si>
    <t>FID_KHQR</t>
  </si>
  <si>
    <t>客户风险承受能力，暂时要送，密码检验成功后有返回此字段(FID_TZZFL)</t>
  </si>
  <si>
    <t>FID_FXJB</t>
  </si>
  <si>
    <t>暂时送1</t>
  </si>
  <si>
    <t>结束日期   ( 0自动    其他不支持)</t>
  </si>
  <si>
    <t>签署途径（0柜台，1电话，2互联网，3其他）</t>
  </si>
  <si>
    <t>协议编号(注意，305209中查询返回的是 FID_WTH 对应此字段)</t>
  </si>
  <si>
    <t>FID_XYDJ</t>
  </si>
  <si>
    <t>信用等级</t>
  </si>
  <si>
    <t>FID_SZSM</t>
  </si>
  <si>
    <t>等级名称</t>
  </si>
  <si>
    <t>信用等级说明</t>
  </si>
  <si>
    <t>FID_ZF</t>
  </si>
  <si>
    <t>评级总分</t>
  </si>
  <si>
    <t>登记日期</t>
  </si>
  <si>
    <t>合同状态，0有效合同，其它为无效合同</t>
  </si>
  <si>
    <t>FID_RZED</t>
  </si>
  <si>
    <t>融资额度</t>
  </si>
  <si>
    <t>FID_RQED</t>
  </si>
  <si>
    <t>融券额度</t>
  </si>
  <si>
    <t>FID_RZXYED</t>
  </si>
  <si>
    <t>融资授信额度</t>
  </si>
  <si>
    <t>FID_RQXYED</t>
  </si>
  <si>
    <t>融券授信额度</t>
  </si>
  <si>
    <t>FID_RZJE</t>
  </si>
  <si>
    <t>融资金额</t>
  </si>
  <si>
    <t>FID_RQJE</t>
  </si>
  <si>
    <t>融券金额</t>
  </si>
  <si>
    <t>FID_RZYJLX</t>
  </si>
  <si>
    <t>融资预计利息</t>
  </si>
  <si>
    <t>FID_RQYJLX</t>
  </si>
  <si>
    <t>融券预计利息</t>
  </si>
  <si>
    <t>保证金比例方式（0：非个性化 1：个性化）</t>
  </si>
  <si>
    <t>FID_RZJEBL</t>
  </si>
  <si>
    <t>融资比例(个性化融资比例）</t>
  </si>
  <si>
    <t>FID_RQJEBL</t>
  </si>
  <si>
    <t>融券比例(个性化融券比例）</t>
  </si>
  <si>
    <t>FID_LLLX</t>
  </si>
  <si>
    <t>利率类型：1额度利率(按申请额度为积数),2使用利率(按实际使用为积数)</t>
  </si>
  <si>
    <t>业务类别，0表示追加额度，1表示降低额度</t>
  </si>
  <si>
    <t>申请融资授信额度，正数</t>
  </si>
  <si>
    <t>申请融券授信额度，正数</t>
  </si>
  <si>
    <t>业务类别，1终止融资授信额度，2终止融券授信额度</t>
  </si>
  <si>
    <t>融资申请授信</t>
  </si>
  <si>
    <t>融券申请授信</t>
  </si>
  <si>
    <t xml:space="preserve">C </t>
  </si>
  <si>
    <t>FID_SXLB</t>
  </si>
  <si>
    <t>证券属性</t>
  </si>
  <si>
    <t>FID_JYZT</t>
  </si>
  <si>
    <t>交易状态</t>
  </si>
  <si>
    <t>扩展标志</t>
  </si>
  <si>
    <t>证券属性：1融资标的，2融券标的，4担保证券。多值累加表达方式。</t>
  </si>
  <si>
    <t>FID_XTZT</t>
  </si>
  <si>
    <t>状态：1-当日禁止融资；2-当日禁止融券</t>
  </si>
  <si>
    <t>FID_ZJBL</t>
  </si>
  <si>
    <t>融资保证金比例</t>
  </si>
  <si>
    <t>融券保证金比例</t>
  </si>
  <si>
    <t>交易状态：1调出融资标的，2调出融券标的，4调出担保物</t>
  </si>
  <si>
    <t>FID_JYLBFW</t>
  </si>
  <si>
    <t>交易类别限制：交易类别（61，63，64，65，66，70）的组合</t>
  </si>
  <si>
    <t>FID_DYBL</t>
  </si>
  <si>
    <t>公司折算比例</t>
  </si>
  <si>
    <t>公司融资比例</t>
  </si>
  <si>
    <t>公司融券比例</t>
  </si>
  <si>
    <t>FID_GRZGCYBL</t>
  </si>
  <si>
    <t>标准融资比例（交易所）</t>
  </si>
  <si>
    <t>FID_JGZGCYBL</t>
  </si>
  <si>
    <t>标准融券比例（交易所）</t>
  </si>
  <si>
    <t>FID_ZCBL</t>
  </si>
  <si>
    <t>标准折算比例（交易所）</t>
  </si>
  <si>
    <t>FID_RZLV</t>
  </si>
  <si>
    <t>实际折算率</t>
  </si>
  <si>
    <t>实际融资比例</t>
  </si>
  <si>
    <t>实际融券比例</t>
  </si>
  <si>
    <t>客户号（非必须）</t>
  </si>
  <si>
    <t>类别（1返回所有融券证券；0：返回非白名单的券源，
加上FID_KHH对应的白名单券源）</t>
  </si>
  <si>
    <t>定位串，首次查询可不送或空</t>
  </si>
  <si>
    <t>当日融券卖出</t>
  </si>
  <si>
    <t>当前可融券数量</t>
  </si>
  <si>
    <t>FID_DXBS</t>
  </si>
  <si>
    <t>券源标识：1-自营证券；2-银行；3-其他；4-白名单；5-未设置券源标识</t>
  </si>
  <si>
    <t>标志：1增强查询，0普通查询</t>
  </si>
  <si>
    <t>返回码</t>
  </si>
  <si>
    <t>返回错误说明</t>
  </si>
  <si>
    <t>FID_BZJ</t>
  </si>
  <si>
    <t>可用保证金</t>
  </si>
  <si>
    <t>FID_BZJBL</t>
  </si>
  <si>
    <t>维持担保比例</t>
  </si>
  <si>
    <t>预计维持担保比例，考虑未成交的情况</t>
  </si>
  <si>
    <t>可用资金</t>
  </si>
  <si>
    <t>FID_ZQSZ</t>
  </si>
  <si>
    <t>证券市值</t>
  </si>
  <si>
    <t>FID_WJSJE</t>
  </si>
  <si>
    <t>当天担保证券提交市值</t>
  </si>
  <si>
    <t>FID_SZZR</t>
  </si>
  <si>
    <t>担保证券市值</t>
  </si>
  <si>
    <t>融资负债(已成交)</t>
  </si>
  <si>
    <t>融券负债(已成交)</t>
  </si>
  <si>
    <t>FID_RZWTJE</t>
  </si>
  <si>
    <t>融资负债(未成交)</t>
  </si>
  <si>
    <t>FID_RQWTJE</t>
  </si>
  <si>
    <t>融券负债(未成交)</t>
  </si>
  <si>
    <t>FID_SZZC</t>
  </si>
  <si>
    <t>融券归还(未成交)</t>
  </si>
  <si>
    <t>追补到比例线的资金差额</t>
  </si>
  <si>
    <t>FID_PCKZ</t>
  </si>
  <si>
    <t>需要平仓的金额</t>
  </si>
  <si>
    <t>需要主动平仓的金额</t>
  </si>
  <si>
    <t>可提资产标准</t>
  </si>
  <si>
    <t>可取资金</t>
  </si>
  <si>
    <t>总资产(不含未成交)</t>
  </si>
  <si>
    <t>FID_HLJE</t>
  </si>
  <si>
    <t>红利未过户金额</t>
  </si>
  <si>
    <t>FID_ZQSZ_RMB</t>
  </si>
  <si>
    <t>未过户市值</t>
  </si>
  <si>
    <t>FID_FZYE</t>
  </si>
  <si>
    <t>总负债(不含未成交)</t>
  </si>
  <si>
    <t>FID_XJZC</t>
  </si>
  <si>
    <t>净资产</t>
  </si>
  <si>
    <t>FID_BRBD</t>
  </si>
  <si>
    <t>本日卖出还款金额</t>
  </si>
  <si>
    <t>FID_YJLX</t>
  </si>
  <si>
    <t>预计利息/费用</t>
  </si>
  <si>
    <t>FID_DFLX</t>
  </si>
  <si>
    <t>占用利息</t>
  </si>
  <si>
    <t>FID_SYZCJE</t>
  </si>
  <si>
    <t>融资盈亏</t>
  </si>
  <si>
    <t>FID_SYZTZE</t>
  </si>
  <si>
    <t>融券盈亏</t>
  </si>
  <si>
    <t>FID_DKJE</t>
  </si>
  <si>
    <t>FID_RZFY</t>
  </si>
  <si>
    <t>融资费用</t>
  </si>
  <si>
    <t>FID_RQFY</t>
  </si>
  <si>
    <t>融券费用</t>
  </si>
  <si>
    <t>FID_HGRZSRJE</t>
  </si>
  <si>
    <t>融资当前市值</t>
  </si>
  <si>
    <t>FID_QTFXX</t>
  </si>
  <si>
    <t>融资占用保证金</t>
  </si>
  <si>
    <t>FID_QTFSX</t>
  </si>
  <si>
    <t>融券占用保证金</t>
  </si>
  <si>
    <t>FID_S5</t>
  </si>
  <si>
    <t>上海担保证券市值</t>
  </si>
  <si>
    <t>FID_S6</t>
  </si>
  <si>
    <t>深圳担保证券市值</t>
  </si>
  <si>
    <t>FID_MAX_D</t>
  </si>
  <si>
    <t>融资浮盈折算</t>
  </si>
  <si>
    <t>FID_MIN_D</t>
  </si>
  <si>
    <t>融资浮亏</t>
  </si>
  <si>
    <t>FID_MAX_L</t>
  </si>
  <si>
    <t>融券浮亏折算</t>
  </si>
  <si>
    <t>FID_MIN_L</t>
  </si>
  <si>
    <t>融券浮亏</t>
  </si>
  <si>
    <t>FID_RZLL</t>
  </si>
  <si>
    <t>FLAG=1时返回，融资利率</t>
  </si>
  <si>
    <t>FID_RQLL</t>
  </si>
  <si>
    <t>FLAG=1时返回，融券利率</t>
  </si>
  <si>
    <t>FLAG=1时返回，合同到期日</t>
  </si>
  <si>
    <t>FID_S1</t>
  </si>
  <si>
    <t>FLAG=1时返回，融资已用额度</t>
  </si>
  <si>
    <t>FID_S2</t>
  </si>
  <si>
    <t>FLAG=1时返回，融券已用额度</t>
  </si>
  <si>
    <t>FLAG=1时返回，融资授信额度</t>
  </si>
  <si>
    <t>FLAG=1时返回，融券授信额度</t>
  </si>
  <si>
    <t>FID_S3</t>
  </si>
  <si>
    <t>FLAG=1时返回，可买担保品资金</t>
  </si>
  <si>
    <t>FID_S4</t>
  </si>
  <si>
    <t>FLAG=1时返回，可还款金额</t>
  </si>
  <si>
    <t>FID_BZS1</t>
  </si>
  <si>
    <t>FLAG=1时返回，融券剩余资金</t>
  </si>
  <si>
    <t>交易类别：参见字典说明</t>
  </si>
  <si>
    <t>委托价格，订单类型为1时则被忽略</t>
  </si>
  <si>
    <t>FID_SBGDH</t>
  </si>
  <si>
    <t>A股股东号</t>
  </si>
  <si>
    <t>指定负债编号，用于指定平仓</t>
  </si>
  <si>
    <t>信用股东号</t>
  </si>
  <si>
    <t>交易类别：1(或65)转入信用账户、2(或66)转出信用账户。</t>
  </si>
  <si>
    <t>划转数量</t>
  </si>
  <si>
    <t>指定负债编号，用于指定负债的余券划转</t>
  </si>
  <si>
    <t>还券数量</t>
  </si>
  <si>
    <t>指定负债编号，用于指定负债的还券划转</t>
  </si>
  <si>
    <t>信用资金账户</t>
  </si>
  <si>
    <t>FID_GHJE</t>
  </si>
  <si>
    <t>偿还金额</t>
  </si>
  <si>
    <t>指定负债编号，用于指定负债的直接还款</t>
  </si>
  <si>
    <t>指定负债编号</t>
  </si>
  <si>
    <t>替代价格</t>
  </si>
  <si>
    <t>交易类别：1买入、2卖出、62卖券还款、63买券还券</t>
  </si>
  <si>
    <t>订单类型，默认为0表示限价订单，市价订单类型见数据字典 FLDM=DDLX</t>
  </si>
  <si>
    <t>指定负债编号，用于指定负债的卖券还款或买券还券</t>
  </si>
  <si>
    <t>交易类别：1(或61)融资买入、2(或64)融券卖出</t>
  </si>
  <si>
    <t>客户号,FID_LSH,FID_ENYYB不能都为空</t>
  </si>
  <si>
    <t>FID_EN_YYB</t>
  </si>
  <si>
    <t>营业部范围</t>
  </si>
  <si>
    <t>FID_EN_KHQZ</t>
  </si>
  <si>
    <t>客户群组范围</t>
  </si>
  <si>
    <t>N8</t>
  </si>
  <si>
    <t>交易类别：61-融资买入，64-融券卖出</t>
  </si>
  <si>
    <t>FID_QYLB</t>
  </si>
  <si>
    <t>权益类别，数据字典：XY_QYLB</t>
  </si>
  <si>
    <t>状态：0-正常，3-了结，9-所有负债</t>
  </si>
  <si>
    <t>0-不返回，1返回多余字段返回</t>
  </si>
  <si>
    <t>0所有负债、1有欠款、2有欠券、3有余券的负债</t>
  </si>
  <si>
    <t>查询顺序：0顺序，1逆序</t>
  </si>
  <si>
    <t>负债流水号</t>
  </si>
  <si>
    <t>FID_FSRQ</t>
  </si>
  <si>
    <t>交易类别：61融资负债，64融券负债</t>
  </si>
  <si>
    <t>FID_RZSL</t>
  </si>
  <si>
    <t>融资数量</t>
  </si>
  <si>
    <t>FID_RQSL</t>
  </si>
  <si>
    <t>融券数量</t>
  </si>
  <si>
    <t>FID_RZWTSL</t>
  </si>
  <si>
    <t>当日融资委托数量</t>
  </si>
  <si>
    <t>当日融资委托金额</t>
  </si>
  <si>
    <t>FID_RQWTSL</t>
  </si>
  <si>
    <t>当日融券委托数量</t>
  </si>
  <si>
    <t>当日委托融券金额</t>
  </si>
  <si>
    <t>FID_RZCJSL</t>
  </si>
  <si>
    <t>当日融资成交数量</t>
  </si>
  <si>
    <t>FID_RZCJJE</t>
  </si>
  <si>
    <t>当日融资成交金额</t>
  </si>
  <si>
    <t>FID_RQCJSL</t>
  </si>
  <si>
    <t>当日融券成交数量</t>
  </si>
  <si>
    <t>FID_RQCJJE</t>
  </si>
  <si>
    <t>当日融券成交金额</t>
  </si>
  <si>
    <t>FID_FZJE</t>
  </si>
  <si>
    <t>负债本金</t>
  </si>
  <si>
    <t>FID_FHJE</t>
  </si>
  <si>
    <t>还款金额</t>
  </si>
  <si>
    <t>FID_FZSL</t>
  </si>
  <si>
    <t>负债数量</t>
  </si>
  <si>
    <t>FID_GHSL</t>
  </si>
  <si>
    <t>FID_DRMCCJJE</t>
  </si>
  <si>
    <t>当日卖券还款额</t>
  </si>
  <si>
    <t>FID_HQWTSL</t>
  </si>
  <si>
    <t>当日买券还券委托数量</t>
  </si>
  <si>
    <t>FID_HQCJSL</t>
  </si>
  <si>
    <t>当日买券还券成交数量</t>
  </si>
  <si>
    <t>FID_YQWTSL</t>
  </si>
  <si>
    <t>当日余券划转委托数量</t>
  </si>
  <si>
    <t>预计利息</t>
  </si>
  <si>
    <t>FID_LXFC</t>
  </si>
  <si>
    <t>已归还利息</t>
  </si>
  <si>
    <t>负债状态：0未了结，1已了解未清算，3已了结</t>
  </si>
  <si>
    <t>FID_LL</t>
  </si>
  <si>
    <t>年利率</t>
  </si>
  <si>
    <t>权益类型：0普通负债 1配股权益补偿负债 2送股权益补偿负债</t>
  </si>
  <si>
    <t>FID_BRLX</t>
  </si>
  <si>
    <t>剩余利息</t>
  </si>
  <si>
    <t>融券剩余资金</t>
  </si>
  <si>
    <t>买券冻结金额</t>
  </si>
  <si>
    <t>买券清算金额</t>
  </si>
  <si>
    <t>融券剩余可用</t>
  </si>
  <si>
    <t>负债数量(委托后)，还券委托、直接还券委托判断用</t>
  </si>
  <si>
    <t>FID_YQSL</t>
  </si>
  <si>
    <t>余券数量(成交后)，余券委托判断用</t>
  </si>
  <si>
    <t>直接还款委托判断用(只用现金还)</t>
  </si>
  <si>
    <t>卖券还款委托判断用</t>
  </si>
  <si>
    <t>FID_QQSL</t>
  </si>
  <si>
    <t>融资买入数量,显示用</t>
  </si>
  <si>
    <t>负债数量(委托后)市值</t>
  </si>
  <si>
    <t>FID_JZXSZ</t>
  </si>
  <si>
    <t>负债数量(成交后)市值</t>
  </si>
  <si>
    <t>FID_DZXSZ</t>
  </si>
  <si>
    <t>负债金额市值</t>
  </si>
  <si>
    <t>融融盈亏</t>
  </si>
  <si>
    <t>FID_FHS1</t>
  </si>
  <si>
    <t xml:space="preserve">R </t>
  </si>
  <si>
    <t>罚息已归还利息</t>
  </si>
  <si>
    <t>FID_TZLX</t>
  </si>
  <si>
    <t>罚息预计利息</t>
  </si>
  <si>
    <t>FID_CBBD</t>
  </si>
  <si>
    <t>归还成本</t>
  </si>
  <si>
    <t>FID_DZLX</t>
  </si>
  <si>
    <t>分段利息</t>
  </si>
  <si>
    <t>负债数量(委托后)</t>
  </si>
  <si>
    <t>余券数量(成交后)</t>
  </si>
  <si>
    <t>现金差额(直接还款)</t>
  </si>
  <si>
    <t>现金差额(卖券还款)</t>
  </si>
  <si>
    <t>FID_HZJE</t>
  </si>
  <si>
    <t>指令类别：0平仓指令，1追保指令，2补仓通知</t>
  </si>
  <si>
    <t>指令编号</t>
  </si>
  <si>
    <t>指令状态</t>
  </si>
  <si>
    <t>需追保资金</t>
  </si>
  <si>
    <t>申请说明</t>
  </si>
  <si>
    <t>详细标志，为1表示查询详细信息，默认为0</t>
  </si>
  <si>
    <t>查询条件：0为有效的记录，建议送0</t>
  </si>
  <si>
    <t>FID_XMLSH</t>
  </si>
  <si>
    <t>变动顺序号</t>
  </si>
  <si>
    <t>撤销标志：0为有效的记录，其它为无效的记录</t>
  </si>
  <si>
    <t>发生金额</t>
  </si>
  <si>
    <t>FID_FSSL</t>
  </si>
  <si>
    <t>发生数量</t>
  </si>
  <si>
    <t>标志：&lt;=1成交引起,2清算引起，3权益补偿引起</t>
  </si>
  <si>
    <t>变动说明</t>
  </si>
  <si>
    <t>通过融资融券系统查询集中交易系统中的股东号，类似304001功能，但前者服务是部署在融资融券中，而后者是部署在集中交易系统中。
融资融券集中部署时，则该功能服务无效，请与具体的券商联系融资融券部署方式。</t>
  </si>
  <si>
    <t>通过融资融券系统查询集中交易系统中的证券持仓，类似304101功能，但前者服务是部署在融资融券中，而后者是部署在集中交易系统中。
融资融券集中部署时，则该功能服务无效，请与具体的券商联系融资融券部署方式。</t>
  </si>
  <si>
    <t>FID_WTJE和FID_WTSL必须有一个非空</t>
  </si>
  <si>
    <r>
      <rPr>
        <sz val="10.5"/>
        <rFont val="宋体"/>
        <family val="3"/>
        <charset val="134"/>
      </rPr>
      <t xml:space="preserve">   1、单一客户融资规模占净资本比例阀值可设置并前端控制；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2、单一客户融券规模占净资本比例阀值可设置并前端控制；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3、全体客户单一担保证券市值与该证券总市值比例可设置并前端控制；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4、全体客户融资对单一证券的持仓规模与该证券流通股本的比例可设置并前端控制；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5、全体客户融券对单一证券的持仓规模与该证券流通股本的比例可设置并前端控制；</t>
    </r>
  </si>
  <si>
    <t>1:校验通过  &lt;0:校验不通过</t>
  </si>
  <si>
    <t>索引串</t>
  </si>
  <si>
    <t>FID_JSJ</t>
  </si>
  <si>
    <t>结算价</t>
  </si>
  <si>
    <t>标准佣金</t>
  </si>
  <si>
    <t>实收佣金</t>
  </si>
  <si>
    <t>印花税</t>
  </si>
  <si>
    <t>过户费</t>
  </si>
  <si>
    <t>附加费</t>
  </si>
  <si>
    <t>结算费</t>
  </si>
  <si>
    <t>其它费</t>
  </si>
  <si>
    <t>FID_CJBS</t>
  </si>
  <si>
    <t>成交笔数</t>
  </si>
  <si>
    <t>应收金额</t>
  </si>
  <si>
    <t>FID_BCZQSL</t>
  </si>
  <si>
    <t>证券余额</t>
  </si>
  <si>
    <t>交收日期</t>
  </si>
  <si>
    <t>FID_SQBH</t>
  </si>
  <si>
    <t>申请编号</t>
  </si>
  <si>
    <t>FID_QRRQ</t>
  </si>
  <si>
    <t>FID_QRFE</t>
  </si>
  <si>
    <t>确认份额</t>
  </si>
  <si>
    <t>FID_QRJE</t>
  </si>
  <si>
    <t>确认金额</t>
  </si>
  <si>
    <t>FID_FEYE</t>
  </si>
  <si>
    <t>份额余额</t>
  </si>
  <si>
    <t>定位串，首次查询可不送</t>
  </si>
  <si>
    <t>0顺序逆序，1逆序</t>
  </si>
  <si>
    <t>收入金额</t>
  </si>
  <si>
    <t>付出金额</t>
  </si>
  <si>
    <t>记录数</t>
  </si>
  <si>
    <t>0顺序逆序1逆序</t>
  </si>
  <si>
    <t>B股转账用</t>
  </si>
  <si>
    <t>FID_EN_JYLB</t>
  </si>
  <si>
    <t>交易类别</t>
  </si>
  <si>
    <t>状态</t>
  </si>
  <si>
    <t>营业部范围（按发生营业部）</t>
  </si>
  <si>
    <t>分页索引值</t>
  </si>
  <si>
    <t>日期</t>
  </si>
  <si>
    <t>FID_JSZH</t>
  </si>
  <si>
    <t>结算账户</t>
  </si>
  <si>
    <t>FID_LXJS</t>
  </si>
  <si>
    <t>利息基数</t>
  </si>
  <si>
    <t>利率</t>
  </si>
  <si>
    <t>归还利息费用</t>
  </si>
  <si>
    <t>FID_TZJS</t>
  </si>
  <si>
    <t>罚息利息基数</t>
  </si>
  <si>
    <t>价格</t>
  </si>
  <si>
    <t>负债状态</t>
  </si>
  <si>
    <t>当日归还利息费用</t>
  </si>
  <si>
    <t>保证金比例</t>
  </si>
  <si>
    <t>占用保证金</t>
  </si>
  <si>
    <t>FID_SGSL</t>
  </si>
  <si>
    <t>送股数量</t>
  </si>
  <si>
    <t>红利金额</t>
  </si>
  <si>
    <t>其他数量</t>
  </si>
  <si>
    <t>其他金额</t>
  </si>
  <si>
    <t>累计盈亏</t>
  </si>
  <si>
    <t>委托有效日期</t>
  </si>
  <si>
    <t>待偿还数量</t>
  </si>
  <si>
    <t>指定委托标志</t>
  </si>
  <si>
    <t>当前分页索引值</t>
  </si>
  <si>
    <t>现金宝资金保留额度设置(提供给第三方调用，如网上交易等，投资者在家就可以操作)</t>
  </si>
  <si>
    <t>理财合同号</t>
  </si>
  <si>
    <t>保留截止日</t>
  </si>
  <si>
    <t>保留额度</t>
  </si>
  <si>
    <t>资金帐户</t>
  </si>
  <si>
    <t>摘要</t>
  </si>
  <si>
    <t>修改客户理财电子合同协议</t>
  </si>
  <si>
    <t>合同号</t>
  </si>
  <si>
    <t>激活状态(详见“数据字典”标签页"OF_LCCPJHZT"项) 解约传2</t>
  </si>
  <si>
    <t>综合业务平台委托功能：包含报价回购、约定购回
报价回购委托要素：委托价格、购回价格、订单有效日期；报价回购提前终止要素：委托价格、购回价格、原成交日期、原成交编号</t>
  </si>
  <si>
    <r>
      <rPr>
        <sz val="10.5"/>
        <rFont val="宋体"/>
        <family val="3"/>
        <charset val="134"/>
      </rPr>
      <t>F</t>
    </r>
    <r>
      <rPr>
        <sz val="11"/>
        <color indexed="8"/>
        <rFont val="宋体"/>
        <family val="3"/>
        <charset val="134"/>
      </rPr>
      <t>ID_KHH</t>
    </r>
  </si>
  <si>
    <r>
      <rPr>
        <sz val="10.5"/>
        <rFont val="宋体"/>
        <family val="3"/>
        <charset val="134"/>
      </rPr>
      <t>F</t>
    </r>
    <r>
      <rPr>
        <sz val="11"/>
        <color indexed="8"/>
        <rFont val="宋体"/>
        <family val="3"/>
        <charset val="134"/>
      </rPr>
      <t>ID_JYS</t>
    </r>
  </si>
  <si>
    <r>
      <rPr>
        <sz val="10.5"/>
        <rFont val="宋体"/>
        <family val="3"/>
        <charset val="134"/>
      </rPr>
      <t>F</t>
    </r>
    <r>
      <rPr>
        <sz val="11"/>
        <color indexed="8"/>
        <rFont val="宋体"/>
        <family val="3"/>
        <charset val="134"/>
      </rPr>
      <t>ID_GDH</t>
    </r>
  </si>
  <si>
    <r>
      <rPr>
        <sz val="10.5"/>
        <rFont val="宋体"/>
        <family val="3"/>
        <charset val="134"/>
      </rPr>
      <t>F</t>
    </r>
    <r>
      <rPr>
        <sz val="11"/>
        <color indexed="8"/>
        <rFont val="宋体"/>
        <family val="3"/>
        <charset val="134"/>
      </rPr>
      <t>ID_ZQDM</t>
    </r>
  </si>
  <si>
    <t>交易类别：5-报价回购，36-提前终止</t>
  </si>
  <si>
    <t>委托价格：交易类别为5时是委托价格，36时是购回价格</t>
  </si>
  <si>
    <t>FID_GHJG</t>
  </si>
  <si>
    <t>购回价格：交易类别为5时是购回价格，36时是委托价格</t>
  </si>
  <si>
    <t>交易类别为36时表示原成交日期</t>
  </si>
  <si>
    <t>交易类别为36时表示原成交编号</t>
  </si>
  <si>
    <t>FID_YWTH</t>
  </si>
  <si>
    <t>资管转让对方委托号</t>
  </si>
  <si>
    <t>资管转让对方股东号</t>
  </si>
  <si>
    <t>资管转让对方席位</t>
  </si>
  <si>
    <t>订单有效日期：一天期报价回购自动续约的有效期</t>
  </si>
  <si>
    <t>综合业务委托撤单</t>
  </si>
  <si>
    <t>可买卖数量</t>
  </si>
  <si>
    <t>客户综合业务当日委托查询</t>
  </si>
  <si>
    <t>查询客户综合业务当日委托</t>
  </si>
  <si>
    <t>委托价格:报价回购为委托价格，提前终止为购回价格</t>
  </si>
  <si>
    <t>购回价格:报价回购为购回价格，提前终止为委托价格</t>
  </si>
  <si>
    <t>委托金额:初始交易为委托金额，购回交易为购回金额</t>
  </si>
  <si>
    <t>购回金额:初始交易为购回金额，购回交易为委托金额</t>
  </si>
  <si>
    <t>原成交日期/购回日期</t>
  </si>
  <si>
    <t>原成交编号</t>
  </si>
  <si>
    <t>申报结果：10未申报，1已申报，2确认成功，8全部撤单，
其它见数据字典FLDM=WTSBJG</t>
  </si>
  <si>
    <t>FID_GHTS</t>
  </si>
  <si>
    <t>回购天数（产品天数）</t>
  </si>
  <si>
    <t>FID_GFXZ</t>
  </si>
  <si>
    <t>股份性质（微贷为0）</t>
  </si>
  <si>
    <t>委托数量（需要计算的数量）</t>
  </si>
  <si>
    <t>FID_GHRQ</t>
  </si>
  <si>
    <t>预计购回日期</t>
  </si>
  <si>
    <t>前端送入的折算价格</t>
  </si>
  <si>
    <t>FID_JGKZBZ</t>
  </si>
  <si>
    <t>价格控制标志(0默认按昨收盘, 1按最新价)</t>
  </si>
  <si>
    <t>FID_ZJFL</t>
  </si>
  <si>
    <t>资金用途（0小微贷，1新股贷，2投资贷）</t>
  </si>
  <si>
    <t>微贷标志（1为微贷）</t>
  </si>
  <si>
    <t>标准利率</t>
  </si>
  <si>
    <t>FID_RZFDLL</t>
  </si>
  <si>
    <t>浮动利率（微贷无意义）</t>
  </si>
  <si>
    <t>FID_TJFL</t>
  </si>
  <si>
    <t>证券分类(对应折算率分类名称)</t>
  </si>
  <si>
    <t>FID_TS</t>
  </si>
  <si>
    <t>购回天数（输入的购回天数）</t>
  </si>
  <si>
    <t>折算率</t>
  </si>
  <si>
    <t>FID_RZJESX</t>
  </si>
  <si>
    <t>预计折算金额</t>
  </si>
  <si>
    <t>FID_LXJE</t>
  </si>
  <si>
    <t>利息金额</t>
  </si>
  <si>
    <t>FID_DYSZ</t>
  </si>
  <si>
    <t>抵押市值</t>
  </si>
  <si>
    <t>质押回购微贷参数查询</t>
  </si>
  <si>
    <t>FID_JYRQ</t>
  </si>
  <si>
    <t>交易天数</t>
  </si>
  <si>
    <t>FID_CPDM</t>
  </si>
  <si>
    <t>产品代码</t>
  </si>
  <si>
    <t>FID_CPMC</t>
  </si>
  <si>
    <t>产品名称</t>
  </si>
  <si>
    <t>FID_JXTS</t>
  </si>
  <si>
    <t>最低交易天数</t>
  </si>
  <si>
    <t>R9.6</t>
  </si>
  <si>
    <t>FID_ZED</t>
  </si>
  <si>
    <t>R16.2</t>
  </si>
  <si>
    <t>总额度</t>
  </si>
  <si>
    <t>FID_ZYED</t>
  </si>
  <si>
    <t>占用额度</t>
  </si>
  <si>
    <t>融出方席位</t>
  </si>
  <si>
    <t>融出方股东</t>
  </si>
  <si>
    <t>FID_DFXZ</t>
  </si>
  <si>
    <t>融出方性质</t>
  </si>
  <si>
    <t>FID_ZQRMC</t>
  </si>
  <si>
    <t>融出方名称</t>
  </si>
  <si>
    <t>FID_SX1</t>
  </si>
  <si>
    <t>属性，参照数据WDKZSX字典，解析如下：（与或运算）
2 不支持初始交易
4 随借随还产品
8 提前购回按随借随还利率计息
16 禁止提前购回</t>
  </si>
  <si>
    <t>FID_ZQXZMS</t>
  </si>
  <si>
    <t>顺延模式：0顺延一次到某个产品，1顺延一次到下个产品，
2按天数顺序逐个顺延，3禁止延期</t>
  </si>
  <si>
    <t>顺延天数，和顺延模式配合使用：
顺延模式0时，表示顺延成新产品的交易天数，如7天期顺延成28天，那么就是28
顺延模式1时，表示在原产品交易天数基础上顺延多少天成新产品的交易天数，如7天顺延成14天，那么就是7
顺延模式2时，表示该类资金用途的产品使用逐个产品顺序顺延</t>
  </si>
  <si>
    <t>预警履约金比例</t>
  </si>
  <si>
    <t>FID_LYJBL</t>
  </si>
  <si>
    <t>最低履约金比例</t>
  </si>
  <si>
    <t>最少交易天数</t>
  </si>
  <si>
    <t>FID_BYDZ1</t>
  </si>
  <si>
    <t>交易权限</t>
  </si>
  <si>
    <t>FID_BYDZ2</t>
  </si>
  <si>
    <t>摘要3</t>
  </si>
  <si>
    <t>查询债券抵押明细</t>
  </si>
  <si>
    <t>客户群组范围，原则上不限长度</t>
  </si>
  <si>
    <t>营业部范围，原则上不限长度</t>
  </si>
  <si>
    <t>债券代码</t>
  </si>
  <si>
    <t>FID_BZQDM</t>
  </si>
  <si>
    <t>标准券代码</t>
  </si>
  <si>
    <t>FID_EN_GSFL</t>
  </si>
  <si>
    <t>公司分类范围，原则上不限长度</t>
  </si>
  <si>
    <t>FID_DYSL</t>
  </si>
  <si>
    <t>抵押数量</t>
  </si>
  <si>
    <t xml:space="preserve">起始历史记录索引值  </t>
  </si>
  <si>
    <t>行号</t>
  </si>
  <si>
    <t>交易所编码</t>
  </si>
  <si>
    <t>返回说明</t>
  </si>
  <si>
    <t>证券数量</t>
  </si>
  <si>
    <t>FID_MRJE</t>
  </si>
  <si>
    <t>买入金额</t>
  </si>
  <si>
    <t>FID_MCJE</t>
  </si>
  <si>
    <t>卖出金额</t>
  </si>
  <si>
    <t>FID_BBYK</t>
  </si>
  <si>
    <t>本笔盈亏</t>
  </si>
  <si>
    <t>FID_JYFY</t>
  </si>
  <si>
    <t>交易费用</t>
  </si>
  <si>
    <t>FID_GSFL</t>
  </si>
  <si>
    <t>公司级客户分类</t>
  </si>
  <si>
    <t>起始历史记录索引值</t>
  </si>
  <si>
    <t xml:space="preserve">基金公司代码 </t>
  </si>
  <si>
    <t>收费方式，可多选：1前端收费，2后端收费，4C类收费， 
比如3表示支持前、后端收费</t>
  </si>
  <si>
    <t>到期（兑付日期）</t>
  </si>
  <si>
    <t>基金帐号</t>
  </si>
  <si>
    <t>基金份额数量</t>
  </si>
  <si>
    <t>冻结数量</t>
  </si>
  <si>
    <t>操作摘要</t>
  </si>
  <si>
    <t>FID_ORDERS</t>
  </si>
  <si>
    <t>订单顺序号</t>
  </si>
  <si>
    <t>每月申购金额</t>
  </si>
  <si>
    <t>基金账号</t>
  </si>
  <si>
    <t>N2</t>
  </si>
  <si>
    <t>收费方式</t>
  </si>
  <si>
    <t>有效结束日期</t>
  </si>
  <si>
    <t>业务流水号</t>
  </si>
  <si>
    <t>FID_CFBL</t>
  </si>
  <si>
    <t>拆分比例</t>
  </si>
  <si>
    <t>FID_WTZT</t>
  </si>
  <si>
    <t>拆分状态</t>
  </si>
  <si>
    <t>转换状态</t>
  </si>
  <si>
    <t>FID_ZDHBSL</t>
  </si>
  <si>
    <t>最低合并数量</t>
  </si>
  <si>
    <t>FID_ZDCFSL</t>
  </si>
  <si>
    <t>最低拆分数量</t>
  </si>
  <si>
    <t>备注</t>
  </si>
  <si>
    <t>FID_FXRDM</t>
  </si>
  <si>
    <t>发行人代码</t>
  </si>
  <si>
    <t>FID_CPXM</t>
  </si>
  <si>
    <t>C200</t>
  </si>
  <si>
    <t>产品项目</t>
  </si>
  <si>
    <t>FID_ZCYE</t>
  </si>
  <si>
    <t>资产余额</t>
  </si>
  <si>
    <t>负债余额</t>
  </si>
  <si>
    <t>FID_ZHDM</t>
  </si>
  <si>
    <t>帐户代码</t>
  </si>
  <si>
    <t>非流通市值</t>
  </si>
  <si>
    <t>汇总金额</t>
  </si>
  <si>
    <t>FID_EN_ZQDM</t>
  </si>
  <si>
    <t>交易单位</t>
  </si>
  <si>
    <t>允许的交易类别</t>
  </si>
  <si>
    <t>FID_PYDM</t>
  </si>
  <si>
    <t>拼音代码</t>
  </si>
  <si>
    <t>FID_MMXZ</t>
  </si>
  <si>
    <t>买卖限制</t>
  </si>
  <si>
    <t>利息报价</t>
  </si>
  <si>
    <t>交易价位</t>
  </si>
  <si>
    <t>FID_DDLXXZ</t>
  </si>
  <si>
    <t>订单类型限制</t>
  </si>
  <si>
    <t>FID_BSDDZXSL</t>
  </si>
  <si>
    <t>冰山订单最小商量</t>
  </si>
  <si>
    <t>FID_BSDDZXPLSL</t>
  </si>
  <si>
    <t>冰山订单最小披露数量</t>
  </si>
  <si>
    <t>FID_ISIN</t>
  </si>
  <si>
    <t>ISIN代码</t>
  </si>
  <si>
    <t>净价交易标志</t>
  </si>
  <si>
    <t>客户号（客户号和营业部范围必须有一个有值）</t>
  </si>
  <si>
    <t>FID_BH</t>
  </si>
  <si>
    <t>合同编号</t>
  </si>
  <si>
    <t>营业部范围（客户号和营业部范围必须有一个有值）</t>
  </si>
  <si>
    <t>合同融资额度</t>
  </si>
  <si>
    <t>合同融券额度</t>
  </si>
  <si>
    <t>授信融资额度</t>
  </si>
  <si>
    <t>授信融券额度</t>
  </si>
  <si>
    <t>利率类型</t>
  </si>
  <si>
    <t>融资利率</t>
  </si>
  <si>
    <t>融券利率</t>
  </si>
  <si>
    <t>FID_RZXYLX</t>
  </si>
  <si>
    <t>融资占用利息</t>
  </si>
  <si>
    <t>FID_RQXYLX</t>
  </si>
  <si>
    <t>融券占用利息</t>
  </si>
  <si>
    <t>融资使用预计利息</t>
  </si>
  <si>
    <t>融券使用预计利息</t>
  </si>
  <si>
    <t>总资产</t>
  </si>
  <si>
    <t>总负债</t>
  </si>
  <si>
    <t>账户余额</t>
  </si>
  <si>
    <t>担保市值</t>
  </si>
  <si>
    <t>合同开始日期</t>
  </si>
  <si>
    <t>合同结束日期</t>
  </si>
  <si>
    <t>可提取额度</t>
  </si>
  <si>
    <t>上海担保市值</t>
  </si>
  <si>
    <t>深圳担保市值</t>
  </si>
  <si>
    <t>未过户权益金额</t>
  </si>
  <si>
    <t>未过户证券市值</t>
  </si>
  <si>
    <t>FID_ZQSZ_ZSRMB</t>
  </si>
  <si>
    <t>担保市值折算</t>
  </si>
  <si>
    <t>可提取资金</t>
  </si>
  <si>
    <t>融券剩余可用资金</t>
  </si>
  <si>
    <t>FID_S12</t>
  </si>
  <si>
    <t>融资利息</t>
  </si>
  <si>
    <t>FID_S13</t>
  </si>
  <si>
    <t>融资负债</t>
  </si>
  <si>
    <t>融资市值</t>
  </si>
  <si>
    <t>融资浮盈</t>
  </si>
  <si>
    <t>FID_S11</t>
  </si>
  <si>
    <t>融券负债</t>
  </si>
  <si>
    <t>FID_S7</t>
  </si>
  <si>
    <t>融券当前市值</t>
  </si>
  <si>
    <t>融券浮盈</t>
  </si>
  <si>
    <t>融券浮盈折算</t>
  </si>
  <si>
    <t>FID_EN_ZQLB</t>
  </si>
  <si>
    <t>证券类别范围</t>
  </si>
  <si>
    <t>证券代码（实为席位代码）</t>
  </si>
  <si>
    <t>证券数量（权益数量）</t>
  </si>
  <si>
    <t>FID_DZRQ</t>
  </si>
  <si>
    <t>到帐日期（清算日期）</t>
  </si>
  <si>
    <t>证券代码，初始交易、补充质押时必填</t>
  </si>
  <si>
    <t>协议编号，除初始交易外必填；
当为补充质押时，送入的值为初始交易的XYBH(协议编号)，其实也是（BH）编号，因为系统中保存的初始交易记录中的XYBH和BH是相等的
当为解除质押或购回交易时，确保填入的值是合约信息中的BH（编号）</t>
  </si>
  <si>
    <t>委托类别（53初始交易，54补充质押，84购回交易，
85部分解除质押，86违约处置，87终止购回）</t>
  </si>
  <si>
    <t>委托数量，初始交易、补充质押时必填，部分解除质押时可填</t>
  </si>
  <si>
    <t>委托方式，参照顶点委托方式数据字典</t>
  </si>
  <si>
    <t>FID_AUTOSAVE</t>
  </si>
  <si>
    <t>初始交易时，若填1表示自动展期</t>
  </si>
  <si>
    <t>当此域送入'YJLXCX'时仅用于查询当前时点购回的预计利息（非委托功能）</t>
  </si>
  <si>
    <t>FID_OPTERATOR</t>
  </si>
  <si>
    <t>购回时，若填1表示手工展期操作，同时CPDM填展期天数对应的产品代码</t>
  </si>
  <si>
    <t>委托金额，借款金额，初始交易必填，部分解除质押时可填</t>
  </si>
  <si>
    <t>借款金额</t>
  </si>
  <si>
    <t>预计还款金额</t>
  </si>
  <si>
    <t>天数</t>
  </si>
  <si>
    <t>FID_JXFS</t>
  </si>
  <si>
    <t>年利率天数</t>
  </si>
  <si>
    <t>YYB(可多个)</t>
  </si>
  <si>
    <t>客户群组（可多个）</t>
  </si>
  <si>
    <t>委托类别（多个）</t>
  </si>
  <si>
    <t>编号</t>
  </si>
  <si>
    <t>FID_ZQRBM</t>
  </si>
  <si>
    <t>质权人类型，0为自营，1为资管</t>
  </si>
  <si>
    <t>日期区间标识串，和FID_KSRQ、FID_JSRQ配合使用：
当为"CJRQ"时，表示查成交日期在开始日期和结束日期区间合约信息；
当为"QSRQ"时，查清算日期在开始日期和结束日期区间合约信息；
当为"GHRQ"时，表示查购回日期在开始日期和结束日期区间合约信息；
当为"YJGHRQ"时，查预计购回日期在开始日期和结束日期区间合约信息；</t>
  </si>
  <si>
    <t>开始日期，成交日期大于开始日期</t>
  </si>
  <si>
    <t>结束日期，成交日期大于结束日期</t>
  </si>
  <si>
    <t>FID_JSBZ</t>
  </si>
  <si>
    <t>交收标志（1为交收 0为待交收）</t>
  </si>
  <si>
    <t>FID_XYSYBZ</t>
  </si>
  <si>
    <t>顺延标志</t>
  </si>
  <si>
    <t>FID_LOGICAL</t>
  </si>
  <si>
    <t>查询逻辑,1最新市值,2当时市值</t>
  </si>
  <si>
    <t>扩展标志，查履约金（暂无意义）</t>
  </si>
  <si>
    <t>股份性质</t>
  </si>
  <si>
    <t>委托方式</t>
  </si>
  <si>
    <t>FID_SBBZ</t>
  </si>
  <si>
    <t>申报标志，0为未申报，1为已申报</t>
  </si>
  <si>
    <t>查询起始项</t>
  </si>
  <si>
    <t>查询行数</t>
  </si>
  <si>
    <t>排序方式</t>
  </si>
  <si>
    <t xml:space="preserve">编号        </t>
  </si>
  <si>
    <t>股份性质：0流通股，1非流通股</t>
  </si>
  <si>
    <t>R9.4</t>
  </si>
  <si>
    <t xml:space="preserve">购回金额      </t>
  </si>
  <si>
    <t>FID_JSJE</t>
  </si>
  <si>
    <t>实际购回金额</t>
  </si>
  <si>
    <t>红利已购回金额</t>
  </si>
  <si>
    <t>FID_QSRQ</t>
  </si>
  <si>
    <t>清算日期</t>
  </si>
  <si>
    <t>FID_YJGHRQ</t>
  </si>
  <si>
    <t>实际购回日期</t>
  </si>
  <si>
    <t xml:space="preserve">交收标志 </t>
  </si>
  <si>
    <t>已购回数量</t>
  </si>
  <si>
    <t>委托类别 53,6</t>
  </si>
  <si>
    <t>初始交易购回价格（融资年利率%）</t>
  </si>
  <si>
    <t>FID_ID</t>
  </si>
  <si>
    <t>可解除资金</t>
  </si>
  <si>
    <t>对方席位号</t>
  </si>
  <si>
    <t>FID_HYBH</t>
  </si>
  <si>
    <t>C24</t>
  </si>
  <si>
    <t>初始合同编号</t>
  </si>
  <si>
    <t>待转利息</t>
  </si>
  <si>
    <t>FID_JXRQ</t>
  </si>
  <si>
    <t>结息日期</t>
  </si>
  <si>
    <t>FID_JXJE</t>
  </si>
  <si>
    <t>结息金额</t>
  </si>
  <si>
    <t>FID_FXJ</t>
  </si>
  <si>
    <t>罚息金额</t>
  </si>
  <si>
    <t>FID_BSC</t>
  </si>
  <si>
    <t>C512</t>
  </si>
  <si>
    <t>STEP信息</t>
  </si>
  <si>
    <t>融出方股东号</t>
  </si>
  <si>
    <t>融出方账户性质</t>
  </si>
  <si>
    <t>融出方账户名称</t>
  </si>
  <si>
    <t>FID_NF</t>
  </si>
  <si>
    <t>股票年份</t>
  </si>
  <si>
    <t>购回(WTLB=84)方式：1提前购回，2正常购回，3延期购回</t>
  </si>
  <si>
    <t>是否同意自动延期：1同意，其他值不同意</t>
  </si>
  <si>
    <t>FID_ZYHYBH</t>
  </si>
  <si>
    <t>质押编号</t>
  </si>
  <si>
    <t>分页索引列ZYBH</t>
  </si>
  <si>
    <t>FID_JSJG</t>
  </si>
  <si>
    <t>自带入的折算价格</t>
  </si>
  <si>
    <t>可融资金额</t>
  </si>
  <si>
    <t>最新价（=0时取昨收盘）</t>
  </si>
  <si>
    <t>可抵押数量</t>
  </si>
  <si>
    <t>FID_BL</t>
  </si>
  <si>
    <t>折算比例</t>
  </si>
  <si>
    <t>最终使用的折算价格</t>
  </si>
  <si>
    <t>FID_XSSL</t>
  </si>
  <si>
    <t>期限折算率</t>
  </si>
  <si>
    <t>履约金比例（填1.1表示110%。不填时，取系统中预警履约金比例）</t>
  </si>
  <si>
    <t>本质押协议总市值</t>
  </si>
  <si>
    <t>本质押协议总红利</t>
  </si>
  <si>
    <t>本质押协议总初始金额</t>
  </si>
  <si>
    <t>当前履约金比例</t>
  </si>
  <si>
    <t>FID_BCJKYE</t>
  </si>
  <si>
    <t>要想达到入参中的履约金比例需要补充质押或可解除质押的市值</t>
  </si>
  <si>
    <t>填1</t>
  </si>
  <si>
    <t>填0</t>
  </si>
  <si>
    <t>FID_RQSLSX</t>
  </si>
  <si>
    <t>融券数量上限</t>
  </si>
  <si>
    <t>FID_PRIVATEKEY</t>
  </si>
  <si>
    <t>主键（JYS+ZQDM）</t>
  </si>
  <si>
    <t>业务科目范围（信用合同变更的输入：20064-信用合同变更,
20066-信用合同签订,20067信用合同终止)</t>
  </si>
  <si>
    <t>FID_EN_YWKM</t>
  </si>
  <si>
    <t>业务科目范围（和FID_YWKM填一样的值）</t>
  </si>
  <si>
    <t>FID_FSYYB</t>
  </si>
  <si>
    <t>符合柜员</t>
  </si>
  <si>
    <t>业务科目（见业务科目数据字典,柜台菜单10101）</t>
  </si>
  <si>
    <t>FID_YWSQH</t>
  </si>
  <si>
    <t>业务申请号</t>
  </si>
  <si>
    <t>单词查询返回行数</t>
  </si>
  <si>
    <t>BROWINDEX</t>
  </si>
  <si>
    <t>FID_ZHGLJG</t>
  </si>
  <si>
    <t>帐户管理机构</t>
  </si>
  <si>
    <t>发生营业部</t>
  </si>
  <si>
    <t>公司分类</t>
  </si>
  <si>
    <t>FID_ZJDJLSH</t>
  </si>
  <si>
    <t>资金冻结项目流水号</t>
  </si>
  <si>
    <t>序列号</t>
  </si>
  <si>
    <t>FID_DJLB</t>
  </si>
  <si>
    <t>N6</t>
  </si>
  <si>
    <t>冻结类别</t>
  </si>
  <si>
    <t>数据字典ZJDJLB</t>
  </si>
  <si>
    <t>初始交易协议编号</t>
  </si>
  <si>
    <t>购回金额</t>
  </si>
  <si>
    <t>FID_QYBH</t>
  </si>
  <si>
    <t>权益编号</t>
  </si>
  <si>
    <t>营业部，可以多值，以半角逗号分隔</t>
  </si>
  <si>
    <t>客户群组，可以多值，以半角逗号分隔</t>
  </si>
  <si>
    <t>日期区间标识串，和FID_KSRQ、FID_JSRQ配合使用：
当为"CJRQ"时，表示查成交日期在开始日期和结束日期区间合约信息；
当为"GHRQ"时，表示查购回日期在开始日期和结束日期区间合约信息；
当为"YJGHRQ"时，查预计购回日期在开始日期和结束日期区间合约信息；</t>
  </si>
  <si>
    <t>初始交易金额</t>
  </si>
  <si>
    <t>交收金额</t>
  </si>
  <si>
    <t>购回日期</t>
  </si>
  <si>
    <t>交收标志</t>
  </si>
  <si>
    <t>购回价格</t>
  </si>
  <si>
    <t>FID_QYDJRQ</t>
  </si>
  <si>
    <t>权益登记日期</t>
  </si>
  <si>
    <t>FID_SBXW</t>
  </si>
  <si>
    <t>申报席位</t>
  </si>
  <si>
    <t>合约编号</t>
  </si>
  <si>
    <t>购回价格（年利率）</t>
  </si>
  <si>
    <t>融券卖出剩余资金</t>
  </si>
  <si>
    <t>当日融券卖出成交金额</t>
  </si>
  <si>
    <t>买券还券冻结金额</t>
  </si>
  <si>
    <t>买券还券清算金额</t>
  </si>
  <si>
    <t>币种(不输入，默认为RMB）</t>
  </si>
  <si>
    <t>普通资产</t>
  </si>
  <si>
    <t>FID_XJYE</t>
  </si>
  <si>
    <t>信用净资产</t>
  </si>
  <si>
    <t>客户新股贷可用资金查询</t>
  </si>
  <si>
    <t>资金账号</t>
  </si>
  <si>
    <t>返回代码</t>
  </si>
  <si>
    <t>返回信息</t>
  </si>
  <si>
    <t>账户可用资金查询</t>
  </si>
  <si>
    <t>类型（0线下，1线上）</t>
  </si>
  <si>
    <t>FID_XYED</t>
  </si>
  <si>
    <t>授权额度</t>
  </si>
  <si>
    <t>使用额度</t>
  </si>
  <si>
    <t>字段名称</t>
  </si>
  <si>
    <t>宏</t>
  </si>
  <si>
    <t>默认</t>
  </si>
  <si>
    <t>FID_BFXJJ</t>
  </si>
  <si>
    <t>FID_BGHF</t>
  </si>
  <si>
    <t>FID_BJE</t>
  </si>
  <si>
    <t>FID_BJSF</t>
  </si>
  <si>
    <t>FID_BPGDH</t>
  </si>
  <si>
    <t>FID_BSL</t>
  </si>
  <si>
    <t>FID_BYHS</t>
  </si>
  <si>
    <t>FID_BZBM</t>
  </si>
  <si>
    <t>FID_BZGF</t>
  </si>
  <si>
    <t>FID_BZMC</t>
  </si>
  <si>
    <t>FID_MENUID_HC</t>
  </si>
  <si>
    <t>FID_CDMC</t>
  </si>
  <si>
    <t>FID_CDTIME</t>
  </si>
  <si>
    <t>FID_CDTS</t>
  </si>
  <si>
    <t>FID_CDWZID</t>
  </si>
  <si>
    <t>FID_CJGY</t>
  </si>
  <si>
    <t>FID_CKLL</t>
  </si>
  <si>
    <t>FID_YKBD</t>
  </si>
  <si>
    <t>FID_DH_SQCZR</t>
  </si>
  <si>
    <t>FID_DZ_SQCZR</t>
  </si>
  <si>
    <t>FID_MM_SQCZR</t>
  </si>
  <si>
    <t>FID_QX_SQCZR</t>
  </si>
  <si>
    <t>FID_XWID</t>
  </si>
  <si>
    <t>FID_XM_SQCZR</t>
  </si>
  <si>
    <t>FID_DRMCJDZJ</t>
  </si>
  <si>
    <t>FID_DRMRCJJE</t>
  </si>
  <si>
    <t>FID_DRMRDJZJ</t>
  </si>
  <si>
    <t>FID_DRMRWTSL</t>
  </si>
  <si>
    <t>FID_DRQS</t>
  </si>
  <si>
    <t>FID_DTB</t>
  </si>
  <si>
    <t>FID_EN_BZ</t>
  </si>
  <si>
    <t>FID_EN_JYS</t>
  </si>
  <si>
    <t>FID_EN_KHH</t>
  </si>
  <si>
    <t>FID_EX_KHH</t>
  </si>
  <si>
    <t>FID_EX_KHQZ</t>
  </si>
  <si>
    <t>FID_EX_YYB</t>
  </si>
  <si>
    <t>FID_EX_ZQLB</t>
  </si>
  <si>
    <t>FID_FATHERID</t>
  </si>
  <si>
    <t>FID_FKEY</t>
  </si>
  <si>
    <t>FID_FLMC</t>
  </si>
  <si>
    <t>FID_GDLB</t>
  </si>
  <si>
    <t>FID_ZJBH_GDH</t>
  </si>
  <si>
    <t>FID_GDZDSX</t>
  </si>
  <si>
    <t>FID_GJDM</t>
  </si>
  <si>
    <t>FID_GMRQ</t>
  </si>
  <si>
    <t>FID_DATE</t>
  </si>
  <si>
    <t>FID_HKEY</t>
  </si>
  <si>
    <t>FID_HKEYMASK</t>
  </si>
  <si>
    <t>FID_SHZD</t>
  </si>
  <si>
    <t>FID_IBM</t>
  </si>
  <si>
    <t>FID_JJR</t>
  </si>
  <si>
    <t>FID_JJRLB</t>
  </si>
  <si>
    <t>FID_JJRMM</t>
  </si>
  <si>
    <t>FID_JJRQX</t>
  </si>
  <si>
    <t>FID_JSDM</t>
  </si>
  <si>
    <t>FID_JSMC</t>
  </si>
  <si>
    <t>FID_JYFL</t>
  </si>
  <si>
    <t>FID_JYFW</t>
  </si>
  <si>
    <t>FID_JYLBMC</t>
  </si>
  <si>
    <t>FID_JYLBXZ</t>
  </si>
  <si>
    <t>FID_JYSXH</t>
  </si>
  <si>
    <t>FID_JYSJC</t>
  </si>
  <si>
    <t>FID_JYSQC</t>
  </si>
  <si>
    <t>FID_KEYMASK</t>
  </si>
  <si>
    <t>FID_KHJB</t>
  </si>
  <si>
    <t>FID_KHJL</t>
  </si>
  <si>
    <t>FID_KHLB</t>
  </si>
  <si>
    <t>FID_KHQC</t>
  </si>
  <si>
    <t>FID_KHSX</t>
  </si>
  <si>
    <t>FID_LSH_ZR</t>
  </si>
  <si>
    <t>FID_KMRSL</t>
  </si>
  <si>
    <t>FID_LXS</t>
  </si>
  <si>
    <t>FID_LXSL</t>
  </si>
  <si>
    <t>FID_MCJJ</t>
  </si>
  <si>
    <t>FID_MCJS</t>
  </si>
  <si>
    <t>FID_MCSL</t>
  </si>
  <si>
    <t>FID_MENUID</t>
  </si>
  <si>
    <t>FID_MKBH</t>
  </si>
  <si>
    <t>FID_YKTZMS</t>
  </si>
  <si>
    <t>FID_JYMQZ</t>
  </si>
  <si>
    <t>FID_MRJS</t>
  </si>
  <si>
    <t>FID_MRSL</t>
  </si>
  <si>
    <t>FID_NBMC</t>
  </si>
  <si>
    <t>FID_PZBZ</t>
  </si>
  <si>
    <t>FID_QYBM</t>
  </si>
  <si>
    <t>FID_QZFW</t>
  </si>
  <si>
    <t>FID_QZMC</t>
  </si>
  <si>
    <t>FID_SFXJJ</t>
  </si>
  <si>
    <t>FID_SGHF</t>
  </si>
  <si>
    <t>FID_SJCD</t>
  </si>
  <si>
    <t>FID_SJE</t>
  </si>
  <si>
    <t>FID_SJJJR</t>
  </si>
  <si>
    <t>FID_SJSF</t>
  </si>
  <si>
    <t>FID_SJYYB</t>
  </si>
  <si>
    <t>FID_SLXZ</t>
  </si>
  <si>
    <t>FID_CZCS</t>
  </si>
  <si>
    <t>FID_SRZJYE</t>
  </si>
  <si>
    <t>FID_SSL</t>
  </si>
  <si>
    <t>FID_SYHS</t>
  </si>
  <si>
    <t>FID_SZGF</t>
  </si>
  <si>
    <t>FID_T0JS</t>
  </si>
  <si>
    <t>FID_T1JS</t>
  </si>
  <si>
    <t>FID_T2JS</t>
  </si>
  <si>
    <t>FID_TBTS</t>
  </si>
  <si>
    <t>FID_TZLL</t>
  </si>
  <si>
    <t>FID_CBTZMS</t>
  </si>
  <si>
    <t>FID_VALUE</t>
  </si>
  <si>
    <t>FID_JSDM_HC</t>
  </si>
  <si>
    <t>FID_WTSX</t>
  </si>
  <si>
    <t>FID_WTXX</t>
  </si>
  <si>
    <t>FID_XLDM</t>
  </si>
  <si>
    <t>FID_XM</t>
  </si>
  <si>
    <t>FID_GDZT</t>
  </si>
  <si>
    <t>FID_YWMC</t>
  </si>
  <si>
    <t>FID_KHH_ZR</t>
  </si>
  <si>
    <t>FID_CLSJ</t>
  </si>
  <si>
    <t>FID_KHXM_ZR</t>
  </si>
  <si>
    <t>FID_GYDM_ZP</t>
  </si>
  <si>
    <t>FID_ZDJ</t>
  </si>
  <si>
    <t>FID_ZGJ</t>
  </si>
  <si>
    <t>FID_KHFLFS</t>
  </si>
  <si>
    <t>FID_YJDJCL</t>
  </si>
  <si>
    <t>FID_ZJLB</t>
  </si>
  <si>
    <t>FID_ZJYE</t>
  </si>
  <si>
    <t>FID_GDH_OLD</t>
  </si>
  <si>
    <t>FID_LJS1</t>
  </si>
  <si>
    <t>FID_ZQLBMC</t>
  </si>
  <si>
    <t>FID_ZQQC</t>
  </si>
  <si>
    <t>FID_ZSBH</t>
  </si>
  <si>
    <t>FID_ZTB</t>
  </si>
  <si>
    <t>FID_ZYDM</t>
  </si>
  <si>
    <t>FID_ZZFS</t>
  </si>
  <si>
    <t>FID_ZZKZ</t>
  </si>
  <si>
    <t>FID_MMLB</t>
  </si>
  <si>
    <t>FID_HTHQZ</t>
  </si>
  <si>
    <t>FID_NEWQZ</t>
  </si>
  <si>
    <t>FID_EN_ZJZH</t>
  </si>
  <si>
    <t>FID_KHFW</t>
  </si>
  <si>
    <t>FID_SQFS</t>
  </si>
  <si>
    <t>FID_CKCS</t>
  </si>
  <si>
    <t>FID_CKDBSX</t>
  </si>
  <si>
    <t>FID_QKCS</t>
  </si>
  <si>
    <t>FID_QKDBSX</t>
  </si>
  <si>
    <t>FID_MMLBSM</t>
  </si>
  <si>
    <t>FID_SBJGSM</t>
  </si>
  <si>
    <t>FID_CDCZDX</t>
  </si>
  <si>
    <t>FID_DGDHBZ</t>
  </si>
  <si>
    <t>FID_DJZJ</t>
  </si>
  <si>
    <t>FID_LOGINPWD</t>
  </si>
  <si>
    <t>FID_LXSR</t>
  </si>
  <si>
    <t>FID_BRZQSL</t>
  </si>
  <si>
    <t>FID_BRZJYE</t>
  </si>
  <si>
    <t>FID_GDJG</t>
  </si>
  <si>
    <t>FID_CSID</t>
  </si>
  <si>
    <t>FID_SQLB</t>
  </si>
  <si>
    <t>FID_DLXH</t>
  </si>
  <si>
    <t>FID_ZPJE</t>
  </si>
  <si>
    <t>FID_GPSZ</t>
  </si>
  <si>
    <t>FID_MMYZFS</t>
  </si>
  <si>
    <t>FID_FZYZFS</t>
  </si>
  <si>
    <t>FID_GDHH</t>
  </si>
  <si>
    <t>FID_GDHL</t>
  </si>
  <si>
    <t>FID_ZQDML</t>
  </si>
  <si>
    <t>FID_ENDWTH</t>
  </si>
  <si>
    <t>FID_ZHXM</t>
  </si>
  <si>
    <t>FID_HOST</t>
  </si>
  <si>
    <t>FID_SRFS</t>
  </si>
  <si>
    <t>FID_SRYE</t>
  </si>
  <si>
    <t>FID_ZHSX</t>
  </si>
  <si>
    <t>FID_YZZZBZ</t>
  </si>
  <si>
    <t>FID_NEWKHJL</t>
  </si>
  <si>
    <t>FID_SCZJYE</t>
  </si>
  <si>
    <t>FID_SQPCH</t>
  </si>
  <si>
    <t>FID_ITEM</t>
  </si>
  <si>
    <t>FID_CSJB</t>
  </si>
  <si>
    <t>FID_PZH2</t>
  </si>
  <si>
    <t>FID_LPID</t>
  </si>
  <si>
    <t>FID_LPBM</t>
  </si>
  <si>
    <t>FID_LPMC</t>
  </si>
  <si>
    <t>FID_LPJZ</t>
  </si>
  <si>
    <t>FID_ZSFS</t>
  </si>
  <si>
    <t>FID_ZCKZED</t>
  </si>
  <si>
    <t>FID_YCDJJE</t>
  </si>
  <si>
    <t>FID_QSDM</t>
  </si>
  <si>
    <t>FID_QSMC</t>
  </si>
  <si>
    <t>FID_CLRQ</t>
  </si>
  <si>
    <t>FID_JGBM</t>
  </si>
  <si>
    <t>FID_CITY</t>
  </si>
  <si>
    <t>FID_PROVINCE</t>
  </si>
  <si>
    <t>FID_SJJG</t>
  </si>
  <si>
    <t>FID_SJJGLB</t>
  </si>
  <si>
    <t>FID_EN_SJJGLB</t>
  </si>
  <si>
    <t>FID_JJRXM</t>
  </si>
  <si>
    <t>FID_JSLX</t>
  </si>
  <si>
    <t>FID_HBXH</t>
  </si>
  <si>
    <t>FID_WTGY</t>
  </si>
  <si>
    <t>FID_WTZKXS</t>
  </si>
  <si>
    <t>FID_CXZKXS</t>
  </si>
  <si>
    <t>FID_QTZKXS</t>
  </si>
  <si>
    <t>FID_KYZJXE</t>
  </si>
  <si>
    <t>FID_ZCZH</t>
  </si>
  <si>
    <t>FID_SFBZ</t>
  </si>
  <si>
    <t>FID_JFFS</t>
  </si>
  <si>
    <t>FID_JFQD</t>
  </si>
  <si>
    <t>FID_JFDW</t>
  </si>
  <si>
    <t>FID_CZSJ</t>
  </si>
  <si>
    <t>FID_GYFL</t>
  </si>
  <si>
    <t>FID_WBGYDM</t>
  </si>
  <si>
    <t>FID_XQXZ</t>
  </si>
  <si>
    <t>FID_ZCXZ</t>
  </si>
  <si>
    <t>FID_SLSX</t>
  </si>
  <si>
    <t>FID_FJFZKBL</t>
  </si>
  <si>
    <t>FID_SHXYM</t>
  </si>
  <si>
    <t>FID_CDJSP</t>
  </si>
  <si>
    <t>FID_EN_NODE</t>
  </si>
  <si>
    <t>FID_EN_MYYYB</t>
  </si>
  <si>
    <t>FID_ZJGMRQ</t>
  </si>
  <si>
    <t>FID_JGSX</t>
  </si>
  <si>
    <t>FID_CDSX</t>
  </si>
  <si>
    <t>FID_CDDLL</t>
  </si>
  <si>
    <t>FID_YHSX</t>
  </si>
  <si>
    <t>FID_YHYW</t>
  </si>
  <si>
    <t>FID_ZQYW</t>
  </si>
  <si>
    <t>FID_ZJMMXY</t>
  </si>
  <si>
    <t>FID_JYMMXY</t>
  </si>
  <si>
    <t>FID_YHMMXY</t>
  </si>
  <si>
    <t>FID_YHMC</t>
  </si>
  <si>
    <t>FID_HBLB</t>
  </si>
  <si>
    <t>FID_DYBS</t>
  </si>
  <si>
    <t>FID_WBLSH</t>
  </si>
  <si>
    <t>FID_BDDJJE</t>
  </si>
  <si>
    <t>FID_SHLB</t>
  </si>
  <si>
    <t>FID_SHJG</t>
  </si>
  <si>
    <t>FID_YEGXSJ</t>
  </si>
  <si>
    <t>FID_QSMM</t>
  </si>
  <si>
    <t>FID_MMMY</t>
  </si>
  <si>
    <t>FID_CSMY</t>
  </si>
  <si>
    <t>FID_WBCLJG</t>
  </si>
  <si>
    <t>FID_XYBZ</t>
  </si>
  <si>
    <t>FID_JYBS</t>
  </si>
  <si>
    <t>FID_CLLB</t>
  </si>
  <si>
    <t>FID_FQF</t>
  </si>
  <si>
    <t>FID_HZBS</t>
  </si>
  <si>
    <t>FID_LY</t>
  </si>
  <si>
    <t>FID_QD1</t>
  </si>
  <si>
    <t>FID_QD2</t>
  </si>
  <si>
    <t>FID_QD3</t>
  </si>
  <si>
    <t>FID_QD4</t>
  </si>
  <si>
    <t>FID_QD5</t>
  </si>
  <si>
    <t>FID_BL1</t>
  </si>
  <si>
    <t>FID_BL2</t>
  </si>
  <si>
    <t>FID_BL3</t>
  </si>
  <si>
    <t>FID_BL4</t>
  </si>
  <si>
    <t>FID_BL5</t>
  </si>
  <si>
    <t>FID_KHJCGX</t>
  </si>
  <si>
    <t>FID_SYZH1</t>
  </si>
  <si>
    <t>FID_SYZH2</t>
  </si>
  <si>
    <t>FID_JSTS</t>
  </si>
  <si>
    <t>FID_TJJYR</t>
  </si>
  <si>
    <t>FID_TJTS</t>
  </si>
  <si>
    <t>FID_FPBL</t>
  </si>
  <si>
    <t>FID_ZKFS</t>
  </si>
  <si>
    <t>FID_ZJED</t>
  </si>
  <si>
    <t>FID_ZCED</t>
  </si>
  <si>
    <t>FID_GLF</t>
  </si>
  <si>
    <t>FID_YJDX</t>
  </si>
  <si>
    <t>FID_EX_JYLB</t>
  </si>
  <si>
    <t>FID_BDSL</t>
  </si>
  <si>
    <t>FID_HZFS</t>
  </si>
  <si>
    <t>FID_LPSL</t>
  </si>
  <si>
    <t>FID_KLX</t>
  </si>
  <si>
    <t>FID_KMC</t>
  </si>
  <si>
    <t>FID_BSCKSWZ</t>
  </si>
  <si>
    <t>FID_FJC</t>
  </si>
  <si>
    <t>FID_FJCKSWZ</t>
  </si>
  <si>
    <t>FID_KHKSWZ</t>
  </si>
  <si>
    <t>FID_KHCD</t>
  </si>
  <si>
    <t>FID_ZRSZ</t>
  </si>
  <si>
    <t>FID_NEXTDATA</t>
  </si>
  <si>
    <t>FID_SYL</t>
  </si>
  <si>
    <t>FID_GJBM1</t>
  </si>
  <si>
    <t>FID_GJBM2</t>
  </si>
  <si>
    <t>FID_GJBM3</t>
  </si>
  <si>
    <t>FID_GJMC</t>
  </si>
  <si>
    <t>FID_EGJMC</t>
  </si>
  <si>
    <t>FID_CCCB</t>
  </si>
  <si>
    <t>FID_MMXYLX</t>
  </si>
  <si>
    <t>FID_XZSJ</t>
  </si>
  <si>
    <t>FID_KHDXLX</t>
  </si>
  <si>
    <t>FID_JYSXGX</t>
  </si>
  <si>
    <t>FID_BZXGX</t>
  </si>
  <si>
    <t>FID_QZXGX</t>
  </si>
  <si>
    <t>FID_GYFJQX</t>
  </si>
  <si>
    <t>FID_ZHTZE</t>
  </si>
  <si>
    <t>FID_QSJE_B</t>
  </si>
  <si>
    <t>FID_QSJE_S</t>
  </si>
  <si>
    <t>FID_FDYK_TB</t>
  </si>
  <si>
    <t>FID_LLCSLB</t>
  </si>
  <si>
    <t>FID_EX_JJR</t>
  </si>
  <si>
    <t>FID_BZ_FH</t>
  </si>
  <si>
    <t>FID_HBDHBL</t>
  </si>
  <si>
    <t>FID_SYZH3</t>
  </si>
  <si>
    <t>FID_SYBL1</t>
  </si>
  <si>
    <t>FID_SYBL2</t>
  </si>
  <si>
    <t>FID_SYBL3</t>
  </si>
  <si>
    <t>FID_GDKZSX</t>
  </si>
  <si>
    <t>FID_RCKHH</t>
  </si>
  <si>
    <t>FID_RQ2</t>
  </si>
  <si>
    <t>FID_EN_YXZZDM</t>
  </si>
  <si>
    <t>FID_CITYID</t>
  </si>
  <si>
    <t>FID_SECTIONID</t>
  </si>
  <si>
    <t>FID_SECTION</t>
  </si>
  <si>
    <t>FID_SFZQ</t>
  </si>
  <si>
    <t>FID_KXDLSF</t>
  </si>
  <si>
    <t>FID_EN_YWLB</t>
  </si>
  <si>
    <t>FID_BZDM</t>
  </si>
  <si>
    <t>FID_WBDM</t>
  </si>
  <si>
    <t>FID_CSMC</t>
  </si>
  <si>
    <t>FID_QZSM</t>
  </si>
  <si>
    <t>FID_EN_FJBZ</t>
  </si>
  <si>
    <t>FID_HYMC</t>
  </si>
  <si>
    <t>FID_CWLX</t>
  </si>
  <si>
    <t>FID_CWDM</t>
  </si>
  <si>
    <t>FID_CWSM</t>
  </si>
  <si>
    <t>FID_TZEBZ</t>
  </si>
  <si>
    <t>FID_KBBZ</t>
  </si>
  <si>
    <t>FID_KHTZFL</t>
  </si>
  <si>
    <t>FID_ZJZR</t>
  </si>
  <si>
    <t>FID_ZJZC</t>
  </si>
  <si>
    <t>FID_MKKZ</t>
  </si>
  <si>
    <t>FID_MFCS</t>
  </si>
  <si>
    <t>FID_XZCS</t>
  </si>
  <si>
    <t>FID_SJSX_A</t>
  </si>
  <si>
    <t>FID_SJSX_S</t>
  </si>
  <si>
    <t>FID_MMCSCS</t>
  </si>
  <si>
    <t>FID_ZDJDTS</t>
  </si>
  <si>
    <t>FID_MFHQCS</t>
  </si>
  <si>
    <t>FID_HQSFSX</t>
  </si>
  <si>
    <t>FID_HKSFSX</t>
  </si>
  <si>
    <t>FID_SJSFSX</t>
  </si>
  <si>
    <t>FID_ZSFSX</t>
  </si>
  <si>
    <t>FID_DBYJXX</t>
  </si>
  <si>
    <t>FID_DBYJSX</t>
  </si>
  <si>
    <t>FID_ZCJJE</t>
  </si>
  <si>
    <t>FID_YJDJFS</t>
  </si>
  <si>
    <t>FID_TJZQLB</t>
  </si>
  <si>
    <t>FID_FDBH</t>
  </si>
  <si>
    <t>FID_CFCDBZ</t>
  </si>
  <si>
    <t>FID_TZXX</t>
  </si>
  <si>
    <t>FID_SYZKXS</t>
  </si>
  <si>
    <t>FID_SYTZFS</t>
  </si>
  <si>
    <t>FID_TZJESX</t>
  </si>
  <si>
    <t>FID_ZJLCDS</t>
  </si>
  <si>
    <t>FID_TZBDJE</t>
  </si>
  <si>
    <t>FID_ZHKHH</t>
  </si>
  <si>
    <t>FID_ZHZJZH</t>
  </si>
  <si>
    <t>FID_LCJZJE</t>
  </si>
  <si>
    <t>FID_LCFHJE</t>
  </si>
  <si>
    <t>FID_SYZTZBZ</t>
  </si>
  <si>
    <t>FID_SYZTZZQ</t>
  </si>
  <si>
    <t>FID_LCZSY</t>
  </si>
  <si>
    <t>FID_LCTZJE</t>
  </si>
  <si>
    <t>FID_FPSY</t>
  </si>
  <si>
    <t>FID_GBZQL</t>
  </si>
  <si>
    <t>FID_SGJG</t>
  </si>
  <si>
    <t>FID_SSRQ</t>
  </si>
  <si>
    <t>FID_HKRQ</t>
  </si>
  <si>
    <t>FID_SSDM</t>
  </si>
  <si>
    <t>FID_PHDM</t>
  </si>
  <si>
    <t>FID_HKDM</t>
  </si>
  <si>
    <t>FID_SGRQ</t>
  </si>
  <si>
    <t>FID_JEBL</t>
  </si>
  <si>
    <t>FID_LCJZQTJE</t>
  </si>
  <si>
    <t>FID_HZGDH</t>
  </si>
  <si>
    <t>FID_SYDX</t>
  </si>
  <si>
    <t>FID_JYLJSFS</t>
  </si>
  <si>
    <t>FID_JYLLJZQ</t>
  </si>
  <si>
    <t>FID_DJFS</t>
  </si>
  <si>
    <t>FID_HZLB</t>
  </si>
  <si>
    <t>FID_FSJE_LCBJ</t>
  </si>
  <si>
    <t>FID_BCYE_LCBJ</t>
  </si>
  <si>
    <t>FID_FSJE_SY</t>
  </si>
  <si>
    <t>FID_BCYE_SY</t>
  </si>
  <si>
    <t>FID_FSJE_BZJ</t>
  </si>
  <si>
    <t>FID_BCYE_BZJ</t>
  </si>
  <si>
    <t>FID_HZLBMC</t>
  </si>
  <si>
    <t>FID_KSFW</t>
  </si>
  <si>
    <t>FID_JSFW</t>
  </si>
  <si>
    <t>FID_KHS</t>
  </si>
  <si>
    <t>FID_XHS</t>
  </si>
  <si>
    <t>FID_ZHS</t>
  </si>
  <si>
    <t>FID_ZDGDHS</t>
  </si>
  <si>
    <t>FID_CXZDHS</t>
  </si>
  <si>
    <t>FID_CCGDHS</t>
  </si>
  <si>
    <t>FID_TJZJYE</t>
  </si>
  <si>
    <t>FID_TJZJCK</t>
  </si>
  <si>
    <t>FID_TJZJQK</t>
  </si>
  <si>
    <t>FID_TJZJGP</t>
  </si>
  <si>
    <t>FID_TJJSGP</t>
  </si>
  <si>
    <t>FID_TJGPSZ</t>
  </si>
  <si>
    <t>FID_TJZZC</t>
  </si>
  <si>
    <t>FID_FDB1</t>
  </si>
  <si>
    <t>FID_FDE1</t>
  </si>
  <si>
    <t>FID_FDB2</t>
  </si>
  <si>
    <t>FID_FDE2</t>
  </si>
  <si>
    <t>FID_FDB3</t>
  </si>
  <si>
    <t>FID_FDE3</t>
  </si>
  <si>
    <t>FID_FDB4</t>
  </si>
  <si>
    <t>FID_FDE4</t>
  </si>
  <si>
    <t>FID_FDB5</t>
  </si>
  <si>
    <t>FID_FDE5</t>
  </si>
  <si>
    <t>FID_FDB6</t>
  </si>
  <si>
    <t>FID_FDE6</t>
  </si>
  <si>
    <t>FID_TJJGGS</t>
  </si>
  <si>
    <t>FID_TJJGSJ</t>
  </si>
  <si>
    <t>FID_TZJE</t>
  </si>
  <si>
    <t>FID_WJSZJ</t>
  </si>
  <si>
    <t>FID_YDZD</t>
  </si>
  <si>
    <t>FID_YDZDSM</t>
  </si>
  <si>
    <t>FID_YDSJ</t>
  </si>
  <si>
    <t>FID_JCJJE</t>
  </si>
  <si>
    <t>FID_YXHS</t>
  </si>
  <si>
    <t>FID_CJSLBL</t>
  </si>
  <si>
    <t>FID_CJJEBL</t>
  </si>
  <si>
    <t>FID_S1BL</t>
  </si>
  <si>
    <t>FID_ZZCBL1</t>
  </si>
  <si>
    <t>FID_ZZCBL2</t>
  </si>
  <si>
    <t>FID_ZSLBL1</t>
  </si>
  <si>
    <t>FID_ZSLBL2</t>
  </si>
  <si>
    <t>FID_ZHSBL1</t>
  </si>
  <si>
    <t>FID_ZHSBL2</t>
  </si>
  <si>
    <t>FID_JEXX</t>
  </si>
  <si>
    <t>FID_ZQDJLSH</t>
  </si>
  <si>
    <t>FID_WTSB</t>
  </si>
  <si>
    <t>FID_QDBZ</t>
  </si>
  <si>
    <t>FID_WBCKKY</t>
  </si>
  <si>
    <t>FID_WBCKKQ</t>
  </si>
  <si>
    <t>FID_WBDJJE</t>
  </si>
  <si>
    <t>FID_JYXZ</t>
  </si>
  <si>
    <t>FID_ZJXYFS</t>
  </si>
  <si>
    <t>FID_HBBZ</t>
  </si>
  <si>
    <t>FID_ZJHZFS</t>
  </si>
  <si>
    <t>FID_DRQKJE</t>
  </si>
  <si>
    <t>FID_ZZJSSJ</t>
  </si>
  <si>
    <t>FID_CZDRZXBZ</t>
  </si>
  <si>
    <t>FID_LSH_LXS</t>
  </si>
  <si>
    <t>FID_ZJMXLSH</t>
  </si>
  <si>
    <t>FID_YSSL</t>
  </si>
  <si>
    <t>FID_JYSFY</t>
  </si>
  <si>
    <t>FID_ZSZBL1</t>
  </si>
  <si>
    <t>FID_ZSZBL2</t>
  </si>
  <si>
    <t>FID_QCKHS</t>
  </si>
  <si>
    <t>FID_QMKHS</t>
  </si>
  <si>
    <t>FID_DRCKJE</t>
  </si>
  <si>
    <t>FID_TZCKJE</t>
  </si>
  <si>
    <t>FID_JGMC_E</t>
  </si>
  <si>
    <t>FID_FRDB</t>
  </si>
  <si>
    <t>FID_WTQR</t>
  </si>
  <si>
    <t>FID_HYLB</t>
  </si>
  <si>
    <t>FID_YWFW</t>
  </si>
  <si>
    <t>FID_ZCDZ</t>
  </si>
  <si>
    <t>FID_ZCZB</t>
  </si>
  <si>
    <t>FID_YSZC</t>
  </si>
  <si>
    <t>FID_CXWTH</t>
  </si>
  <si>
    <t>FID_YWXZ</t>
  </si>
  <si>
    <t>FID_SJXM</t>
  </si>
  <si>
    <t>FID_SJMC</t>
  </si>
  <si>
    <t>FID_JS</t>
  </si>
  <si>
    <t>FID_PGSL</t>
  </si>
  <si>
    <t>FID_CSLB</t>
  </si>
  <si>
    <t>FID_FJBZ</t>
  </si>
  <si>
    <t>FID_QZQKBZ</t>
  </si>
  <si>
    <t>FID_SBRQ</t>
  </si>
  <si>
    <t>FID_ZCXX</t>
  </si>
  <si>
    <t>FID_ZCSX</t>
  </si>
  <si>
    <t>FID_TIME</t>
  </si>
  <si>
    <t>FID_PGJE</t>
  </si>
  <si>
    <t>FID_TGZH</t>
  </si>
  <si>
    <t>FID_GZQX</t>
  </si>
  <si>
    <t>FID_GZJYSX</t>
  </si>
  <si>
    <t>FID_ISLOGIN</t>
  </si>
  <si>
    <t>FID_GZNBDM</t>
  </si>
  <si>
    <t>FID_GZFJSX</t>
  </si>
  <si>
    <t>FID_GZMZSX</t>
  </si>
  <si>
    <t>FID_GZJXTS</t>
  </si>
  <si>
    <t>FID_FXJG</t>
  </si>
  <si>
    <t>FID_TGBH</t>
  </si>
  <si>
    <t>FID_TGRQ</t>
  </si>
  <si>
    <t>FID_CQDJ</t>
  </si>
  <si>
    <t>FID_DQBX</t>
  </si>
  <si>
    <t>FID_GZLL</t>
  </si>
  <si>
    <t>FID_LTRQ</t>
  </si>
  <si>
    <t>FID_FXZQDJR</t>
  </si>
  <si>
    <t>FID_ZQFXRQ</t>
  </si>
  <si>
    <t>FID_DFZQDJR</t>
  </si>
  <si>
    <t>FID_HGJG</t>
  </si>
  <si>
    <t>FID_KTBZ</t>
  </si>
  <si>
    <t>FID_HGSL</t>
  </si>
  <si>
    <t>FID_ZRTGZH</t>
  </si>
  <si>
    <t>FID_WQSZJ</t>
  </si>
  <si>
    <t>FID_DFSXFL</t>
  </si>
  <si>
    <t>FID_DFLXSL</t>
  </si>
  <si>
    <t>FID_CSSM</t>
  </si>
  <si>
    <t>FID_XGGY</t>
  </si>
  <si>
    <t>FID_LOGINNAME</t>
  </si>
  <si>
    <t>FID_MRDLSF</t>
  </si>
  <si>
    <t>FID_MGZC</t>
  </si>
  <si>
    <t>FID_SNMGSY</t>
  </si>
  <si>
    <t>FID_XZJB</t>
  </si>
  <si>
    <t>FID_EN_MCQZ</t>
  </si>
  <si>
    <t>FID_BDZQDM</t>
  </si>
  <si>
    <t>FID_RQWGHZJ</t>
  </si>
  <si>
    <t>FID_RZWGHZJ</t>
  </si>
  <si>
    <t>FID_BWJSZJ</t>
  </si>
  <si>
    <t>FID_SWJSZJ</t>
  </si>
  <si>
    <t>FID_YSYXYED</t>
  </si>
  <si>
    <t>FID_DJWTK</t>
  </si>
  <si>
    <t>FID_DJHBK</t>
  </si>
  <si>
    <t>FID_CDSB</t>
  </si>
  <si>
    <t>FID_CDQR</t>
  </si>
  <si>
    <t>FID_WTQRNO</t>
  </si>
  <si>
    <t>FID_CDQRNO</t>
  </si>
  <si>
    <t>FID_TYPE_BF</t>
  </si>
  <si>
    <t>FID_MODULE_BF</t>
  </si>
  <si>
    <t>FID_HOST_BF</t>
  </si>
  <si>
    <t>FID_WTSB_BF</t>
  </si>
  <si>
    <t>FID_WTQR_BF</t>
  </si>
  <si>
    <t>FID_CDSB_BF</t>
  </si>
  <si>
    <t>FID_CDQR_BF</t>
  </si>
  <si>
    <t>FID_WTQRNO_BF</t>
  </si>
  <si>
    <t>FID_CDQRNO_BF</t>
  </si>
  <si>
    <t>FID_TDBH</t>
  </si>
  <si>
    <t>FID_EN_TDBH</t>
  </si>
  <si>
    <t>FID_LTXW</t>
  </si>
  <si>
    <t>FID_YYBXZMS</t>
  </si>
  <si>
    <t>FID_ZQLBXZMS</t>
  </si>
  <si>
    <t>FID_SBBS_S</t>
  </si>
  <si>
    <t>FID_JGSJ</t>
  </si>
  <si>
    <t>FID_YXHSBL1</t>
  </si>
  <si>
    <t>FID_YXHSBL2</t>
  </si>
  <si>
    <t>FID_ENDKHH</t>
  </si>
  <si>
    <t>FID_FILESIZE</t>
  </si>
  <si>
    <t>FID_FILETRANSIZE</t>
  </si>
  <si>
    <t>FID_YHSL</t>
  </si>
  <si>
    <t>FID_GHFL</t>
  </si>
  <si>
    <t>FID_GHFXX</t>
  </si>
  <si>
    <t>FID_GHFSX</t>
  </si>
  <si>
    <t>FID_FJF</t>
  </si>
  <si>
    <t>FID_JSFL</t>
  </si>
  <si>
    <t>FID_JSFXX</t>
  </si>
  <si>
    <t>FID_JSFSX</t>
  </si>
  <si>
    <t>FID_JYGFL</t>
  </si>
  <si>
    <t>FID_JYGFXX</t>
  </si>
  <si>
    <t>FID_JYGFSX</t>
  </si>
  <si>
    <t>FID_QTFL</t>
  </si>
  <si>
    <t>FID_FID</t>
  </si>
  <si>
    <t>FID_EN_XWH</t>
  </si>
  <si>
    <t>FID_FWDM</t>
  </si>
  <si>
    <t>FID_FWMC</t>
  </si>
  <si>
    <t>FID_FWLX</t>
  </si>
  <si>
    <t>FID_SLZ</t>
  </si>
  <si>
    <t>FID_CLFS</t>
  </si>
  <si>
    <t>FID_FILE</t>
  </si>
  <si>
    <t>FID_FILE2</t>
  </si>
  <si>
    <t>FID_PROCNAME</t>
  </si>
  <si>
    <t>FID_CSXH</t>
  </si>
  <si>
    <t>FID_QSZ</t>
  </si>
  <si>
    <t>FID_CJHB</t>
  </si>
  <si>
    <t>FID_CS1</t>
  </si>
  <si>
    <t>FID_CS2</t>
  </si>
  <si>
    <t>FID_CS3</t>
  </si>
  <si>
    <t>FID_CS4</t>
  </si>
  <si>
    <t>FID_CS5</t>
  </si>
  <si>
    <t>FID_CS6</t>
  </si>
  <si>
    <t>FID_CS7</t>
  </si>
  <si>
    <t>FID_CS8</t>
  </si>
  <si>
    <t>FID_CS9</t>
  </si>
  <si>
    <t>FID_CS10</t>
  </si>
  <si>
    <t>FID_CS11</t>
  </si>
  <si>
    <t>FID_CS12</t>
  </si>
  <si>
    <t>FID_CS13</t>
  </si>
  <si>
    <t>FID_CS14</t>
  </si>
  <si>
    <t>FID_CS15</t>
  </si>
  <si>
    <t>FID_OPTION</t>
  </si>
  <si>
    <t>FID_PACKINDEX</t>
  </si>
  <si>
    <t>FID_GYDM</t>
  </si>
  <si>
    <t>FID_JYJS</t>
  </si>
  <si>
    <t>FID_QTSX</t>
  </si>
  <si>
    <t>FID_TDJY</t>
  </si>
  <si>
    <t>FID_ZQSZ_USD</t>
  </si>
  <si>
    <t>FID_ZQSZ_HKD</t>
  </si>
  <si>
    <t>FID_ZJYE_RMB</t>
  </si>
  <si>
    <t>FID_ZJYE_USD</t>
  </si>
  <si>
    <t>FID_ZJYE_HKD</t>
  </si>
  <si>
    <t>FID_ZJYE_ZSRMB</t>
  </si>
  <si>
    <t>FID_QTZC_RMB</t>
  </si>
  <si>
    <t>FID_QTZC_USD</t>
  </si>
  <si>
    <t>FID_QTZC_HKD</t>
  </si>
  <si>
    <t>FID_QTZC_ZSRMB</t>
  </si>
  <si>
    <t>FID_LASTRECNO</t>
  </si>
  <si>
    <t>FID_HTHQZFW</t>
  </si>
  <si>
    <t>FID_TZZHDM</t>
  </si>
  <si>
    <t>FID_TZZHMC</t>
  </si>
  <si>
    <t>FID_TZZHQZ</t>
  </si>
  <si>
    <t>FID_TZZHLB</t>
  </si>
  <si>
    <t>FID_HTHQJ</t>
  </si>
  <si>
    <t>FID_FWLB</t>
  </si>
  <si>
    <t>FID_XMZX</t>
  </si>
  <si>
    <t>FID_DZLB</t>
  </si>
  <si>
    <t>FID_QSDZLB</t>
  </si>
  <si>
    <t>FID_SJFY</t>
  </si>
  <si>
    <t>FID_YJFY</t>
  </si>
  <si>
    <t>FID_DF</t>
  </si>
  <si>
    <t>FID_FSCS</t>
  </si>
  <si>
    <t>FID_HQNR</t>
  </si>
  <si>
    <t>FID_ZDSJ</t>
  </si>
  <si>
    <t>FID_SJQJ</t>
  </si>
  <si>
    <t>FID_XWZBH</t>
  </si>
  <si>
    <t>FID_XJDM</t>
  </si>
  <si>
    <t>FID_RGQRDM</t>
  </si>
  <si>
    <t>FID_XWZMC</t>
  </si>
  <si>
    <t>FID_RIGH</t>
  </si>
  <si>
    <t>FID_MGSY</t>
  </si>
  <si>
    <t>FID_SHDM</t>
  </si>
  <si>
    <t>FID_SZDM</t>
  </si>
  <si>
    <t>FID_GSHY</t>
  </si>
  <si>
    <t>FID_GSMC</t>
  </si>
  <si>
    <t>FID_FXZL</t>
  </si>
  <si>
    <t>FID_FILEWRITETIME</t>
  </si>
  <si>
    <t>FID_DHXL</t>
  </si>
  <si>
    <t>FID_BLFM</t>
  </si>
  <si>
    <t>FID_BLFZ</t>
  </si>
  <si>
    <t>FID_ZQL</t>
  </si>
  <si>
    <t>FID_SSGJ</t>
  </si>
  <si>
    <t>FID_FXRQ</t>
  </si>
  <si>
    <t>FID_ZQYHRQ</t>
  </si>
  <si>
    <t>FID_CQRQ</t>
  </si>
  <si>
    <t>FID_JKQSRQ</t>
  </si>
  <si>
    <t>FID_JKJSRQ</t>
  </si>
  <si>
    <t>FID_TSXX</t>
  </si>
  <si>
    <t>FID_ZGB</t>
  </si>
  <si>
    <t>FID_MGGJJ</t>
  </si>
  <si>
    <t>FID_MGWFPLR</t>
  </si>
  <si>
    <t>FID_CLMC</t>
  </si>
  <si>
    <t>FID_EN_FLLB</t>
  </si>
  <si>
    <t>FID_GHFZKL</t>
  </si>
  <si>
    <t>FID_LJJS</t>
  </si>
  <si>
    <t>FID_LJZQ</t>
  </si>
  <si>
    <t>FID_ZCJSFS</t>
  </si>
  <si>
    <t>FID_ZSYJL</t>
  </si>
  <si>
    <t>FID_JYLFDBH</t>
  </si>
  <si>
    <t>FID_ZCFDBH</t>
  </si>
  <si>
    <t>FID_JYLXX</t>
  </si>
  <si>
    <t>FID_JYLSX</t>
  </si>
  <si>
    <t>FID_FZYWDM</t>
  </si>
  <si>
    <t>FID_LOGIN_ENABLE</t>
  </si>
  <si>
    <t>FID_ZQJY_ENABLE</t>
  </si>
  <si>
    <t>FID_ZJYW_ENABLE</t>
  </si>
  <si>
    <t>FID_LSCXYW_ENABLE</t>
  </si>
  <si>
    <t>FID_OFS_ENABLE</t>
  </si>
  <si>
    <t>FID_KHYW_ENABLE</t>
  </si>
  <si>
    <t>FID_SFYG</t>
  </si>
  <si>
    <t>FID_XZYS</t>
  </si>
  <si>
    <t>FID_FUNCID</t>
  </si>
  <si>
    <t>FID_CXJE</t>
  </si>
  <si>
    <t>FID_ZJLY</t>
  </si>
  <si>
    <t>FID_WTSF</t>
  </si>
  <si>
    <t>FID_CDSF</t>
  </si>
  <si>
    <t>FID_LSCLMS</t>
  </si>
  <si>
    <t>FID_JLLSBZ</t>
  </si>
  <si>
    <t>FID_TZMS</t>
  </si>
  <si>
    <t>FID_DOMAIN1</t>
  </si>
  <si>
    <t>FID_REGLOG</t>
  </si>
  <si>
    <t>FID_SLTSFS</t>
  </si>
  <si>
    <t>FID_OWNER_KH</t>
  </si>
  <si>
    <t>FID_OWNER_JJR</t>
  </si>
  <si>
    <t>FID_KZFS_KHQX</t>
  </si>
  <si>
    <t>FID_KZFS_YHQX</t>
  </si>
  <si>
    <t>FID_KZFS_CSQX</t>
  </si>
  <si>
    <t>FID_KZFS_KHFL</t>
  </si>
  <si>
    <t>FID_WJLX</t>
  </si>
  <si>
    <t>FID_WJLJ</t>
  </si>
  <si>
    <t>FID_SYFW</t>
  </si>
  <si>
    <t>FID_ZJDZ</t>
  </si>
  <si>
    <t>FID_ZJDZ_FRDB</t>
  </si>
  <si>
    <t>FID_XM_JBR</t>
  </si>
  <si>
    <t>FID_ZJLB_JBR</t>
  </si>
  <si>
    <t>FID_ZJBH_JBR</t>
  </si>
  <si>
    <t>FID_ZCFZ</t>
  </si>
  <si>
    <t>FID_EN_ZCFZ</t>
  </si>
  <si>
    <t>FID_RZRQ</t>
  </si>
  <si>
    <t>FID_TXXS</t>
  </si>
  <si>
    <t>FID_CDWZID_NEW</t>
  </si>
  <si>
    <t>FID_KZYWDM</t>
  </si>
  <si>
    <t>FID_KZYWMC</t>
  </si>
  <si>
    <t>FID_KZYWSM</t>
  </si>
  <si>
    <t>FID_KZYWZT</t>
  </si>
  <si>
    <t>FID_NZZCJE</t>
  </si>
  <si>
    <t>FID_NZZRJE</t>
  </si>
  <si>
    <t>FID_QTCKJE</t>
  </si>
  <si>
    <t>FID_QTQKJE</t>
  </si>
  <si>
    <t>FID_ZPCKJE</t>
  </si>
  <si>
    <t>FID_ZPQKJE</t>
  </si>
  <si>
    <t>FID_ZZZCJE</t>
  </si>
  <si>
    <t>FID_ZZZRJE</t>
  </si>
  <si>
    <t>FID_HCJE</t>
  </si>
  <si>
    <t>FID_LBJE</t>
  </si>
  <si>
    <t>FID_TJZQ</t>
  </si>
  <si>
    <t>FID_TJDW</t>
  </si>
  <si>
    <t>FID_TGZRHS</t>
  </si>
  <si>
    <t>FID_TGZCHS</t>
  </si>
  <si>
    <t>FID_TGZRSZ</t>
  </si>
  <si>
    <t>FID_TGZCSZ</t>
  </si>
  <si>
    <t>FID_ZDZRSZ</t>
  </si>
  <si>
    <t>FID_CZZCSZ</t>
  </si>
  <si>
    <t>FID_JGLBMC</t>
  </si>
  <si>
    <t>FID_FXLB</t>
  </si>
  <si>
    <t>FID_QZLX</t>
  </si>
  <si>
    <t>FID_FILEDATA</t>
  </si>
  <si>
    <t>FID_FILEZIP</t>
  </si>
  <si>
    <t>FID_FILECOMPANYNAME</t>
  </si>
  <si>
    <t>FID_FILEPRODUCTNAME</t>
  </si>
  <si>
    <t>FID_FILEDIR</t>
  </si>
  <si>
    <t>FID_FILENEW</t>
  </si>
  <si>
    <t>FID_FILERELATION</t>
  </si>
  <si>
    <t>FID_FILEPOSITION</t>
  </si>
  <si>
    <t>FID_FILETYPE</t>
  </si>
  <si>
    <t>FID_XQFS</t>
  </si>
  <si>
    <t>FID_ZCLB</t>
  </si>
  <si>
    <t>FID_DBXS</t>
  </si>
  <si>
    <t>FID_SJZD</t>
  </si>
  <si>
    <t>FID_SRKJLX</t>
  </si>
  <si>
    <t>FID_DZFS</t>
  </si>
  <si>
    <t>FID_CXSL</t>
  </si>
  <si>
    <t>FID_BLSFUNC</t>
  </si>
  <si>
    <t>FID_QSFY</t>
  </si>
  <si>
    <t>FID_RGRQ</t>
  </si>
  <si>
    <t>FID_JGRQ</t>
  </si>
  <si>
    <t>FID_JYSCPFL</t>
  </si>
  <si>
    <t>FID_JYSCPZL</t>
  </si>
  <si>
    <t>FID_SBJB</t>
  </si>
  <si>
    <t>FID_ZSXJ</t>
  </si>
  <si>
    <t>FID_JYSDDBH</t>
  </si>
  <si>
    <t>FID_BRCJSL</t>
  </si>
  <si>
    <t>FID_BRCJJE</t>
  </si>
  <si>
    <t>FID_EN_SBJB</t>
  </si>
  <si>
    <t>FID_DZXXBZ</t>
  </si>
  <si>
    <t>FID_DXLX</t>
  </si>
  <si>
    <t>FID_EN_LOGINID</t>
  </si>
  <si>
    <t>FID_EN_JSDM</t>
  </si>
  <si>
    <t>FID_JYBWFL</t>
  </si>
  <si>
    <t>FID_QRSMJG</t>
  </si>
  <si>
    <t>FID_NONTRADINGORDTYPE</t>
  </si>
  <si>
    <t>FID_ORDTYPE</t>
  </si>
  <si>
    <t>FID_SIDE</t>
  </si>
  <si>
    <t>FID_TIMEINFORCE</t>
  </si>
  <si>
    <t>FID_TRADINGSESSIO</t>
  </si>
  <si>
    <t>FID_ZJJRBZ</t>
  </si>
  <si>
    <t>FID_PJZC</t>
  </si>
  <si>
    <t>FID_KHMMSQ</t>
  </si>
  <si>
    <t>FID_TJRQ</t>
  </si>
  <si>
    <t>FID_BCDJSL</t>
  </si>
  <si>
    <t>FID_TQSL</t>
  </si>
  <si>
    <t>FID_EN_SQLB</t>
  </si>
  <si>
    <t>FID_RGJG</t>
  </si>
  <si>
    <t>FID_CGLB</t>
  </si>
  <si>
    <t>FID_CGZH</t>
  </si>
  <si>
    <t>FID_CGYHDM</t>
  </si>
  <si>
    <t>FID_CGYHZH</t>
  </si>
  <si>
    <t>FID_CGCLJG</t>
  </si>
  <si>
    <t>FID_CGJGSM</t>
  </si>
  <si>
    <t>FID_CGCLRQ</t>
  </si>
  <si>
    <t>FID_CGCLSJ</t>
  </si>
  <si>
    <t>FID_CGWBCLJG</t>
  </si>
  <si>
    <t>FID_CXWBLSH</t>
  </si>
  <si>
    <t>FID_YHYE</t>
  </si>
  <si>
    <t>FID_ZBYH</t>
  </si>
  <si>
    <t>FID_CGJGDM</t>
  </si>
  <si>
    <t>FID_MRSL6</t>
  </si>
  <si>
    <t>FID_MRSL7</t>
  </si>
  <si>
    <t>FID_MRSL8</t>
  </si>
  <si>
    <t>FID_MRSL9</t>
  </si>
  <si>
    <t>FID_MRSL10</t>
  </si>
  <si>
    <t>FID_MCSL6</t>
  </si>
  <si>
    <t>FID_MCSL7</t>
  </si>
  <si>
    <t>FID_MCSL8</t>
  </si>
  <si>
    <t>FID_MCSL9</t>
  </si>
  <si>
    <t>FID_MCSL10</t>
  </si>
  <si>
    <t>FID_MRJG6</t>
  </si>
  <si>
    <t>FID_MRJG7</t>
  </si>
  <si>
    <t>FID_MRJG8</t>
  </si>
  <si>
    <t>FID_MRJG9</t>
  </si>
  <si>
    <t>FID_MRJG10</t>
  </si>
  <si>
    <t>FID_MCJG6</t>
  </si>
  <si>
    <t>FID_MCJG7</t>
  </si>
  <si>
    <t>FID_MCJG8</t>
  </si>
  <si>
    <t>FID_MCJG9</t>
  </si>
  <si>
    <t>FID_MCJG10</t>
  </si>
  <si>
    <t>FID_PCDWBL</t>
  </si>
  <si>
    <t>FID_MRJG</t>
  </si>
  <si>
    <t>FID_TOKEN</t>
  </si>
  <si>
    <t>FID_CCSLXZ</t>
  </si>
  <si>
    <t>FID_PCBL</t>
  </si>
  <si>
    <t>FID_LTSL</t>
  </si>
  <si>
    <t>FID_TABLENAME</t>
  </si>
  <si>
    <t>FID_FIELDNAME</t>
  </si>
  <si>
    <t>FID_JDBZ</t>
  </si>
  <si>
    <t>FID_HYB</t>
  </si>
  <si>
    <t>FID_JKHH</t>
  </si>
  <si>
    <t>FID_DKHH</t>
  </si>
  <si>
    <t>FID_JYYB</t>
  </si>
  <si>
    <t>FID_DYYB</t>
  </si>
  <si>
    <t>FID_ZCKZDX</t>
  </si>
  <si>
    <t>FID_HYJE</t>
  </si>
  <si>
    <t>FID_ZJZHBH</t>
  </si>
  <si>
    <t>FID_JQRQ</t>
  </si>
  <si>
    <t>FID_ZHYH</t>
  </si>
  <si>
    <t>FID_JZJZH</t>
  </si>
  <si>
    <t>FID_DZJZH</t>
  </si>
  <si>
    <t>FID_JZJYYB</t>
  </si>
  <si>
    <t>FID_DZJYYB</t>
  </si>
  <si>
    <t>FID_EN_JYYB</t>
  </si>
  <si>
    <t>FID_EN_DYYB</t>
  </si>
  <si>
    <t>FID_EN_JZJYYB</t>
  </si>
  <si>
    <t>FID_EN_DZJYYB</t>
  </si>
  <si>
    <t>FID_DJGY</t>
  </si>
  <si>
    <t>FID_SHGY</t>
  </si>
  <si>
    <t>FID_JKHXM</t>
  </si>
  <si>
    <t>FID_DKHXM</t>
  </si>
  <si>
    <t>FID_EN_BH</t>
  </si>
  <si>
    <t>FID_EN_ZBH</t>
  </si>
  <si>
    <t>FID_ZHDYCS</t>
  </si>
  <si>
    <t>FID_ZBH</t>
  </si>
  <si>
    <t>FID_ZHMC</t>
  </si>
  <si>
    <t>FID_JZHYE</t>
  </si>
  <si>
    <t>FID_DZHYE</t>
  </si>
  <si>
    <t>FID_JZCZZ</t>
  </si>
  <si>
    <t>FID_DZCZZ</t>
  </si>
  <si>
    <t>FID_SHTG</t>
  </si>
  <si>
    <t>FID_JQHYJE</t>
  </si>
  <si>
    <t>FID_EN_KHYYB</t>
  </si>
  <si>
    <t>FID_EN_ZJYYB</t>
  </si>
  <si>
    <t>FID_SRYE2</t>
  </si>
  <si>
    <t>FID_ZHYE2</t>
  </si>
  <si>
    <t>FID_ZPJE2</t>
  </si>
  <si>
    <t>FID_DJJE2</t>
  </si>
  <si>
    <t>FID_YCDJJE2</t>
  </si>
  <si>
    <t>FID_ZJCQDJ2</t>
  </si>
  <si>
    <t>FID_WJSJE2</t>
  </si>
  <si>
    <t>FID_KYZJ2</t>
  </si>
  <si>
    <t>FID_KQZJ2</t>
  </si>
  <si>
    <t>FID_XJZC2</t>
  </si>
  <si>
    <t>FID_GPSZ2</t>
  </si>
  <si>
    <t>FID_LX2</t>
  </si>
  <si>
    <t>FID_LXS2</t>
  </si>
  <si>
    <t>FID_TZLX2</t>
  </si>
  <si>
    <t>FID_RZJE2</t>
  </si>
  <si>
    <t>FID_QSJE_B2</t>
  </si>
  <si>
    <t>FID_QSJE_S2</t>
  </si>
  <si>
    <t>FID_DRCKJE2</t>
  </si>
  <si>
    <t>FID_TZCKJE2</t>
  </si>
  <si>
    <t>FID_HAVE_ZCXX</t>
  </si>
  <si>
    <t>FID_HAVE_JKCS</t>
  </si>
  <si>
    <t>FID_XZDJ</t>
  </si>
  <si>
    <t>FID_CCBLXZ</t>
  </si>
  <si>
    <t>FID_ZHYJE</t>
  </si>
  <si>
    <t>FID_RZBLSX</t>
  </si>
  <si>
    <t>FID_SHQD</t>
  </si>
  <si>
    <t>FID_SHFS</t>
  </si>
  <si>
    <t>FID_SHJS</t>
  </si>
  <si>
    <t>FID_LCMC</t>
  </si>
  <si>
    <t>FID_SHJB</t>
  </si>
  <si>
    <t>FID_LGFH</t>
  </si>
  <si>
    <t>FID_LGFHJSDM</t>
  </si>
  <si>
    <t>FID_JKYWDM</t>
  </si>
  <si>
    <t>FID_SFJYLX</t>
  </si>
  <si>
    <t>FID_MBMC</t>
  </si>
  <si>
    <t>FID_XSBQ</t>
  </si>
  <si>
    <t>FID_FLLB</t>
  </si>
  <si>
    <t>FID_GFBDFX</t>
  </si>
  <si>
    <t>FID_GFJSTS</t>
  </si>
  <si>
    <t>FID_JHJJKS</t>
  </si>
  <si>
    <t>FID_JHJJJS</t>
  </si>
  <si>
    <t>FID_JSFBZ</t>
  </si>
  <si>
    <t>FID_JYKZ</t>
  </si>
  <si>
    <t>FID_QSDZ</t>
  </si>
  <si>
    <t>FID_SHSBBZ</t>
  </si>
  <si>
    <t>FID_SZSBBZ</t>
  </si>
  <si>
    <t>FID_SZCDBZ</t>
  </si>
  <si>
    <t>FID_SWKSSJ</t>
  </si>
  <si>
    <t>FID_SWBSSJ</t>
  </si>
  <si>
    <t>FID_XWKSSJ</t>
  </si>
  <si>
    <t>FID_XWBSSJ</t>
  </si>
  <si>
    <t>FID_SJXZ</t>
  </si>
  <si>
    <t>FID_XJFS</t>
  </si>
  <si>
    <t>FID_ZJBDFX</t>
  </si>
  <si>
    <t>FID_ZJJSTS</t>
  </si>
  <si>
    <t>FID_XGDM</t>
  </si>
  <si>
    <t>FID_JSFS</t>
  </si>
  <si>
    <t>FID_XWLX</t>
  </si>
  <si>
    <t>FID_JGDW</t>
  </si>
  <si>
    <t>FID_MCJG</t>
  </si>
  <si>
    <t>FID_KCDW</t>
  </si>
  <si>
    <t>FID_JYBM</t>
  </si>
  <si>
    <t>FID_TZLB</t>
  </si>
  <si>
    <t>FID_KPBZ</t>
  </si>
  <si>
    <t>FID_JYSBZJ</t>
  </si>
  <si>
    <t>FID_JGSL</t>
  </si>
  <si>
    <t>FID_LJZK</t>
  </si>
  <si>
    <t>FID_FXL</t>
  </si>
  <si>
    <t>FID_ZFXL</t>
  </si>
  <si>
    <t>FID_PCSL</t>
  </si>
  <si>
    <t>FID_PCYK</t>
  </si>
  <si>
    <t>FID_PCRQ</t>
  </si>
  <si>
    <t>FID_CCWTH</t>
  </si>
  <si>
    <t>FID_GSDM</t>
  </si>
  <si>
    <t>FID_SBJLH</t>
  </si>
  <si>
    <t>FID_ZKFY</t>
  </si>
  <si>
    <t>FID_CJJJ</t>
  </si>
  <si>
    <t>FID_DJBZJ</t>
  </si>
  <si>
    <t>FID_SBGY</t>
  </si>
  <si>
    <t>FID_BDJE</t>
  </si>
  <si>
    <t>FID_BCDJ</t>
  </si>
  <si>
    <t>FID_BDSJ</t>
  </si>
  <si>
    <t>FID_CCSL</t>
  </si>
  <si>
    <t>FID_DWBZJ</t>
  </si>
  <si>
    <t>FID_JYSBZJBL</t>
  </si>
  <si>
    <t>FID_JYSDWBZJ</t>
  </si>
  <si>
    <t>FID_LJFH</t>
  </si>
  <si>
    <t>FID_BRSXF</t>
  </si>
  <si>
    <t>FID_BRPCYK</t>
  </si>
  <si>
    <t>FID_JYSBRSXF</t>
  </si>
  <si>
    <t>FID_JYSCCXE</t>
  </si>
  <si>
    <t>FID_KHCCXE</t>
  </si>
  <si>
    <t>FID_SQCZBZ</t>
  </si>
  <si>
    <t>FID_JSLB</t>
  </si>
  <si>
    <t>FID_QXLB</t>
  </si>
  <si>
    <t>FID_SHBZ</t>
  </si>
  <si>
    <t>FID_AZRQ</t>
  </si>
  <si>
    <t>FID_DFRQ</t>
  </si>
  <si>
    <t>FID_XLH</t>
  </si>
  <si>
    <t>FID_YXXG</t>
  </si>
  <si>
    <t>FID_ZJSQRQ</t>
  </si>
  <si>
    <t>FID_CWJB</t>
  </si>
  <si>
    <t>FID_JKLB</t>
  </si>
  <si>
    <t>FID_JKCWDM</t>
  </si>
  <si>
    <t>FID_CWLY</t>
  </si>
  <si>
    <t>FID_KSKHH</t>
  </si>
  <si>
    <t>FID_JSKHH</t>
  </si>
  <si>
    <t>FID_KYKHH</t>
  </si>
  <si>
    <t>FID_SJKZFS</t>
  </si>
  <si>
    <t>FID_SJXZ_SQCZR</t>
  </si>
  <si>
    <t>FID_TBTS_SQCZR</t>
  </si>
  <si>
    <t>FID_ZJBH_SQCZR</t>
  </si>
  <si>
    <t>FID_ZJLB_SQCZR</t>
  </si>
  <si>
    <t>FID_JFQSRQ</t>
  </si>
  <si>
    <t>FID_JGBZ</t>
  </si>
  <si>
    <t>FID_YXZZDM</t>
  </si>
  <si>
    <t>FID_ZJDLRQ</t>
  </si>
  <si>
    <t>FID_LQRQ</t>
  </si>
  <si>
    <t>FID_JGXZ</t>
  </si>
  <si>
    <t>FID_ZJLB_FRDB</t>
  </si>
  <si>
    <t>FID_ZJBH_FRDB</t>
  </si>
  <si>
    <t>FID_ZCSJ</t>
  </si>
  <si>
    <t>FID_KHJLXM</t>
  </si>
  <si>
    <t>FID_MBBH</t>
  </si>
  <si>
    <t>FID_TABLE</t>
  </si>
  <si>
    <t>FID_ACT</t>
  </si>
  <si>
    <t>FID_XZLB</t>
  </si>
  <si>
    <t>FID_KHQZFW1</t>
  </si>
  <si>
    <t>FID_SJYWKM</t>
  </si>
  <si>
    <t>FID_RQFDLL</t>
  </si>
  <si>
    <t>FID_RZXYLL</t>
  </si>
  <si>
    <t>FID_RQXYLL</t>
  </si>
  <si>
    <t>FID_WYLB</t>
  </si>
  <si>
    <t>FID_SQL</t>
  </si>
  <si>
    <t>FID_FILENAME</t>
  </si>
  <si>
    <t>FID_FILEVERSION</t>
  </si>
  <si>
    <t>FID_ZJLB_GDH</t>
  </si>
  <si>
    <t>FID_MEMHEAD</t>
  </si>
  <si>
    <t>FID_MEMDATA</t>
  </si>
  <si>
    <t>FID_MEMCOUNT</t>
  </si>
  <si>
    <t>FID_MEMSIZE</t>
  </si>
  <si>
    <t>FID_GQZH_ZR</t>
  </si>
  <si>
    <t>FID_PCCL</t>
  </si>
  <si>
    <t>FID_YQCJSL</t>
  </si>
  <si>
    <t>FID_RZLLXX</t>
  </si>
  <si>
    <t>FID_RQLLXX</t>
  </si>
  <si>
    <t>FID_RZXYJS</t>
  </si>
  <si>
    <t>FID_RQXYJS</t>
  </si>
  <si>
    <t>FID_MARGIN_ENABLE</t>
  </si>
  <si>
    <t>FID_KSSJ1</t>
  </si>
  <si>
    <t>FID_JSSJ1</t>
  </si>
  <si>
    <t>FID_KSSJ2</t>
  </si>
  <si>
    <t>FID_JSSJ2</t>
  </si>
  <si>
    <t>FID_WXWTFBZ</t>
  </si>
  <si>
    <t>FID_MFCXCS</t>
  </si>
  <si>
    <t>FID_KYXYED</t>
  </si>
  <si>
    <t>FID_BDKYZJ</t>
  </si>
  <si>
    <t>FID_SHLX</t>
  </si>
  <si>
    <t>FID_JCFL</t>
  </si>
  <si>
    <t>FID_YSJYBZ</t>
  </si>
  <si>
    <t>FID_YSKSSJ</t>
  </si>
  <si>
    <t>FID_YSBSSJ</t>
  </si>
  <si>
    <t>FID_JYSSXF</t>
  </si>
  <si>
    <t>FID_YJL</t>
  </si>
  <si>
    <t>FID_YJLXX</t>
  </si>
  <si>
    <t>FID_SLXX</t>
  </si>
  <si>
    <t>FID_XMDM</t>
  </si>
  <si>
    <t>FID_DAID</t>
  </si>
  <si>
    <t>FID_INSINDEX</t>
  </si>
  <si>
    <t>FID_MODINDEX</t>
  </si>
  <si>
    <t>FID_LSHMC</t>
  </si>
  <si>
    <t>FID_TRANPORT</t>
  </si>
  <si>
    <t>FID_DATABASE</t>
  </si>
  <si>
    <t>FID_DUMPPATH</t>
  </si>
  <si>
    <t>FID_DUMPTYPE</t>
  </si>
  <si>
    <t>FID_DUMPNOTE</t>
  </si>
  <si>
    <t>FID_UPDATEITEM</t>
  </si>
  <si>
    <t>FID_IDENTITY</t>
  </si>
  <si>
    <t>FID_LOWPAR</t>
  </si>
  <si>
    <t>FID_HIGHPAR</t>
  </si>
  <si>
    <t>FID_CZYBH</t>
  </si>
  <si>
    <t>FID_KHDDH</t>
  </si>
  <si>
    <t>FID_TZRXM</t>
  </si>
  <si>
    <t>FID_TZRLB</t>
  </si>
  <si>
    <t>FID_JZJ</t>
  </si>
  <si>
    <t>FID_GDXM_OLD</t>
  </si>
  <si>
    <t>FID_QQLB</t>
  </si>
  <si>
    <t>FID_GDJC</t>
  </si>
  <si>
    <t>FID_PGDM</t>
  </si>
  <si>
    <t>FID_XJFSMC</t>
  </si>
  <si>
    <t>FID_XJLB</t>
  </si>
  <si>
    <t>FID_DYBZ</t>
  </si>
  <si>
    <t>FID_BZXX</t>
  </si>
  <si>
    <t>FID_TZRMC</t>
  </si>
  <si>
    <t>FID_ZJBH_OLD</t>
  </si>
  <si>
    <t>FID_TZRMC_OLD</t>
  </si>
  <si>
    <t>FID_CLSM</t>
  </si>
  <si>
    <t>FID_CXLB</t>
  </si>
  <si>
    <t>FID_KHHY</t>
  </si>
  <si>
    <t>FID_TZRJC</t>
  </si>
  <si>
    <t>FID_XB</t>
  </si>
  <si>
    <t>FID_DMQZ</t>
  </si>
  <si>
    <t>FID_CSRQ</t>
  </si>
  <si>
    <t>FID_MCQZ</t>
  </si>
  <si>
    <t>FID_FRLB</t>
  </si>
  <si>
    <t>FID_HYDM</t>
  </si>
  <si>
    <t>FID_JSHY</t>
  </si>
  <si>
    <t>FID_SDSL_GR</t>
  </si>
  <si>
    <t>FID_SDSL_JG</t>
  </si>
  <si>
    <t>FID_SRGDH</t>
  </si>
  <si>
    <t>FID_SRXWH</t>
  </si>
  <si>
    <t>FID_HBRQ</t>
  </si>
  <si>
    <t>FID_YWLX</t>
  </si>
  <si>
    <t>FID_WWMC</t>
  </si>
  <si>
    <t>FID_TJSL</t>
  </si>
  <si>
    <t>FID_SFJE</t>
  </si>
  <si>
    <t>FID_DJGSSF</t>
  </si>
  <si>
    <t>FID_DLJGSF</t>
  </si>
  <si>
    <t>FID_SRZJBH</t>
  </si>
  <si>
    <t>FID_SRGDXM</t>
  </si>
  <si>
    <t>FID_SRDZ</t>
  </si>
  <si>
    <t>FID_SRDH</t>
  </si>
  <si>
    <t>FID_SRYZBM</t>
  </si>
  <si>
    <t>FID_SRGFXZ</t>
  </si>
  <si>
    <t>FID_QRBZ</t>
  </si>
  <si>
    <t>FID_ZBQS</t>
  </si>
  <si>
    <t>FID_DBQS</t>
  </si>
  <si>
    <t>FID_GFXZSM</t>
  </si>
  <si>
    <t>FID_QSLB</t>
  </si>
  <si>
    <t>FID_QQSF_GR</t>
  </si>
  <si>
    <t>FID_QQSF_JG</t>
  </si>
  <si>
    <t>FID_QYZL</t>
  </si>
  <si>
    <t>FID_ZBQSMC</t>
  </si>
  <si>
    <t>FID_DYZQDM</t>
  </si>
  <si>
    <t>FID_CLEARFEE</t>
  </si>
  <si>
    <t>FID_FXJJFL</t>
  </si>
  <si>
    <t>FID_ZGFL</t>
  </si>
  <si>
    <t>FID_QTFLXX</t>
  </si>
  <si>
    <t>FID_QTFLSX</t>
  </si>
  <si>
    <t>FID_CJJEQD</t>
  </si>
  <si>
    <t>FID_SFQD</t>
  </si>
  <si>
    <t>FID_FJYRBS</t>
  </si>
  <si>
    <t>FID_YEAR</t>
  </si>
  <si>
    <t>FID_MBLB</t>
  </si>
  <si>
    <t>FID_ZJDS</t>
  </si>
  <si>
    <t>FID_ZCDS</t>
  </si>
  <si>
    <t>FID_DJYHZHS</t>
  </si>
  <si>
    <t>FID_FJXYXX</t>
  </si>
  <si>
    <t>FID_FJYRZZBZ</t>
  </si>
  <si>
    <t>FID_PGJG</t>
  </si>
  <si>
    <t>FID_GSKYE</t>
  </si>
  <si>
    <t>FID_JCGSKYE</t>
  </si>
  <si>
    <t>FID_LXCZCS</t>
  </si>
  <si>
    <t>FID_QDSJ</t>
  </si>
  <si>
    <t>FID_QYZZBS</t>
  </si>
  <si>
    <t>FID_ZJQDRQ</t>
  </si>
  <si>
    <t>FID_KSWTH</t>
  </si>
  <si>
    <t>FID_JSWTH</t>
  </si>
  <si>
    <t>FID_KYWTH</t>
  </si>
  <si>
    <t>FID_SQXQ</t>
  </si>
  <si>
    <t>FID_SHZT</t>
  </si>
  <si>
    <t>FID_SQGY</t>
  </si>
  <si>
    <t>FID_HKQX</t>
  </si>
  <si>
    <t>FID_MXTS</t>
  </si>
  <si>
    <t>FID_SHRQ</t>
  </si>
  <si>
    <t>FID_SHSJ</t>
  </si>
  <si>
    <t>FID_YMBBH</t>
  </si>
  <si>
    <t>FID_XSXH</t>
  </si>
  <si>
    <t>FID_MMTB</t>
  </si>
  <si>
    <t>FID_EN_GYDM</t>
  </si>
  <si>
    <t>FID_NEWJJR</t>
  </si>
  <si>
    <t>FID_ZPKZBZ</t>
  </si>
  <si>
    <t>FID_DRCKKZ</t>
  </si>
  <si>
    <t>FID_XML</t>
  </si>
  <si>
    <t>FID_QYDM</t>
  </si>
  <si>
    <t>FID_QYSL</t>
  </si>
  <si>
    <t>FID_QYJE</t>
  </si>
  <si>
    <t>FID_TIME_INIT</t>
  </si>
  <si>
    <t>FID_TIME_CLOSE</t>
  </si>
  <si>
    <t>FID_GQDJLSH</t>
  </si>
  <si>
    <t>FID_LDSMJG</t>
  </si>
  <si>
    <t>FID_XCXZBS</t>
  </si>
  <si>
    <t>FID_EN_WTLB</t>
  </si>
  <si>
    <t>FID_GQDM</t>
  </si>
  <si>
    <t>FID_GQLB</t>
  </si>
  <si>
    <t>FID_GQLBMC</t>
  </si>
  <si>
    <t>FID_GQMC</t>
  </si>
  <si>
    <t>FID_GQSL</t>
  </si>
  <si>
    <t>FID_GQZH</t>
  </si>
  <si>
    <t>FID_JMC_ZDCGSL</t>
  </si>
  <si>
    <t>FID_KSGQZH</t>
  </si>
  <si>
    <t>FID_KYGQZH</t>
  </si>
  <si>
    <t>FID_KZSX</t>
  </si>
  <si>
    <t>FID_SDLX</t>
  </si>
  <si>
    <t>FID_ROWNUM</t>
  </si>
  <si>
    <t>FID_ZDCGSL</t>
  </si>
  <si>
    <t>FID_ZSBJFD</t>
  </si>
  <si>
    <t>FID_ZSQBJFD</t>
  </si>
  <si>
    <t>FID_EN_GQDM</t>
  </si>
  <si>
    <t>FID_EN_GQLB</t>
  </si>
  <si>
    <t>FID_GZMZ</t>
  </si>
  <si>
    <t>FID_FXDS</t>
  </si>
  <si>
    <t>FID_MRED</t>
  </si>
  <si>
    <t>FID_MCED</t>
  </si>
  <si>
    <t>FID_PXCS</t>
  </si>
  <si>
    <t>FID_URL</t>
  </si>
  <si>
    <t>FID_ZSR</t>
  </si>
  <si>
    <t>FID_ZLR</t>
  </si>
  <si>
    <t>FID_JLR</t>
  </si>
  <si>
    <t>FID_MGFH</t>
  </si>
  <si>
    <t>FID_FHHJZC</t>
  </si>
  <si>
    <t>FID_MGJZC</t>
  </si>
  <si>
    <t>FID_PAY</t>
  </si>
  <si>
    <t>FID_DZ_OFFICE</t>
  </si>
  <si>
    <t>FID_ZZJGDM</t>
  </si>
  <si>
    <t>FID_SFJE_GR</t>
  </si>
  <si>
    <t>FID_SFJE_JG</t>
  </si>
  <si>
    <t>FID_KHH_YJ</t>
  </si>
  <si>
    <t>FID_GQZH_YJ</t>
  </si>
  <si>
    <t>FID_SXF_ZR</t>
  </si>
  <si>
    <t>FID_RZSYLLFD</t>
  </si>
  <si>
    <t>FID_RQSYLLFD</t>
  </si>
  <si>
    <t>FID_RZEDLLFD</t>
  </si>
  <si>
    <t>FID_RQEDLLFD</t>
  </si>
  <si>
    <t>FID_ZDCXRQ</t>
  </si>
  <si>
    <t>FID_WEEK</t>
  </si>
  <si>
    <t>FID_MILLISECOND</t>
  </si>
  <si>
    <t>FID_GDSL</t>
  </si>
  <si>
    <t>FID_CCSLXZ_JG</t>
  </si>
  <si>
    <t>FID_CCSLXZ_ZG</t>
  </si>
  <si>
    <t>FID_JYJS_GR_ZGG</t>
  </si>
  <si>
    <t>FID_JYJS_GR_TZG</t>
  </si>
  <si>
    <t>FID_JYJS_JG_ZGG</t>
  </si>
  <si>
    <t>FID_JYJS_JG_TZG</t>
  </si>
  <si>
    <t>FID_ZGBZ</t>
  </si>
  <si>
    <t>FID_KHH_ZQR</t>
  </si>
  <si>
    <t>FID_GQZH_ZQR</t>
  </si>
  <si>
    <t>FID_SXF_ZQR</t>
  </si>
  <si>
    <t>FID_GFXZ_YJ</t>
  </si>
  <si>
    <t>FID_RZXYED_OLD</t>
  </si>
  <si>
    <t>FID_RQXYED_OLD</t>
  </si>
  <si>
    <t>FID_EN_JGDM</t>
  </si>
  <si>
    <t>FID_EX_JGDM</t>
  </si>
  <si>
    <t>FID_NODEID</t>
  </si>
  <si>
    <t>FID_NODENAME</t>
  </si>
  <si>
    <t>FID_SEAT_SH</t>
  </si>
  <si>
    <t>FID_SEAT_SZ</t>
  </si>
  <si>
    <t>FID_ADDR_IP</t>
  </si>
  <si>
    <t>FID_ADDR_MAC</t>
  </si>
  <si>
    <t>FID_OID</t>
  </si>
  <si>
    <t>FID_LOG_POS</t>
  </si>
  <si>
    <t>FID_INDEX</t>
  </si>
  <si>
    <t>FID_KSSBWTH</t>
  </si>
  <si>
    <t>FID_DZJGSX</t>
  </si>
  <si>
    <t>FID_DZJGXX</t>
  </si>
  <si>
    <t>FID_ZCJSL</t>
  </si>
  <si>
    <t>FID_QTZGCCSX</t>
  </si>
  <si>
    <t>FID_QTJGCCXX</t>
  </si>
  <si>
    <t>FID_WJBM</t>
  </si>
  <si>
    <t>FID_WJMC</t>
  </si>
  <si>
    <t>FID_WJHM</t>
  </si>
  <si>
    <t>FID_TMHM</t>
  </si>
  <si>
    <t>FID_TMLX</t>
  </si>
  <si>
    <t>FID_TMMS</t>
  </si>
  <si>
    <t>FID_TMDA</t>
  </si>
  <si>
    <t>FID_SCORE</t>
  </si>
  <si>
    <t>FID_ZJYXQ</t>
  </si>
  <si>
    <t>FID_ZJDZYB</t>
  </si>
  <si>
    <t>FID_ZJFZJG</t>
  </si>
  <si>
    <t>FID_EDZ</t>
  </si>
  <si>
    <t>FID_YYZZNJRQ</t>
  </si>
  <si>
    <t>FID_JTDZ</t>
  </si>
  <si>
    <t>FID_JTYB</t>
  </si>
  <si>
    <t>FID_QTDH</t>
  </si>
  <si>
    <t>FID_QQ</t>
  </si>
  <si>
    <t>FID_FXQHYLB</t>
  </si>
  <si>
    <t>FID_XQFXDJ</t>
  </si>
  <si>
    <t>FID_FXQSZRQ</t>
  </si>
  <si>
    <t>FID_HYZK</t>
  </si>
  <si>
    <t>FID_JG</t>
  </si>
  <si>
    <t>FID_MZDM</t>
  </si>
  <si>
    <t>FID_GZDW</t>
  </si>
  <si>
    <t>FID_GZDWDZ</t>
  </si>
  <si>
    <t>FID_GZDWYB</t>
  </si>
  <si>
    <t>FID_GZDWZW</t>
  </si>
  <si>
    <t>FID_GZDWDH</t>
  </si>
  <si>
    <t>FID_FXCSNL</t>
  </si>
  <si>
    <t>FID_FXPGRQ</t>
  </si>
  <si>
    <t>FID_JJFXCSNL</t>
  </si>
  <si>
    <t>FID_JJFXPGRQ</t>
  </si>
  <si>
    <t>FID_GPFXCSNL</t>
  </si>
  <si>
    <t>FID_GPFXPGRQ</t>
  </si>
  <si>
    <t>FID_XYFXCSNL</t>
  </si>
  <si>
    <t>FID_XYFXPGRQ</t>
  </si>
  <si>
    <t>FID_KHKZT</t>
  </si>
  <si>
    <t>FID_TBSM</t>
  </si>
  <si>
    <t>FID_ZZSHZT</t>
  </si>
  <si>
    <t>FID_GSDH</t>
  </si>
  <si>
    <t>FID_ZCRQ</t>
  </si>
  <si>
    <t>FID_LTGB</t>
  </si>
  <si>
    <t>FID_ZZJGDMYXQ</t>
  </si>
  <si>
    <t>FID_ZZJGDMFZJG</t>
  </si>
  <si>
    <t>FID_ZZJGDMNJRQ</t>
  </si>
  <si>
    <t>FID_SWDJZ</t>
  </si>
  <si>
    <t>FID_SWDJZYXQ</t>
  </si>
  <si>
    <t>FID_SWDJZFZJG</t>
  </si>
  <si>
    <t>FID_SWDJZNJRQ</t>
  </si>
  <si>
    <t>FID_ZJYXQ_FRDB</t>
  </si>
  <si>
    <t>FID_ZJYXQ_JBR</t>
  </si>
  <si>
    <t>FID_DH_JBR</t>
  </si>
  <si>
    <t>FID_MOBILE_JBR</t>
  </si>
  <si>
    <t>FID_XB_JBR</t>
  </si>
  <si>
    <t>FID_FWMM</t>
  </si>
  <si>
    <t>FID_HXKH</t>
  </si>
  <si>
    <t>FID_TQGHSX</t>
  </si>
  <si>
    <t>FID_GXRQ</t>
  </si>
  <si>
    <t>FID_SX2</t>
  </si>
  <si>
    <t>FID_HGED</t>
  </si>
  <si>
    <t>FID_XYTS</t>
  </si>
  <si>
    <t>FID_TQXZBL</t>
  </si>
  <si>
    <t>FID_YYTQTS</t>
  </si>
  <si>
    <t>FID_XZBL</t>
  </si>
  <si>
    <t>FID_TQYYSX</t>
  </si>
  <si>
    <t>FID_JZSJ</t>
  </si>
  <si>
    <t>FID_SYBDBL</t>
  </si>
  <si>
    <t>FID_TQYYDBQS</t>
  </si>
  <si>
    <t>FID_TQDBSX</t>
  </si>
  <si>
    <t>FID_CZRBM</t>
  </si>
  <si>
    <t>FID_CZRMC</t>
  </si>
  <si>
    <t>FID_DKHYBH</t>
  </si>
  <si>
    <t>FID_DKDQRQ</t>
  </si>
  <si>
    <t>FID_HTDJRQ</t>
  </si>
  <si>
    <t>FID_ZYZH</t>
  </si>
  <si>
    <t>FID_DJBH</t>
  </si>
  <si>
    <t>FID_SBLSH</t>
  </si>
  <si>
    <t>FID_ZQMZ</t>
  </si>
  <si>
    <t>FID_FU_HYQY</t>
  </si>
  <si>
    <t>FID_CZMM</t>
  </si>
  <si>
    <t>FID_TXMM</t>
  </si>
  <si>
    <t>FID_GTKHLB</t>
  </si>
  <si>
    <t>FID_ROUTER</t>
  </si>
  <si>
    <t>FID_ENTRY</t>
  </si>
  <si>
    <t>FID_KHHQZ</t>
  </si>
  <si>
    <t>FID_CHECKBOX</t>
  </si>
  <si>
    <t>FID_CZLB</t>
  </si>
  <si>
    <t>FID_PUSH</t>
  </si>
  <si>
    <t>FID_HQZD</t>
  </si>
  <si>
    <t>FID_ZDF</t>
  </si>
  <si>
    <t>FID_HQZF</t>
  </si>
  <si>
    <t>FID_HSL</t>
  </si>
  <si>
    <t>FID_ICON</t>
  </si>
  <si>
    <t>FID_FZDM</t>
  </si>
  <si>
    <t>FID_FZMC</t>
  </si>
  <si>
    <t>FID_HFBH</t>
  </si>
  <si>
    <t>FID_FSKHH</t>
  </si>
  <si>
    <t>FID_FSFJBZ</t>
  </si>
  <si>
    <t>FID_DFKHH</t>
  </si>
  <si>
    <t>FID_STATE</t>
  </si>
  <si>
    <t>FID_DLSJ</t>
  </si>
  <si>
    <t>FID_QTSJ</t>
  </si>
  <si>
    <t>FID_MLLB</t>
  </si>
  <si>
    <t>FID_MLBM</t>
  </si>
  <si>
    <t>FID_MLMC</t>
  </si>
  <si>
    <t>FID_MLSM</t>
  </si>
  <si>
    <t>FID_FORMAT</t>
  </si>
  <si>
    <t>FID_DEFAULT</t>
  </si>
  <si>
    <t>FID_DATA</t>
  </si>
  <si>
    <t>FID_JLBZ</t>
  </si>
  <si>
    <t>FID_MBSMS</t>
  </si>
  <si>
    <t>FID_MBMAIL</t>
  </si>
  <si>
    <t>FID_LBMC</t>
  </si>
  <si>
    <t>FID_CSLX</t>
  </si>
  <si>
    <t>FID_XMMC</t>
  </si>
  <si>
    <t>FID_FWXZ</t>
  </si>
  <si>
    <t>FID_RECNO</t>
  </si>
  <si>
    <t>FID_YJB</t>
  </si>
  <si>
    <t>FID_CCMAIL</t>
  </si>
  <si>
    <t>FID_YJXM</t>
  </si>
  <si>
    <t>FID_PRODUCT</t>
  </si>
  <si>
    <t>FID_VERSION</t>
  </si>
  <si>
    <t>FID_COMPANY</t>
  </si>
  <si>
    <t>FID_LWTIME</t>
  </si>
  <si>
    <t>FID_PKLEN</t>
  </si>
  <si>
    <t>FID_PACKAGE</t>
  </si>
  <si>
    <t>FID_SUBDIR</t>
  </si>
  <si>
    <t>FID_ZHBZ</t>
  </si>
  <si>
    <t>FID_BYDZ3</t>
  </si>
  <si>
    <t>FID_XH</t>
  </si>
  <si>
    <t>FID_DXFDED</t>
  </si>
  <si>
    <t>FID_YJFDED</t>
  </si>
  <si>
    <t>FID_DXFYBL</t>
  </si>
  <si>
    <t>FID_YJFYBL</t>
  </si>
  <si>
    <t>FID_YXSJ</t>
  </si>
  <si>
    <t>FID_LYLX</t>
  </si>
  <si>
    <t>FID_KTZT</t>
  </si>
  <si>
    <t>FID_YWSM</t>
  </si>
  <si>
    <t>FID_WTFSDM</t>
  </si>
  <si>
    <t>FID_DEVICENAME</t>
  </si>
  <si>
    <t>FID_DATANAME</t>
  </si>
  <si>
    <t>FID_DATASIZE</t>
  </si>
  <si>
    <t>FID_DEVICESIZE</t>
  </si>
  <si>
    <t>FID_YJBCDM</t>
  </si>
  <si>
    <t>FID_MINIMAGESIZE</t>
  </si>
  <si>
    <t>FID_MAXIMAGESIZE</t>
  </si>
  <si>
    <t>FID_ALERTIMAGESIZE</t>
  </si>
  <si>
    <t>FID_QZYZFS</t>
  </si>
  <si>
    <t>FID_KXYZFS</t>
  </si>
  <si>
    <t>FID_YZFS_SQCZR</t>
  </si>
  <si>
    <t>FID_APPID</t>
  </si>
  <si>
    <t>FID_BCJJSL</t>
  </si>
  <si>
    <t>FID_BGFHFS</t>
  </si>
  <si>
    <t>FID_BKKBZ</t>
  </si>
  <si>
    <t>FID_BRBZS1</t>
  </si>
  <si>
    <t>FID_BRCKJE</t>
  </si>
  <si>
    <t>FID_BRCXZD</t>
  </si>
  <si>
    <t>FID_BRZDJY</t>
  </si>
  <si>
    <t>FID_CBJ</t>
  </si>
  <si>
    <t>FID_CDYWLB</t>
  </si>
  <si>
    <t>FID_CFBZ</t>
  </si>
  <si>
    <t>FID_CFGDM</t>
  </si>
  <si>
    <t>FID_CFGSL</t>
  </si>
  <si>
    <t>FID_CJHBNO</t>
  </si>
  <si>
    <t>FID_DFBZ</t>
  </si>
  <si>
    <t>FID_DFDJSL</t>
  </si>
  <si>
    <t>FID_DFJGDM</t>
  </si>
  <si>
    <t>FID_DFJSDM</t>
  </si>
  <si>
    <t>FID_DFJSJG</t>
  </si>
  <si>
    <t>FID_DFJSLX</t>
  </si>
  <si>
    <t>FID_DFJSZH</t>
  </si>
  <si>
    <t>FID_DFKHQZ</t>
  </si>
  <si>
    <t>FID_DFLOGINID</t>
  </si>
  <si>
    <t>FID_DFWJSSL</t>
  </si>
  <si>
    <t>FID_DFWZDM</t>
  </si>
  <si>
    <t>FID_DFYHDM</t>
  </si>
  <si>
    <t>FID_DFYHZH</t>
  </si>
  <si>
    <t>FID_DFYWKM</t>
  </si>
  <si>
    <t>FID_DFYZBM</t>
  </si>
  <si>
    <t>FID_DFZJBH</t>
  </si>
  <si>
    <t>FID_DFZJLB</t>
  </si>
  <si>
    <t>FID_DFZJZH</t>
  </si>
  <si>
    <t>FID_DFZQDM</t>
  </si>
  <si>
    <t>FID_DFZQSL</t>
  </si>
  <si>
    <t>FID_DFZY</t>
  </si>
  <si>
    <t>FID_DJYE</t>
  </si>
  <si>
    <t>FID_DJYXRQ</t>
  </si>
  <si>
    <t>FID_DLCS</t>
  </si>
  <si>
    <t>FID_DLKZFS</t>
  </si>
  <si>
    <t>FID_DLSFBZ</t>
  </si>
  <si>
    <t>FID_DLSFFW</t>
  </si>
  <si>
    <t>FID_DLSFJE</t>
  </si>
  <si>
    <t>FID_DLSFSX</t>
  </si>
  <si>
    <t>FID_DZLXS</t>
  </si>
  <si>
    <t>FID_EDKZBZ</t>
  </si>
  <si>
    <t>FID_EN_CJHBNO</t>
  </si>
  <si>
    <t>FID_EN_FXDJ</t>
  </si>
  <si>
    <t>FID_EN_GFXZ</t>
  </si>
  <si>
    <t>FID_EN_JDBM</t>
  </si>
  <si>
    <t>FID_EN_JJDM</t>
  </si>
  <si>
    <t>FID_EN_JYQX</t>
  </si>
  <si>
    <t>FID_EN_SFFS</t>
  </si>
  <si>
    <t>FID_EN_WTFL</t>
  </si>
  <si>
    <t>FID_EN_WTHQZ</t>
  </si>
  <si>
    <t>FID_EN_YHDM</t>
  </si>
  <si>
    <t>FID_EN_YWDM</t>
  </si>
  <si>
    <t>FID_FHDM</t>
  </si>
  <si>
    <t>FID_FHDWJE</t>
  </si>
  <si>
    <t>FID_FILEID</t>
  </si>
  <si>
    <t>FID_FJYRJYBZ</t>
  </si>
  <si>
    <t>FID_FLSX</t>
  </si>
  <si>
    <t>FID_FWFL</t>
  </si>
  <si>
    <t>FID_FWFSX</t>
  </si>
  <si>
    <t>FID_FWFXX</t>
  </si>
  <si>
    <t>FID_FXBL</t>
  </si>
  <si>
    <t>FID_FXPP</t>
  </si>
  <si>
    <t>FID_GRZDSCRGSG</t>
  </si>
  <si>
    <t>FID_GRZDZJRGSG</t>
  </si>
  <si>
    <t>FID_GRZGDTSH</t>
  </si>
  <si>
    <t>FID_HBJG</t>
  </si>
  <si>
    <t>FID_HGBZ</t>
  </si>
  <si>
    <t>FID_HISTORY</t>
  </si>
  <si>
    <t>FID_HLSYTS</t>
  </si>
  <si>
    <t>FID_HQCXCS</t>
  </si>
  <si>
    <t>FID_HQMFCS</t>
  </si>
  <si>
    <t>FID_HQSFBZ</t>
  </si>
  <si>
    <t>FID_HQSFJE</t>
  </si>
  <si>
    <t>FID_HS</t>
  </si>
  <si>
    <t>FID_HZSJ</t>
  </si>
  <si>
    <t>FID_INI</t>
  </si>
  <si>
    <t>FID_JBQXLB</t>
  </si>
  <si>
    <t>FID_JFSJ</t>
  </si>
  <si>
    <t>FID_JGZDSCRGSG</t>
  </si>
  <si>
    <t>FID_JGZDZJRGSG</t>
  </si>
  <si>
    <t>FID_JGZGDTSH</t>
  </si>
  <si>
    <t>FID_JJCFZT</t>
  </si>
  <si>
    <t>FID_JJHBZT</t>
  </si>
  <si>
    <t>FID_JJKHZT</t>
  </si>
  <si>
    <t>FID_JJRGZT</t>
  </si>
  <si>
    <t>FID_JJSGZT</t>
  </si>
  <si>
    <t>FID_JJSHZT</t>
  </si>
  <si>
    <t>FID_JJZHSQFS</t>
  </si>
  <si>
    <t>FID_JJZHSX</t>
  </si>
  <si>
    <t>FID_JJZHZT</t>
  </si>
  <si>
    <t>FID_JSKZFS</t>
  </si>
  <si>
    <t>FID_JSSFBZ</t>
  </si>
  <si>
    <t>FID_JSSFDW</t>
  </si>
  <si>
    <t>FID_JSSFJE</t>
  </si>
  <si>
    <t>FID_JSSFQD</t>
  </si>
  <si>
    <t>FID_JSSFSX</t>
  </si>
  <si>
    <t>FID_JSSJSX</t>
  </si>
  <si>
    <t>FID_JYJ</t>
  </si>
  <si>
    <t>FID_JYLBSX</t>
  </si>
  <si>
    <t>FID_JYLTJFS</t>
  </si>
  <si>
    <t>FID_JYSQH</t>
  </si>
  <si>
    <t>FID_KHFL</t>
  </si>
  <si>
    <t>FID_KHXMXY</t>
  </si>
  <si>
    <t>FID_KWTSL</t>
  </si>
  <si>
    <t>FID_TJZC</t>
  </si>
  <si>
    <t>FID_LLMBBH</t>
  </si>
  <si>
    <t>FID_MCCJJE</t>
  </si>
  <si>
    <t>FID_MCCJSL</t>
  </si>
  <si>
    <t>FID_MCQSJE</t>
  </si>
  <si>
    <t>FID_MCWTJE</t>
  </si>
  <si>
    <t>FID_MCWTSL</t>
  </si>
  <si>
    <t>FID_MMBDRQ</t>
  </si>
  <si>
    <t>FID_MMXZFS</t>
  </si>
  <si>
    <t>FID_MRCJJE</t>
  </si>
  <si>
    <t>FID_MRCJSL</t>
  </si>
  <si>
    <t>FID_MRFHFS</t>
  </si>
  <si>
    <t>FID_MRQSJE</t>
  </si>
  <si>
    <t>FID_MRWTJE</t>
  </si>
  <si>
    <t>FID_MRWTSL</t>
  </si>
  <si>
    <t>FID_MXBZ</t>
  </si>
  <si>
    <t>FID_ORDWTH</t>
  </si>
  <si>
    <t>FID_OTHER</t>
  </si>
  <si>
    <t>FID_PHRQ</t>
  </si>
  <si>
    <t>FID_POSITION</t>
  </si>
  <si>
    <t>FID_QRLSH</t>
  </si>
  <si>
    <t>FID_QTDJ</t>
  </si>
  <si>
    <t>FID_QTFY</t>
  </si>
  <si>
    <t>FID_QTMM</t>
  </si>
  <si>
    <t>FID_QXSX</t>
  </si>
  <si>
    <t>FID_QYRQ</t>
  </si>
  <si>
    <t>FID_RGSGJS</t>
  </si>
  <si>
    <t>FID_RQJS</t>
  </si>
  <si>
    <t>FID_RZBZ</t>
  </si>
  <si>
    <t>FID_RZJS</t>
  </si>
  <si>
    <t>FID_SBFS</t>
  </si>
  <si>
    <t>FID_SFSX</t>
  </si>
  <si>
    <t>FID_SGSHDM</t>
  </si>
  <si>
    <t>FID_SMBS</t>
  </si>
  <si>
    <t>FID_SPBZ</t>
  </si>
  <si>
    <t>FID_SRRQ</t>
  </si>
  <si>
    <t>FID_STAMP</t>
  </si>
  <si>
    <t>FID_SXFSX</t>
  </si>
  <si>
    <t>FID_SXFXX</t>
  </si>
  <si>
    <t>FID_SXYK</t>
  </si>
  <si>
    <t>FID_T3JS</t>
  </si>
  <si>
    <t>FID_TABM</t>
  </si>
  <si>
    <t>FID_TAKZSX</t>
  </si>
  <si>
    <t>FID_TEST</t>
  </si>
  <si>
    <t>FID_THREAD</t>
  </si>
  <si>
    <t>FID_TSYWJSSJ</t>
  </si>
  <si>
    <t>FID_TXDZ</t>
  </si>
  <si>
    <t>FID_TXTS</t>
  </si>
  <si>
    <t>FID_WJSSL_B</t>
  </si>
  <si>
    <t>FID_WJSSL_S</t>
  </si>
  <si>
    <t>FID_WTBZ</t>
  </si>
  <si>
    <t>FID_WTDJJE</t>
  </si>
  <si>
    <t>FID_WTHQZ</t>
  </si>
  <si>
    <t>FID_WTMARK</t>
  </si>
  <si>
    <t>FID_WZDM</t>
  </si>
  <si>
    <t>FID_XYZT</t>
  </si>
  <si>
    <t>FID_XZFS</t>
  </si>
  <si>
    <t>FID_YGXJCE</t>
  </si>
  <si>
    <t>FID_YHKZSX</t>
  </si>
  <si>
    <t>FID_YWBS</t>
  </si>
  <si>
    <t>FID_YWRQ</t>
  </si>
  <si>
    <t>FID_YYBBH</t>
  </si>
  <si>
    <t>FID_ZCSMJG</t>
  </si>
  <si>
    <t>FID_ZCTJFS</t>
  </si>
  <si>
    <t>FID_ZCZQSZ</t>
  </si>
  <si>
    <t>FID_ZDHS</t>
  </si>
  <si>
    <t>FID_ZJBHXY</t>
  </si>
  <si>
    <t>FID_ZJDM</t>
  </si>
  <si>
    <t>FID_ZJSBSJ</t>
  </si>
  <si>
    <t>FID_ZQFXDJ</t>
  </si>
  <si>
    <t>FID_ZQJCLB</t>
  </si>
  <si>
    <t>FID_ZQJYSX</t>
  </si>
  <si>
    <t>FID_ZQLBXZFS</t>
  </si>
  <si>
    <t>FID_ZQSXFW</t>
  </si>
  <si>
    <t>FID_ZQYWDM</t>
  </si>
  <si>
    <t>FID_ZRZQSZ</t>
  </si>
  <si>
    <t>FID_ZYQDM</t>
  </si>
  <si>
    <t>FID_ZZKSSJ</t>
  </si>
  <si>
    <t>FID_ZZLB</t>
  </si>
  <si>
    <t>FID_ZZQDM</t>
  </si>
  <si>
    <t>FID_LTLX</t>
  </si>
  <si>
    <t>FID_BBFUNCID</t>
  </si>
  <si>
    <t>FID_BBBSC</t>
  </si>
  <si>
    <t>FID_BBSORTTYPE</t>
  </si>
  <si>
    <t>FID_BBCXLB</t>
  </si>
  <si>
    <t>FID_BBFIELDNAME</t>
  </si>
  <si>
    <t>FID_BBTYPE</t>
  </si>
  <si>
    <t>FID_BBVALUE</t>
  </si>
  <si>
    <t>FID_BBROWNUM</t>
  </si>
  <si>
    <t>FID_BBSJJDM</t>
  </si>
  <si>
    <t>FID_TDLX_BF</t>
  </si>
  <si>
    <t>FID_SGWTSL</t>
  </si>
  <si>
    <t>FID_DFJDBM</t>
  </si>
  <si>
    <t>FID_MODULE</t>
  </si>
  <si>
    <t>FID_NAME</t>
  </si>
  <si>
    <t>FID_CLASE</t>
  </si>
  <si>
    <t>FID_LEVEL</t>
  </si>
  <si>
    <t>FID_OLDVER</t>
  </si>
  <si>
    <t>FID_LASTVER</t>
  </si>
  <si>
    <t>FID_WHYS</t>
  </si>
  <si>
    <t>FID_FILEPATH</t>
  </si>
  <si>
    <t>FID_MENDER</t>
  </si>
  <si>
    <t>FID_CONNER</t>
  </si>
  <si>
    <t>FID_MODIRQ</t>
  </si>
  <si>
    <t>FID_TESTRQ</t>
  </si>
  <si>
    <t>FID_CONCLUSION</t>
  </si>
  <si>
    <t>FID_UPNOTE</t>
  </si>
  <si>
    <t>FID_STATUS</t>
  </si>
  <si>
    <t>FID_RESOLVEN</t>
  </si>
  <si>
    <t>FID_DIFF</t>
  </si>
  <si>
    <t>FID_YZJB</t>
  </si>
  <si>
    <t>FID_RWBH</t>
  </si>
  <si>
    <t>FID_DIR</t>
  </si>
  <si>
    <t>FID_CPID</t>
  </si>
  <si>
    <t>FID_XQLX</t>
  </si>
  <si>
    <t>FID_XQLY</t>
  </si>
  <si>
    <t>FID_XQMS</t>
  </si>
  <si>
    <t>FID_XQLXF</t>
  </si>
  <si>
    <t>FID_XGFA</t>
  </si>
  <si>
    <t>FID_FASP</t>
  </si>
  <si>
    <t>FID_FASPRQ</t>
  </si>
  <si>
    <t>FID_JRX</t>
  </si>
  <si>
    <t>FID_FFJH</t>
  </si>
  <si>
    <t>FID_XGR</t>
  </si>
  <si>
    <t>FID_XGJD</t>
  </si>
  <si>
    <t>FID_CSR</t>
  </si>
  <si>
    <t>FID_CSJD</t>
  </si>
  <si>
    <t>FID_YMTS</t>
  </si>
  <si>
    <t>FID_XGFK</t>
  </si>
  <si>
    <t>FID_XGWCRQ</t>
  </si>
  <si>
    <t>FID_CSFK</t>
  </si>
  <si>
    <t>FID_CSWCRQ</t>
  </si>
  <si>
    <t>FID_HFYJ</t>
  </si>
  <si>
    <t>FID_HFRQ</t>
  </si>
  <si>
    <t>FID_HFR</t>
  </si>
  <si>
    <t>FID_RWB</t>
  </si>
  <si>
    <t>FID_MTYPE</t>
  </si>
  <si>
    <t>FID_GYXM</t>
  </si>
  <si>
    <t>FID_JLZ</t>
  </si>
  <si>
    <t>FID_GH</t>
  </si>
  <si>
    <t>FID_KHMC</t>
  </si>
  <si>
    <t>FID_WHR</t>
  </si>
  <si>
    <t>FID_XZR</t>
  </si>
  <si>
    <t>FID_KHID</t>
  </si>
  <si>
    <t>FID_WTMS</t>
  </si>
  <si>
    <t>FID_FXDW</t>
  </si>
  <si>
    <t>FID_JJFS</t>
  </si>
  <si>
    <t>FID_JJGC</t>
  </si>
  <si>
    <t>FID_CLYS</t>
  </si>
  <si>
    <t>FID_WTFL</t>
  </si>
  <si>
    <t>FID_GROUP</t>
  </si>
  <si>
    <t>FID_SECURITY</t>
  </si>
  <si>
    <t>FID_GXQ</t>
  </si>
  <si>
    <t>FID_CPXX</t>
  </si>
  <si>
    <t>FID_KHZB</t>
  </si>
  <si>
    <t>FID_QYZB</t>
  </si>
  <si>
    <t>FID_ZJL</t>
  </si>
  <si>
    <t>FID_ZJLDH</t>
  </si>
  <si>
    <t>FID_ZJLMAIL</t>
  </si>
  <si>
    <t>FID_JL</t>
  </si>
  <si>
    <t>FID_JLDH</t>
  </si>
  <si>
    <t>FID_JLMAIL</t>
  </si>
  <si>
    <t>FID_CRDATE</t>
  </si>
  <si>
    <t>FID_ENGINEERS</t>
  </si>
  <si>
    <t>FID_HFRQ2</t>
  </si>
  <si>
    <t>FID_DJR</t>
  </si>
  <si>
    <t>FID_ZW</t>
  </si>
  <si>
    <t>FID_WHBT</t>
  </si>
  <si>
    <t>FID_FLAG1</t>
  </si>
  <si>
    <t>FID_FLAG2</t>
  </si>
  <si>
    <t>FID_XQLB</t>
  </si>
  <si>
    <t>FID_MSN</t>
  </si>
  <si>
    <t>FID_SPFA</t>
  </si>
  <si>
    <t>FID_SJNR</t>
  </si>
  <si>
    <t>FID_LCRZ</t>
  </si>
  <si>
    <t>FID_SPR</t>
  </si>
  <si>
    <t>FID_SPRQ</t>
  </si>
  <si>
    <t>FID_GZR</t>
  </si>
  <si>
    <t>FID_XQBT</t>
  </si>
  <si>
    <t>FID_ZPR</t>
  </si>
  <si>
    <t>FID_RWMS</t>
  </si>
  <si>
    <t>FID_ZPRQ</t>
  </si>
  <si>
    <t>FID_GMZQ</t>
  </si>
  <si>
    <t>FID_GYZT</t>
  </si>
  <si>
    <t>FID_KSSJ</t>
  </si>
  <si>
    <t>FID_JSSJ</t>
  </si>
  <si>
    <t>FID_XZQYDM</t>
  </si>
  <si>
    <t>FID_XZQYMC</t>
  </si>
  <si>
    <t>FID_XZQYLB</t>
  </si>
  <si>
    <t>FID_SJXZQYDM</t>
  </si>
  <si>
    <t>FID_DHQH</t>
  </si>
  <si>
    <t>FID_KHBS</t>
  </si>
  <si>
    <t>FID_LPDM</t>
  </si>
  <si>
    <t>FID_YWSHBZ</t>
  </si>
  <si>
    <t>FID_YWSHQD</t>
  </si>
  <si>
    <t>FID_LPZCDS</t>
  </si>
  <si>
    <t>FID_CZBZ</t>
  </si>
  <si>
    <t>FID_YSJE_YJ</t>
  </si>
  <si>
    <t>FID_JGZLLB</t>
  </si>
  <si>
    <t>FID_S15</t>
  </si>
  <si>
    <t>FID_S16</t>
  </si>
  <si>
    <t>FID_CWLB</t>
  </si>
  <si>
    <t>FID_YHMM</t>
  </si>
  <si>
    <t>FID_ZDXW</t>
  </si>
  <si>
    <t>FID_DWJZ</t>
  </si>
  <si>
    <t>FID_CZGY</t>
  </si>
  <si>
    <t>FID_FYBL</t>
  </si>
  <si>
    <t>FID_JYL</t>
  </si>
  <si>
    <t>FID_XGPZ</t>
  </si>
  <si>
    <t>FID_XGZH</t>
  </si>
  <si>
    <t>FID_JESX</t>
  </si>
  <si>
    <t>FID_LXJG</t>
  </si>
  <si>
    <t>FID_XWDM</t>
  </si>
  <si>
    <t>FID_EN_JGZLLB</t>
  </si>
  <si>
    <t>FID_WBJGDM</t>
  </si>
  <si>
    <t>FID_WBFJJYLB</t>
  </si>
  <si>
    <t>FID_CZWBSQBH</t>
  </si>
  <si>
    <t>FID_WBSQBH</t>
  </si>
  <si>
    <t>FID_RWSM</t>
  </si>
  <si>
    <t>FID_FHRQ</t>
  </si>
  <si>
    <t>FID_FLLBFW</t>
  </si>
  <si>
    <t>FID_JYSFW</t>
  </si>
  <si>
    <t>FID_SDSL</t>
  </si>
  <si>
    <t>FID_WTFSFW</t>
  </si>
  <si>
    <t>FID_ZDJSBZ</t>
  </si>
  <si>
    <t>FID_TJZQS</t>
  </si>
  <si>
    <t>FID_JJZHCD</t>
  </si>
  <si>
    <t>FID_JYMCD</t>
  </si>
  <si>
    <t>FID_SQBHCD</t>
  </si>
  <si>
    <t>FID_JJZHSCFS</t>
  </si>
  <si>
    <t>FID_JYZHQZ</t>
  </si>
  <si>
    <t>FID_KYJJZH_GR</t>
  </si>
  <si>
    <t>FID_KYJJZH_JG</t>
  </si>
  <si>
    <t>FID_FEDZZT</t>
  </si>
  <si>
    <t>FID_HBDZBZ</t>
  </si>
  <si>
    <t>FID_FEDZXM</t>
  </si>
  <si>
    <t>FID_FEDZFS</t>
  </si>
  <si>
    <t>FID_FJYGHLB</t>
  </si>
  <si>
    <t>FID_JGSCRGZDZJ</t>
  </si>
  <si>
    <t>FID_GRSCRGZDZJ</t>
  </si>
  <si>
    <t>FID_GRZJRGZDZJ</t>
  </si>
  <si>
    <t>FID_JGZJRGZDZJ</t>
  </si>
  <si>
    <t>FID_GRZDRGZJ</t>
  </si>
  <si>
    <t>FID_JGZDRGZJ</t>
  </si>
  <si>
    <t>FID_GRSCSGZDZJ</t>
  </si>
  <si>
    <t>FID_JGSCSGZDZJ</t>
  </si>
  <si>
    <t>FID_GRZJSGZDZJ</t>
  </si>
  <si>
    <t>FID_JGZJSGZDZJ</t>
  </si>
  <si>
    <t>FID_GRSHZDFE</t>
  </si>
  <si>
    <t>FID_JGSHZDFE</t>
  </si>
  <si>
    <t>FID_GRCCZDFE</t>
  </si>
  <si>
    <t>FID_JGCCZDFE</t>
  </si>
  <si>
    <t>FID_SHSYTS</t>
  </si>
  <si>
    <t>FID_HLHKTS</t>
  </si>
  <si>
    <t>FID_GRZDZHFE</t>
  </si>
  <si>
    <t>FID_JGZDZHFE</t>
  </si>
  <si>
    <t>FID_SGJSBZ</t>
  </si>
  <si>
    <t>FID_FQRDM</t>
  </si>
  <si>
    <t>FID_FXZFE</t>
  </si>
  <si>
    <t>FID_GLRDM</t>
  </si>
  <si>
    <t>FID_RGFS</t>
  </si>
  <si>
    <t>FID_RGJS</t>
  </si>
  <si>
    <t>FID_SGJS</t>
  </si>
  <si>
    <t>FID_TGRDM</t>
  </si>
  <si>
    <t>FID_TDLX</t>
  </si>
  <si>
    <t>FID_MODULE_ID</t>
  </si>
  <si>
    <t>FID_ZKLX</t>
  </si>
  <si>
    <t>FID_ZKL</t>
  </si>
  <si>
    <t>FID_DXLB</t>
  </si>
  <si>
    <t>FID_BDKHBZ</t>
  </si>
  <si>
    <t>FID_DJYY</t>
  </si>
  <si>
    <t>FID_DZDLB</t>
  </si>
  <si>
    <t>FID_YSQBH</t>
  </si>
  <si>
    <t>FID_ZJJSLX</t>
  </si>
  <si>
    <t>FID_JJZHXM</t>
  </si>
  <si>
    <t>FID_XSDM</t>
  </si>
  <si>
    <t>FID_TJDM</t>
  </si>
  <si>
    <t>FID_JJFL</t>
  </si>
  <si>
    <t>FID_MRFS</t>
  </si>
  <si>
    <t>FID_YYBZ</t>
  </si>
  <si>
    <t>FID_DFJJZH</t>
  </si>
  <si>
    <t>FID_DFJYZH</t>
  </si>
  <si>
    <t>FID_DFWDH</t>
  </si>
  <si>
    <t>FID_DFXSSDM</t>
  </si>
  <si>
    <t>FID_GHYY</t>
  </si>
  <si>
    <t>FID_LJWYCS</t>
  </si>
  <si>
    <t>FID_LXWYCS</t>
  </si>
  <si>
    <t>FID_QQCS</t>
  </si>
  <si>
    <t>FID_SCKKRQ</t>
  </si>
  <si>
    <t>FID_SCSGZDJE</t>
  </si>
  <si>
    <t>FID_SGZDJE</t>
  </si>
  <si>
    <t>FID_CONTENT</t>
  </si>
  <si>
    <t>FID_TITLE</t>
  </si>
  <si>
    <t>FID_GGLB</t>
  </si>
  <si>
    <t>FID_JYZH</t>
  </si>
  <si>
    <t>FID_TALSH</t>
  </si>
  <si>
    <t>FID_DLF</t>
  </si>
  <si>
    <t>FID_SHF</t>
  </si>
  <si>
    <t>FID_YHS</t>
  </si>
  <si>
    <t>FID_ZFE</t>
  </si>
  <si>
    <t>FID_DJFE</t>
  </si>
  <si>
    <t>FID_KYFE</t>
  </si>
  <si>
    <t>FID_SFHLJE</t>
  </si>
  <si>
    <t>FID_HLZJE</t>
  </si>
  <si>
    <t>FID_FHDWFE</t>
  </si>
  <si>
    <t>FID_FHJJFE</t>
  </si>
  <si>
    <t>FID_ZTZFE</t>
  </si>
  <si>
    <t>FID_DJZTZFE</t>
  </si>
  <si>
    <t>FID_YJKBFS</t>
  </si>
  <si>
    <t>FID_ZFHJE</t>
  </si>
  <si>
    <t>FID_HGRQFCJE</t>
  </si>
  <si>
    <t>FID_RQGHSRJE</t>
  </si>
  <si>
    <t>FID_RZGHFCJE</t>
  </si>
  <si>
    <t>FID_HLPFJE</t>
  </si>
  <si>
    <t>FID_PGJKJE</t>
  </si>
  <si>
    <t>FID_SGZQFC</t>
  </si>
  <si>
    <t>FID_ZQDFJE</t>
  </si>
  <si>
    <t>FID_ZZLGJE</t>
  </si>
  <si>
    <t>FID_BYSJE</t>
  </si>
  <si>
    <t>FID_SGKFC</t>
  </si>
  <si>
    <t>FID_SGKSR</t>
  </si>
  <si>
    <t>FID_SYSJE</t>
  </si>
  <si>
    <t>FID_WGHZJ</t>
  </si>
  <si>
    <t>FID_WHSGK</t>
  </si>
  <si>
    <t>FID_BRKHSL</t>
  </si>
  <si>
    <t>FID_BRXHSL</t>
  </si>
  <si>
    <t>FID_MCDXSL</t>
  </si>
  <si>
    <t>FID_MRDXSL</t>
  </si>
  <si>
    <t>FID_SGCJSL</t>
  </si>
  <si>
    <t>FID_SHCJSL</t>
  </si>
  <si>
    <t>FID_FEMXLSH</t>
  </si>
  <si>
    <t>FID_FEDZRQ</t>
  </si>
  <si>
    <t>FID_ZJDZRQ</t>
  </si>
  <si>
    <t>FID_FHDJFE</t>
  </si>
  <si>
    <t>FID_SHFE</t>
  </si>
  <si>
    <t>FID_XYJKFSJE</t>
  </si>
  <si>
    <t>FID_XYJKYE</t>
  </si>
  <si>
    <t>FID_FILEZAP</t>
  </si>
  <si>
    <t>FID_MZZL</t>
  </si>
  <si>
    <t>FID_QX</t>
  </si>
  <si>
    <t>FID_DQBH</t>
  </si>
  <si>
    <t>FID_DFJG</t>
  </si>
  <si>
    <t>FID_FXED</t>
  </si>
  <si>
    <t>FID_FXSL</t>
  </si>
  <si>
    <t>FID_SXFL</t>
  </si>
  <si>
    <t>FID_YQLL</t>
  </si>
  <si>
    <t>FID_TGFL</t>
  </si>
  <si>
    <t>FID_TGJE</t>
  </si>
  <si>
    <t>FID_DBGBH</t>
  </si>
  <si>
    <t>FID_DBGRQ</t>
  </si>
  <si>
    <t>FID_DFJE</t>
  </si>
  <si>
    <t>FID_DFGY</t>
  </si>
  <si>
    <t>FID_DFYYB</t>
  </si>
  <si>
    <t>FID_GSRQ</t>
  </si>
  <si>
    <t>FID_NBDM</t>
  </si>
  <si>
    <t>FID_DBGGY</t>
  </si>
  <si>
    <t>FID_DBGYYB</t>
  </si>
  <si>
    <t>FID_XQJE</t>
  </si>
  <si>
    <t>FID_DBBC</t>
  </si>
  <si>
    <t>FID_XQBC</t>
  </si>
  <si>
    <t>FID_DBGBD</t>
  </si>
  <si>
    <t>FID_XQBD</t>
  </si>
  <si>
    <t>FID_DBGSJ</t>
  </si>
  <si>
    <t>FID_GSSJ</t>
  </si>
  <si>
    <t>FID_DFSJ</t>
  </si>
  <si>
    <t>FID_PLRQ</t>
  </si>
  <si>
    <t>FID_PLSJ</t>
  </si>
  <si>
    <t>FID_DBGJE</t>
  </si>
  <si>
    <t>FID_TGBD</t>
  </si>
  <si>
    <t>FID_SCDBG</t>
  </si>
  <si>
    <t>FID_SCXQ</t>
  </si>
  <si>
    <t>FID_SCTG</t>
  </si>
  <si>
    <t>FID_PZSM</t>
  </si>
  <si>
    <t>FID_QYBZ</t>
  </si>
  <si>
    <t>FID_QYJJDM</t>
  </si>
  <si>
    <t>FID_DXDM</t>
  </si>
  <si>
    <t>FID_DXMC</t>
  </si>
  <si>
    <t>FID_GRRGSGDBZGJE</t>
  </si>
  <si>
    <t>FID_GRRGSGDTZGJE</t>
  </si>
  <si>
    <t>FID_MCDJSL</t>
  </si>
  <si>
    <t>FID_JGRGSGDBZGJE</t>
  </si>
  <si>
    <t>FID_JGRGSGDTZGJE</t>
  </si>
  <si>
    <t>FID_CDYY</t>
  </si>
  <si>
    <t>FID_ZXTBZ</t>
  </si>
  <si>
    <t>买入</t>
  </si>
  <si>
    <t>卖出</t>
  </si>
  <si>
    <t>配股</t>
  </si>
  <si>
    <t>回购融资，约定回购融资</t>
  </si>
  <si>
    <t>回购融券，报价回购</t>
  </si>
  <si>
    <t>红利</t>
  </si>
  <si>
    <t>转托管转出</t>
  </si>
  <si>
    <t>配号</t>
  </si>
  <si>
    <t>指定</t>
  </si>
  <si>
    <t>撤指</t>
  </si>
  <si>
    <t>转债转股</t>
  </si>
  <si>
    <t>转债回售</t>
  </si>
  <si>
    <t>转债赎回</t>
  </si>
  <si>
    <t>转托管转入</t>
  </si>
  <si>
    <t>送股</t>
  </si>
  <si>
    <t>兑付</t>
  </si>
  <si>
    <t>托管转入</t>
  </si>
  <si>
    <t>托管转出</t>
  </si>
  <si>
    <t>调账转入</t>
  </si>
  <si>
    <t>调账转出</t>
  </si>
  <si>
    <t>派息</t>
  </si>
  <si>
    <t>投票</t>
  </si>
  <si>
    <t>质押冻结</t>
  </si>
  <si>
    <t>解押解冻</t>
  </si>
  <si>
    <t>无冻质押</t>
  </si>
  <si>
    <t>无解解押</t>
  </si>
  <si>
    <t>ETF申购</t>
  </si>
  <si>
    <t>ETF赎回</t>
  </si>
  <si>
    <t>协议转让</t>
  </si>
  <si>
    <t>ETF现金认购</t>
  </si>
  <si>
    <t>ETF股票认购</t>
  </si>
  <si>
    <t>融资购回</t>
  </si>
  <si>
    <t>融券购回</t>
  </si>
  <si>
    <t>报价回购提前终止</t>
  </si>
  <si>
    <t>质押入库</t>
  </si>
  <si>
    <t>质押出库</t>
  </si>
  <si>
    <t>约定购回初始交易</t>
  </si>
  <si>
    <t>约定购回购回交易</t>
  </si>
  <si>
    <t>基金认购</t>
  </si>
  <si>
    <t>基金申购</t>
  </si>
  <si>
    <t>基金赎回</t>
  </si>
  <si>
    <t>分红设置</t>
  </si>
  <si>
    <t>基金分红</t>
  </si>
  <si>
    <t>基金转换</t>
  </si>
  <si>
    <t>基金分拆</t>
  </si>
  <si>
    <t>基金合并</t>
  </si>
  <si>
    <t>权证行权</t>
  </si>
  <si>
    <t>权证创设</t>
  </si>
  <si>
    <t>权证注销</t>
  </si>
  <si>
    <t>意向买入</t>
  </si>
  <si>
    <t>意向卖出</t>
  </si>
  <si>
    <t>定价买入</t>
  </si>
  <si>
    <t>定价卖出</t>
  </si>
  <si>
    <t>买入确认</t>
  </si>
  <si>
    <t>卖出确认</t>
  </si>
  <si>
    <t>融资买入</t>
  </si>
  <si>
    <t>卖券还款</t>
  </si>
  <si>
    <t>买券还券</t>
  </si>
  <si>
    <t>融券卖出</t>
  </si>
  <si>
    <t>担保划入</t>
  </si>
  <si>
    <t>担保划出</t>
  </si>
  <si>
    <t>券源划入</t>
  </si>
  <si>
    <t>券源划出</t>
  </si>
  <si>
    <t>融资强平</t>
  </si>
  <si>
    <t>融券强平</t>
  </si>
  <si>
    <t>预受要约</t>
  </si>
  <si>
    <t>解除要约</t>
  </si>
  <si>
    <t>申购缴款</t>
  </si>
  <si>
    <t>申购还款</t>
  </si>
  <si>
    <t>中签扣款</t>
  </si>
  <si>
    <t>限售纳税</t>
  </si>
  <si>
    <t>冻结解冻</t>
  </si>
  <si>
    <t>成本调整</t>
  </si>
  <si>
    <t>数据字典</t>
  </si>
  <si>
    <t>字典说明</t>
  </si>
  <si>
    <t>DDLX</t>
  </si>
  <si>
    <t>订单类型</t>
  </si>
  <si>
    <t>0</t>
  </si>
  <si>
    <t>限价</t>
  </si>
  <si>
    <t>1</t>
  </si>
  <si>
    <t>最优五档立即成交剩余撤单(上海)</t>
  </si>
  <si>
    <t>2</t>
  </si>
  <si>
    <t>最优五档立即成交剩余转限价(上海)</t>
  </si>
  <si>
    <t>101</t>
  </si>
  <si>
    <t>市价转限价订单(深圳)</t>
  </si>
  <si>
    <t>102</t>
  </si>
  <si>
    <t>最优价格订单(深圳)</t>
  </si>
  <si>
    <t>103</t>
  </si>
  <si>
    <t>立即成交否则撤销(深圳)</t>
  </si>
  <si>
    <t>104</t>
  </si>
  <si>
    <t>最优五档立即成交否则撤销(深圳)</t>
  </si>
  <si>
    <t>105</t>
  </si>
  <si>
    <t>全部成交否则撤单(深圳)</t>
  </si>
  <si>
    <t>DDJYXZ</t>
  </si>
  <si>
    <t>订单交易指令限制</t>
  </si>
  <si>
    <t>竞价限价盘（开票限价盘)</t>
  </si>
  <si>
    <t>增强限价盘</t>
  </si>
  <si>
    <t>3</t>
  </si>
  <si>
    <t>零股买卖</t>
  </si>
  <si>
    <t>DDSXXZ</t>
  </si>
  <si>
    <t>订单时效限制</t>
  </si>
  <si>
    <t>当日有效</t>
  </si>
  <si>
    <t>4</t>
  </si>
  <si>
    <t>全数执行否则撤销</t>
  </si>
  <si>
    <t>FXCSNL</t>
  </si>
  <si>
    <r>
      <rPr>
        <sz val="10.5"/>
        <rFont val="宋体"/>
        <family val="3"/>
        <charset val="134"/>
      </rPr>
      <t xml:space="preserve">客户风险承受能力
</t>
    </r>
    <r>
      <rPr>
        <sz val="10.5"/>
        <color indexed="10"/>
        <rFont val="宋体"/>
        <family val="3"/>
        <charset val="134"/>
      </rPr>
      <t>(具体要看券商的定义)</t>
    </r>
  </si>
  <si>
    <t>未设定</t>
  </si>
  <si>
    <t>一般承受能力</t>
  </si>
  <si>
    <t>高承受能力</t>
  </si>
  <si>
    <t>KHZT</t>
  </si>
  <si>
    <t>客户状态</t>
  </si>
  <si>
    <t>正常</t>
  </si>
  <si>
    <t>冻结</t>
  </si>
  <si>
    <t>销户</t>
  </si>
  <si>
    <t>6</t>
  </si>
  <si>
    <t>休眠</t>
  </si>
  <si>
    <t>7</t>
  </si>
  <si>
    <t>不合格</t>
  </si>
  <si>
    <t>SGSHZT</t>
  </si>
  <si>
    <t>ETF申赎状态</t>
  </si>
  <si>
    <t>-1</t>
  </si>
  <si>
    <t>无资格</t>
  </si>
  <si>
    <t>禁止申赎</t>
  </si>
  <si>
    <t>允许申赎</t>
  </si>
  <si>
    <t>允许申购</t>
  </si>
  <si>
    <t>允许赎回</t>
  </si>
  <si>
    <t>WTFS</t>
  </si>
  <si>
    <r>
      <rPr>
        <sz val="10.5"/>
        <rFont val="宋体"/>
        <family val="3"/>
        <charset val="134"/>
      </rPr>
      <t xml:space="preserve">委托方式
</t>
    </r>
    <r>
      <rPr>
        <sz val="10.5"/>
        <color indexed="10"/>
        <rFont val="宋体"/>
        <family val="3"/>
        <charset val="134"/>
      </rPr>
      <t>(具体要看券商的定义)</t>
    </r>
  </si>
  <si>
    <t>磁卡</t>
  </si>
  <si>
    <t>热键</t>
  </si>
  <si>
    <t>柜台</t>
  </si>
  <si>
    <t>网上交易</t>
  </si>
  <si>
    <t>WTSBJG</t>
  </si>
  <si>
    <t>委托申报结果</t>
  </si>
  <si>
    <t>未申报</t>
  </si>
  <si>
    <t>申报中</t>
  </si>
  <si>
    <t>已申报</t>
  </si>
  <si>
    <t>非法委托</t>
  </si>
  <si>
    <t>撤单失败</t>
  </si>
  <si>
    <t>5</t>
  </si>
  <si>
    <t>部分成交</t>
  </si>
  <si>
    <t>全部成交</t>
  </si>
  <si>
    <t>部成部撤</t>
  </si>
  <si>
    <t>8</t>
  </si>
  <si>
    <t>全部撤单</t>
  </si>
  <si>
    <t>OF_DQDEXYZT</t>
  </si>
  <si>
    <t>基金定投协议状态</t>
  </si>
  <si>
    <t>终止申请中</t>
  </si>
  <si>
    <t>已终止</t>
  </si>
  <si>
    <t>10</t>
  </si>
  <si>
    <t>已扣款</t>
  </si>
  <si>
    <t>OF_FHFS</t>
  </si>
  <si>
    <t>基金分红方式</t>
  </si>
  <si>
    <t>再投资</t>
  </si>
  <si>
    <t>现金分红</t>
  </si>
  <si>
    <t>OF_JJFXDJ</t>
  </si>
  <si>
    <r>
      <rPr>
        <sz val="10.5"/>
        <rFont val="宋体"/>
        <family val="3"/>
        <charset val="134"/>
      </rPr>
      <t xml:space="preserve">基金风险等级
</t>
    </r>
    <r>
      <rPr>
        <sz val="10.5"/>
        <color indexed="10"/>
        <rFont val="宋体"/>
        <family val="3"/>
        <charset val="134"/>
      </rPr>
      <t>(具体要看券商的定义)</t>
    </r>
  </si>
  <si>
    <t>一般风险</t>
  </si>
  <si>
    <t>高风险</t>
  </si>
  <si>
    <t>OF_SFFS</t>
  </si>
  <si>
    <t>基金收费方式</t>
  </si>
  <si>
    <t>前端收费</t>
  </si>
  <si>
    <t>后端收费</t>
  </si>
  <si>
    <t>C类收费</t>
  </si>
  <si>
    <t>JYS</t>
  </si>
  <si>
    <t>SH</t>
  </si>
  <si>
    <t>上海</t>
  </si>
  <si>
    <t>SZ</t>
  </si>
  <si>
    <t>深圳</t>
  </si>
  <si>
    <t>HB</t>
  </si>
  <si>
    <t>沪B</t>
  </si>
  <si>
    <t>SB</t>
  </si>
  <si>
    <t>深B</t>
  </si>
  <si>
    <t>TA</t>
  </si>
  <si>
    <t>三板A股</t>
  </si>
  <si>
    <t>TU</t>
  </si>
  <si>
    <t>三板B股</t>
  </si>
  <si>
    <t>YZYWDM</t>
  </si>
  <si>
    <t>银证业务代码</t>
  </si>
  <si>
    <t>1,8192</t>
  </si>
  <si>
    <t>2,16384</t>
  </si>
  <si>
    <t>128</t>
  </si>
  <si>
    <t>交易核实</t>
  </si>
  <si>
    <t>查询余额</t>
  </si>
  <si>
    <t>8,32768</t>
  </si>
  <si>
    <t>16,65536</t>
  </si>
  <si>
    <t>撤指定</t>
  </si>
  <si>
    <t>32</t>
  </si>
  <si>
    <t>银行转证券冲正</t>
  </si>
  <si>
    <t>64</t>
  </si>
  <si>
    <t>证券转银行冲正</t>
  </si>
  <si>
    <t>1024</t>
  </si>
  <si>
    <t>预指定确认</t>
  </si>
  <si>
    <t>512</t>
  </si>
  <si>
    <t>变更存管银行帐号</t>
  </si>
  <si>
    <t>2048</t>
  </si>
  <si>
    <t>客户资料同步</t>
  </si>
  <si>
    <t>4096</t>
  </si>
  <si>
    <t>结息入账</t>
  </si>
  <si>
    <t>131072</t>
  </si>
  <si>
    <t>预约开户</t>
  </si>
  <si>
    <t>256</t>
  </si>
  <si>
    <t>修改银行密码</t>
  </si>
  <si>
    <t>签到</t>
  </si>
  <si>
    <t>签退</t>
  </si>
  <si>
    <t>汇总对账</t>
  </si>
  <si>
    <t>明细对账</t>
  </si>
  <si>
    <t>OF_LCCPJHZT</t>
  </si>
  <si>
    <t>基金理财产品计划状态</t>
  </si>
  <si>
    <t>暂停</t>
  </si>
  <si>
    <t>解约</t>
  </si>
  <si>
    <t>OF_LCCPBZ</t>
  </si>
  <si>
    <t>基金理财产品分类</t>
  </si>
  <si>
    <t>普通基金</t>
  </si>
  <si>
    <t>中登电子理财基金</t>
  </si>
  <si>
    <t>证券理财基金(未启用)</t>
  </si>
  <si>
    <t>现金宝基金</t>
  </si>
  <si>
    <t>市场代码</t>
  </si>
  <si>
    <t>交易所简称</t>
  </si>
  <si>
    <t>交易所全称</t>
  </si>
  <si>
    <t>沪A</t>
  </si>
  <si>
    <t>上海证券交易所A股</t>
  </si>
  <si>
    <t>上海证券交易所B股</t>
  </si>
  <si>
    <t>深A</t>
  </si>
  <si>
    <t>深圳证券交易所A股</t>
  </si>
  <si>
    <t>深圳证券交易所B股</t>
  </si>
  <si>
    <t>转A</t>
  </si>
  <si>
    <t>特别转让A股</t>
  </si>
  <si>
    <t>转U</t>
  </si>
  <si>
    <t>特别转让B股</t>
  </si>
  <si>
    <t>HK</t>
  </si>
  <si>
    <t>香港</t>
  </si>
  <si>
    <t>香港联交所</t>
  </si>
  <si>
    <t>2.1.51</t>
    <phoneticPr fontId="19" type="noConversion"/>
  </si>
  <si>
    <t>增加299025-查询交易价位控制</t>
    <phoneticPr fontId="19" type="noConversion"/>
  </si>
  <si>
    <t>卢惠珍</t>
    <phoneticPr fontId="19" type="noConversion"/>
  </si>
  <si>
    <t>查询交易价位控制</t>
    <phoneticPr fontId="19" type="noConversion"/>
  </si>
  <si>
    <t>Y</t>
    <phoneticPr fontId="19" type="noConversion"/>
  </si>
  <si>
    <t>FID_JYS</t>
    <phoneticPr fontId="19" type="noConversion"/>
  </si>
  <si>
    <t>C2</t>
    <phoneticPr fontId="19" type="noConversion"/>
  </si>
  <si>
    <t>FID_ZQLB</t>
    <phoneticPr fontId="19" type="noConversion"/>
  </si>
  <si>
    <t>证券类别</t>
    <phoneticPr fontId="19" type="noConversion"/>
  </si>
  <si>
    <t>FID_RQ</t>
    <phoneticPr fontId="19" type="noConversion"/>
  </si>
  <si>
    <t>N</t>
    <phoneticPr fontId="19" type="noConversion"/>
  </si>
  <si>
    <t>日期</t>
    <phoneticPr fontId="19" type="noConversion"/>
  </si>
  <si>
    <t>FID_ZDJ</t>
    <phoneticPr fontId="19" type="noConversion"/>
  </si>
  <si>
    <t>FID_ZGJ</t>
    <phoneticPr fontId="19" type="noConversion"/>
  </si>
  <si>
    <t>交易所编码</t>
    <phoneticPr fontId="19" type="noConversion"/>
  </si>
  <si>
    <t>最低价</t>
    <phoneticPr fontId="19" type="noConversion"/>
  </si>
  <si>
    <t>最高价</t>
    <phoneticPr fontId="19" type="noConversion"/>
  </si>
  <si>
    <t>FID_JYJW</t>
    <phoneticPr fontId="19" type="noConversion"/>
  </si>
  <si>
    <t>R9.3</t>
    <phoneticPr fontId="19" type="noConversion"/>
  </si>
  <si>
    <t>R6.3</t>
    <phoneticPr fontId="19" type="noConversion"/>
  </si>
  <si>
    <t>交易价位</t>
    <phoneticPr fontId="19" type="noConversion"/>
  </si>
</sst>
</file>

<file path=xl/styles.xml><?xml version="1.0" encoding="utf-8"?>
<styleSheet xmlns="http://schemas.openxmlformats.org/spreadsheetml/2006/main">
  <numFmts count="3">
    <numFmt numFmtId="176" formatCode="[=0]&quot;&quot;;General"/>
    <numFmt numFmtId="177" formatCode="000000"/>
    <numFmt numFmtId="178" formatCode="0;[Red]0"/>
  </numFmts>
  <fonts count="20">
    <font>
      <sz val="11"/>
      <color indexed="8"/>
      <name val="宋体"/>
      <charset val="134"/>
    </font>
    <font>
      <sz val="10.5"/>
      <color indexed="8"/>
      <name val="宋体"/>
      <family val="3"/>
      <charset val="134"/>
    </font>
    <font>
      <sz val="10.5"/>
      <name val="宋体"/>
      <family val="3"/>
      <charset val="134"/>
    </font>
    <font>
      <sz val="11"/>
      <color indexed="60"/>
      <name val="宋体"/>
      <family val="3"/>
      <charset val="134"/>
    </font>
    <font>
      <sz val="10.5"/>
      <color indexed="10"/>
      <name val="宋体"/>
      <family val="3"/>
      <charset val="134"/>
    </font>
    <font>
      <sz val="11"/>
      <color indexed="10"/>
      <name val="宋体"/>
      <family val="3"/>
      <charset val="134"/>
    </font>
    <font>
      <b/>
      <sz val="10.5"/>
      <name val="宋体"/>
      <family val="3"/>
      <charset val="134"/>
    </font>
    <font>
      <b/>
      <sz val="10.5"/>
      <color indexed="10"/>
      <name val="宋体"/>
      <family val="3"/>
      <charset val="134"/>
    </font>
    <font>
      <sz val="10.5"/>
      <color indexed="55"/>
      <name val="宋体"/>
      <family val="3"/>
      <charset val="134"/>
    </font>
    <font>
      <sz val="10.5"/>
      <color indexed="62"/>
      <name val="宋体"/>
      <family val="3"/>
      <charset val="134"/>
    </font>
    <font>
      <sz val="10.5"/>
      <color indexed="22"/>
      <name val="宋体"/>
      <family val="3"/>
      <charset val="134"/>
    </font>
    <font>
      <sz val="11"/>
      <color indexed="8"/>
      <name val="宋体"/>
      <family val="3"/>
      <charset val="134"/>
    </font>
    <font>
      <sz val="10.5"/>
      <color indexed="8"/>
      <name val="宋体"/>
      <family val="7"/>
      <charset val="134"/>
    </font>
    <font>
      <sz val="10.5"/>
      <color indexed="22"/>
      <name val="宋体"/>
      <family val="7"/>
      <charset val="134"/>
    </font>
    <font>
      <sz val="10.5"/>
      <color indexed="12"/>
      <name val="宋体"/>
      <family val="3"/>
      <charset val="134"/>
    </font>
    <font>
      <sz val="20"/>
      <color indexed="8"/>
      <name val="宋体"/>
      <family val="3"/>
      <charset val="134"/>
    </font>
    <font>
      <u/>
      <sz val="11"/>
      <color indexed="12"/>
      <name val="宋体"/>
      <family val="3"/>
      <charset val="134"/>
    </font>
    <font>
      <sz val="11"/>
      <color indexed="60"/>
      <name val="宋体"/>
      <family val="2"/>
      <charset val="134"/>
    </font>
    <font>
      <sz val="10.5"/>
      <name val="Arial"/>
      <family val="3"/>
      <charset val="134"/>
    </font>
    <font>
      <sz val="9"/>
      <name val="宋体"/>
      <charset val="134"/>
    </font>
  </fonts>
  <fills count="9">
    <fill>
      <patternFill patternType="none"/>
    </fill>
    <fill>
      <patternFill patternType="gray125"/>
    </fill>
    <fill>
      <patternFill patternType="solid">
        <fgColor indexed="31"/>
        <bgColor indexed="64"/>
      </patternFill>
    </fill>
    <fill>
      <patternFill patternType="solid">
        <fgColor indexed="13"/>
        <bgColor indexed="64"/>
      </patternFill>
    </fill>
    <fill>
      <patternFill patternType="solid">
        <fgColor indexed="43"/>
        <bgColor indexed="64"/>
      </patternFill>
    </fill>
    <fill>
      <patternFill patternType="solid">
        <fgColor indexed="27"/>
        <bgColor indexed="64"/>
      </patternFill>
    </fill>
    <fill>
      <patternFill patternType="solid">
        <fgColor indexed="9"/>
        <bgColor indexed="64"/>
      </patternFill>
    </fill>
    <fill>
      <patternFill patternType="solid">
        <fgColor indexed="26"/>
        <bgColor indexed="64"/>
      </patternFill>
    </fill>
    <fill>
      <patternFill patternType="solid">
        <fgColor indexed="65"/>
        <bgColor indexed="64"/>
      </patternFill>
    </fill>
  </fills>
  <borders count="6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s>
  <cellStyleXfs count="3">
    <xf numFmtId="0" fontId="0" fillId="0" borderId="0">
      <alignment vertical="center"/>
    </xf>
    <xf numFmtId="0" fontId="17" fillId="4" borderId="0" applyNumberFormat="0" applyBorder="0" applyAlignment="0" applyProtection="0">
      <alignment vertical="center"/>
    </xf>
    <xf numFmtId="0" fontId="16" fillId="0" borderId="0" applyNumberFormat="0" applyFill="0" applyBorder="0" applyAlignment="0" applyProtection="0">
      <alignment vertical="top"/>
      <protection locked="0"/>
    </xf>
  </cellStyleXfs>
  <cellXfs count="311">
    <xf numFmtId="0" fontId="0" fillId="0" borderId="0" xfId="0">
      <alignment vertical="center"/>
    </xf>
    <xf numFmtId="0" fontId="0" fillId="2" borderId="0" xfId="0" applyFill="1">
      <alignment vertical="center"/>
    </xf>
    <xf numFmtId="0" fontId="1" fillId="2" borderId="0" xfId="0" applyFont="1" applyFill="1" applyProtection="1">
      <alignment vertical="center"/>
      <protection locked="0"/>
    </xf>
    <xf numFmtId="0" fontId="2" fillId="3" borderId="1" xfId="0" applyFont="1" applyFill="1" applyBorder="1" applyAlignment="1" applyProtection="1">
      <alignment horizontal="center" vertical="center" wrapText="1"/>
    </xf>
    <xf numFmtId="0" fontId="2" fillId="3" borderId="2" xfId="0" applyFont="1" applyFill="1" applyBorder="1" applyAlignment="1" applyProtection="1">
      <alignment horizontal="center" vertical="center" wrapText="1"/>
    </xf>
    <xf numFmtId="0" fontId="2" fillId="0" borderId="3" xfId="0" applyFont="1" applyFill="1" applyBorder="1" applyAlignment="1" applyProtection="1">
      <alignment horizontal="center" vertical="center" wrapText="1"/>
    </xf>
    <xf numFmtId="0" fontId="2" fillId="0" borderId="4" xfId="0" applyFont="1" applyFill="1" applyBorder="1" applyAlignment="1" applyProtection="1">
      <alignment horizontal="left" vertical="center" wrapText="1" indent="1"/>
    </xf>
    <xf numFmtId="0" fontId="1" fillId="0" borderId="3" xfId="0" applyFont="1" applyFill="1" applyBorder="1" applyAlignment="1" applyProtection="1">
      <alignment horizontal="center" vertical="center" wrapText="1"/>
    </xf>
    <xf numFmtId="0" fontId="1" fillId="0" borderId="4" xfId="0" applyFont="1" applyFill="1" applyBorder="1" applyAlignment="1" applyProtection="1">
      <alignment horizontal="left" vertical="center" wrapText="1" indent="1"/>
    </xf>
    <xf numFmtId="0" fontId="2" fillId="0" borderId="5"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49" fontId="2" fillId="3" borderId="7" xfId="0" applyNumberFormat="1" applyFont="1" applyFill="1" applyBorder="1" applyAlignment="1" applyProtection="1">
      <alignment horizontal="center" vertical="center" wrapText="1"/>
    </xf>
    <xf numFmtId="49" fontId="2" fillId="3" borderId="2" xfId="0" applyNumberFormat="1" applyFont="1" applyFill="1" applyBorder="1" applyAlignment="1" applyProtection="1">
      <alignment horizontal="center" vertical="center" wrapText="1"/>
    </xf>
    <xf numFmtId="49" fontId="2" fillId="0" borderId="10" xfId="0" applyNumberFormat="1" applyFont="1" applyFill="1" applyBorder="1" applyAlignment="1" applyProtection="1">
      <alignment horizontal="center" vertical="top" wrapText="1"/>
    </xf>
    <xf numFmtId="14" fontId="2" fillId="0" borderId="11" xfId="0" applyNumberFormat="1" applyFont="1" applyFill="1" applyBorder="1" applyAlignment="1" applyProtection="1">
      <alignment horizontal="left" vertical="top" wrapText="1"/>
    </xf>
    <xf numFmtId="49" fontId="3" fillId="4" borderId="13" xfId="1" applyNumberFormat="1" applyFont="1" applyBorder="1" applyAlignment="1" applyProtection="1">
      <alignment horizontal="center" vertical="top" wrapText="1"/>
    </xf>
    <xf numFmtId="14" fontId="3" fillId="4" borderId="14" xfId="1" applyNumberFormat="1" applyFont="1" applyBorder="1" applyAlignment="1" applyProtection="1">
      <alignment horizontal="left" vertical="top" wrapText="1"/>
    </xf>
    <xf numFmtId="49" fontId="2" fillId="5" borderId="13" xfId="0" applyNumberFormat="1" applyFont="1" applyFill="1" applyBorder="1" applyAlignment="1" applyProtection="1">
      <alignment horizontal="center" vertical="top" wrapText="1"/>
    </xf>
    <xf numFmtId="14" fontId="2" fillId="5" borderId="14" xfId="0" applyNumberFormat="1" applyFont="1" applyFill="1" applyBorder="1" applyAlignment="1" applyProtection="1">
      <alignment horizontal="left" vertical="top" wrapText="1"/>
    </xf>
    <xf numFmtId="49" fontId="2" fillId="5" borderId="15" xfId="0" applyNumberFormat="1" applyFont="1" applyFill="1" applyBorder="1" applyAlignment="1" applyProtection="1">
      <alignment horizontal="center" vertical="top" wrapText="1"/>
    </xf>
    <xf numFmtId="14" fontId="2" fillId="5" borderId="16" xfId="0" applyNumberFormat="1" applyFont="1" applyFill="1" applyBorder="1" applyAlignment="1" applyProtection="1">
      <alignment horizontal="left" vertical="top" wrapText="1"/>
    </xf>
    <xf numFmtId="49" fontId="2" fillId="5" borderId="10" xfId="0" applyNumberFormat="1" applyFont="1" applyFill="1" applyBorder="1" applyAlignment="1" applyProtection="1">
      <alignment horizontal="center" vertical="top" wrapText="1"/>
    </xf>
    <xf numFmtId="14" fontId="2" fillId="5" borderId="11" xfId="0" applyNumberFormat="1" applyFont="1" applyFill="1" applyBorder="1" applyAlignment="1" applyProtection="1">
      <alignment horizontal="left" vertical="top" wrapText="1"/>
    </xf>
    <xf numFmtId="49" fontId="2" fillId="5" borderId="18" xfId="0" applyNumberFormat="1" applyFont="1" applyFill="1" applyBorder="1" applyAlignment="1" applyProtection="1">
      <alignment horizontal="center" vertical="top" wrapText="1"/>
    </xf>
    <xf numFmtId="14" fontId="2" fillId="5" borderId="22" xfId="0" applyNumberFormat="1" applyFont="1" applyFill="1" applyBorder="1" applyAlignment="1" applyProtection="1">
      <alignment horizontal="left" vertical="top" wrapText="1"/>
    </xf>
    <xf numFmtId="49" fontId="2" fillId="0" borderId="13" xfId="0" applyNumberFormat="1" applyFont="1" applyFill="1" applyBorder="1" applyAlignment="1" applyProtection="1">
      <alignment horizontal="center" vertical="top" wrapText="1"/>
    </xf>
    <xf numFmtId="14" fontId="2" fillId="0" borderId="14" xfId="0" applyNumberFormat="1" applyFont="1" applyFill="1" applyBorder="1" applyAlignment="1" applyProtection="1">
      <alignment horizontal="left" vertical="top" wrapText="1"/>
    </xf>
    <xf numFmtId="49" fontId="2" fillId="0" borderId="23" xfId="0" applyNumberFormat="1" applyFont="1" applyFill="1" applyBorder="1" applyAlignment="1" applyProtection="1">
      <alignment horizontal="center" vertical="top" wrapText="1"/>
    </xf>
    <xf numFmtId="14" fontId="2" fillId="0" borderId="24" xfId="0" applyNumberFormat="1" applyFont="1" applyFill="1" applyBorder="1" applyAlignment="1" applyProtection="1">
      <alignment horizontal="left" vertical="top" wrapText="1"/>
    </xf>
    <xf numFmtId="49" fontId="2" fillId="0" borderId="25" xfId="0" applyNumberFormat="1" applyFont="1" applyFill="1" applyBorder="1" applyAlignment="1" applyProtection="1">
      <alignment horizontal="center" vertical="top" wrapText="1"/>
    </xf>
    <xf numFmtId="14" fontId="2" fillId="0" borderId="26" xfId="0" applyNumberFormat="1" applyFont="1" applyFill="1" applyBorder="1" applyAlignment="1" applyProtection="1">
      <alignment horizontal="left" vertical="top" wrapText="1"/>
    </xf>
    <xf numFmtId="14" fontId="2" fillId="0" borderId="16" xfId="0" applyNumberFormat="1" applyFont="1" applyFill="1" applyBorder="1" applyAlignment="1" applyProtection="1">
      <alignment horizontal="left" vertical="top" wrapText="1"/>
    </xf>
    <xf numFmtId="49" fontId="2" fillId="0" borderId="15" xfId="0" applyNumberFormat="1" applyFont="1" applyFill="1" applyBorder="1" applyAlignment="1" applyProtection="1">
      <alignment horizontal="center" vertical="top" wrapText="1"/>
    </xf>
    <xf numFmtId="49" fontId="2" fillId="0" borderId="9" xfId="0" applyNumberFormat="1" applyFont="1" applyFill="1" applyBorder="1" applyAlignment="1" applyProtection="1">
      <alignment horizontal="center" vertical="top" wrapText="1"/>
    </xf>
    <xf numFmtId="14" fontId="2" fillId="0" borderId="28" xfId="0" applyNumberFormat="1" applyFont="1" applyFill="1" applyBorder="1" applyAlignment="1" applyProtection="1">
      <alignment horizontal="left" vertical="top" wrapText="1"/>
    </xf>
    <xf numFmtId="49" fontId="2" fillId="0" borderId="31" xfId="0" applyNumberFormat="1" applyFont="1" applyFill="1" applyBorder="1" applyAlignment="1" applyProtection="1">
      <alignment horizontal="center" vertical="top" wrapText="1"/>
    </xf>
    <xf numFmtId="14" fontId="2" fillId="0" borderId="32" xfId="0" applyNumberFormat="1" applyFont="1" applyFill="1" applyBorder="1" applyAlignment="1" applyProtection="1">
      <alignment horizontal="left" vertical="top" wrapText="1"/>
    </xf>
    <xf numFmtId="0" fontId="4" fillId="0" borderId="4" xfId="0" applyFont="1" applyFill="1" applyBorder="1" applyAlignment="1" applyProtection="1">
      <alignment horizontal="left" vertical="center" wrapText="1" indent="1"/>
    </xf>
    <xf numFmtId="0" fontId="4" fillId="0" borderId="3" xfId="0" applyFont="1" applyFill="1" applyBorder="1" applyAlignment="1" applyProtection="1">
      <alignment horizontal="center" vertical="center" wrapText="1"/>
    </xf>
    <xf numFmtId="0" fontId="2" fillId="0" borderId="33" xfId="0" applyFont="1" applyFill="1" applyBorder="1" applyAlignment="1" applyProtection="1">
      <alignment horizontal="center" vertical="center" wrapText="1"/>
    </xf>
    <xf numFmtId="0" fontId="2" fillId="3" borderId="1" xfId="0" applyFont="1" applyFill="1" applyBorder="1" applyAlignment="1" applyProtection="1">
      <alignment horizontal="center" vertical="center"/>
    </xf>
    <xf numFmtId="0" fontId="2" fillId="3" borderId="34"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0" borderId="17" xfId="0" applyFont="1" applyFill="1" applyBorder="1" applyAlignment="1" applyProtection="1">
      <alignment horizontal="left" vertical="center" wrapText="1" indent="1"/>
    </xf>
    <xf numFmtId="0" fontId="2" fillId="0" borderId="35" xfId="0" applyFont="1" applyFill="1" applyBorder="1" applyAlignment="1" applyProtection="1">
      <alignment horizontal="center" vertical="top" wrapText="1"/>
    </xf>
    <xf numFmtId="0" fontId="2" fillId="0" borderId="22" xfId="0" applyFont="1" applyFill="1" applyBorder="1" applyAlignment="1" applyProtection="1">
      <alignment horizontal="center" vertical="top" wrapText="1"/>
    </xf>
    <xf numFmtId="0" fontId="2" fillId="0" borderId="3" xfId="0" applyFont="1" applyFill="1" applyBorder="1" applyAlignment="1" applyProtection="1">
      <alignment horizontal="left" vertical="center" wrapText="1" indent="1"/>
    </xf>
    <xf numFmtId="0" fontId="2" fillId="0" borderId="36" xfId="0" applyFont="1" applyFill="1" applyBorder="1" applyAlignment="1" applyProtection="1">
      <alignment horizontal="center" vertical="top" wrapText="1"/>
    </xf>
    <xf numFmtId="0" fontId="2" fillId="0" borderId="4" xfId="0" applyFont="1" applyFill="1" applyBorder="1" applyAlignment="1" applyProtection="1">
      <alignment horizontal="center" vertical="top" wrapText="1"/>
    </xf>
    <xf numFmtId="0" fontId="2" fillId="0" borderId="5" xfId="0" applyFont="1" applyFill="1" applyBorder="1" applyAlignment="1" applyProtection="1">
      <alignment horizontal="left" vertical="center" wrapText="1" indent="1"/>
    </xf>
    <xf numFmtId="0" fontId="2" fillId="0" borderId="37" xfId="0" applyFont="1" applyFill="1" applyBorder="1" applyAlignment="1" applyProtection="1">
      <alignment horizontal="center" vertical="top" wrapText="1"/>
    </xf>
    <xf numFmtId="0" fontId="2" fillId="0" borderId="33" xfId="0" applyFont="1" applyFill="1" applyBorder="1" applyAlignment="1" applyProtection="1">
      <alignment horizontal="center" vertical="top" wrapText="1"/>
    </xf>
    <xf numFmtId="0" fontId="5" fillId="2" borderId="0" xfId="0" applyFont="1" applyFill="1">
      <alignment vertical="center"/>
    </xf>
    <xf numFmtId="0" fontId="2" fillId="4" borderId="1" xfId="0" applyFont="1" applyFill="1" applyBorder="1" applyAlignment="1">
      <alignment horizontal="center" vertical="center"/>
    </xf>
    <xf numFmtId="0" fontId="2" fillId="4" borderId="7" xfId="0" applyFont="1" applyFill="1" applyBorder="1" applyAlignment="1">
      <alignment horizontal="center" vertical="center"/>
    </xf>
    <xf numFmtId="176" fontId="7" fillId="6" borderId="2" xfId="0" applyNumberFormat="1" applyFont="1" applyFill="1" applyBorder="1" applyAlignment="1">
      <alignment horizontal="center" vertical="center"/>
    </xf>
    <xf numFmtId="0" fontId="2" fillId="4" borderId="3" xfId="0" applyFont="1" applyFill="1" applyBorder="1" applyAlignment="1">
      <alignment horizontal="center" vertical="center"/>
    </xf>
    <xf numFmtId="0" fontId="2" fillId="4" borderId="27" xfId="0" applyFont="1" applyFill="1" applyBorder="1" applyAlignment="1">
      <alignment horizontal="center" vertical="center"/>
    </xf>
    <xf numFmtId="176" fontId="7" fillId="6" borderId="4" xfId="0" applyNumberFormat="1" applyFont="1" applyFill="1" applyBorder="1" applyAlignment="1">
      <alignment horizontal="center" vertical="center"/>
    </xf>
    <xf numFmtId="0" fontId="2" fillId="4" borderId="5" xfId="0" applyFont="1" applyFill="1" applyBorder="1" applyAlignment="1">
      <alignment horizontal="center" vertical="center"/>
    </xf>
    <xf numFmtId="0" fontId="2" fillId="4" borderId="2" xfId="0" applyFont="1" applyFill="1" applyBorder="1" applyAlignment="1">
      <alignment horizontal="center" vertical="center"/>
    </xf>
    <xf numFmtId="0" fontId="2" fillId="7" borderId="27" xfId="0" applyFont="1" applyFill="1" applyBorder="1" applyAlignment="1">
      <alignment horizontal="left" vertical="center" indent="1"/>
    </xf>
    <xf numFmtId="0" fontId="10" fillId="7" borderId="27"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 xfId="0" applyFont="1" applyFill="1" applyBorder="1" applyAlignment="1">
      <alignment horizontal="left" vertical="center"/>
    </xf>
    <xf numFmtId="0" fontId="2" fillId="6" borderId="27" xfId="0" applyFont="1" applyFill="1" applyBorder="1" applyAlignment="1">
      <alignment horizontal="left" vertical="center" indent="1"/>
    </xf>
    <xf numFmtId="0" fontId="10" fillId="0" borderId="27" xfId="0" applyFont="1" applyFill="1" applyBorder="1" applyAlignment="1">
      <alignment horizontal="center" vertical="center"/>
    </xf>
    <xf numFmtId="0" fontId="2" fillId="0" borderId="27" xfId="0" applyFont="1" applyFill="1" applyBorder="1" applyAlignment="1">
      <alignment horizontal="center" vertical="center"/>
    </xf>
    <xf numFmtId="0" fontId="1" fillId="0" borderId="4" xfId="0" applyFont="1" applyBorder="1">
      <alignment vertical="center"/>
    </xf>
    <xf numFmtId="0" fontId="2" fillId="0" borderId="4" xfId="0" applyFont="1" applyFill="1" applyBorder="1" applyAlignment="1">
      <alignment horizontal="left" vertical="center"/>
    </xf>
    <xf numFmtId="0" fontId="2" fillId="0" borderId="4" xfId="0" applyFont="1" applyFill="1" applyBorder="1" applyAlignment="1">
      <alignment horizontal="left" vertical="center" wrapText="1"/>
    </xf>
    <xf numFmtId="0" fontId="2" fillId="6" borderId="37" xfId="0" applyFont="1" applyFill="1" applyBorder="1" applyAlignment="1">
      <alignment horizontal="left" vertical="center" indent="1"/>
    </xf>
    <xf numFmtId="0" fontId="8" fillId="6" borderId="37" xfId="0" applyFont="1" applyFill="1" applyBorder="1" applyAlignment="1">
      <alignment horizontal="center" vertical="center"/>
    </xf>
    <xf numFmtId="0" fontId="2" fillId="0" borderId="37" xfId="0" applyFont="1" applyFill="1" applyBorder="1" applyAlignment="1">
      <alignment horizontal="center" vertical="center"/>
    </xf>
    <xf numFmtId="0" fontId="2" fillId="0" borderId="33" xfId="0" applyFont="1" applyFill="1" applyBorder="1" applyAlignment="1">
      <alignment horizontal="left" vertical="center"/>
    </xf>
    <xf numFmtId="0" fontId="2" fillId="4" borderId="39" xfId="0" applyFont="1" applyFill="1" applyBorder="1" applyAlignment="1">
      <alignment horizontal="center" vertical="center"/>
    </xf>
    <xf numFmtId="0" fontId="2" fillId="7" borderId="40" xfId="0" applyFont="1" applyFill="1" applyBorder="1" applyAlignment="1">
      <alignment horizontal="left" vertical="center"/>
    </xf>
    <xf numFmtId="0" fontId="2" fillId="0" borderId="40" xfId="0" applyFont="1" applyFill="1" applyBorder="1" applyAlignment="1">
      <alignment horizontal="left" vertical="center"/>
    </xf>
    <xf numFmtId="0" fontId="2" fillId="0" borderId="41" xfId="0" applyFont="1" applyFill="1" applyBorder="1" applyAlignment="1">
      <alignment horizontal="left" vertical="center"/>
    </xf>
    <xf numFmtId="0" fontId="10" fillId="0" borderId="37" xfId="0" applyFont="1" applyFill="1" applyBorder="1" applyAlignment="1">
      <alignment horizontal="center" vertical="center"/>
    </xf>
    <xf numFmtId="0" fontId="6" fillId="6" borderId="42" xfId="0" applyFont="1" applyFill="1" applyBorder="1" applyAlignment="1">
      <alignment horizontal="left" vertical="center"/>
    </xf>
    <xf numFmtId="0" fontId="6" fillId="6" borderId="43" xfId="0" applyFont="1" applyFill="1" applyBorder="1" applyAlignment="1">
      <alignment horizontal="left" vertical="center"/>
    </xf>
    <xf numFmtId="0" fontId="6" fillId="6" borderId="34" xfId="0" applyFont="1" applyFill="1" applyBorder="1" applyAlignment="1">
      <alignment horizontal="left" vertical="center"/>
    </xf>
    <xf numFmtId="0" fontId="8" fillId="6" borderId="44" xfId="0" applyFont="1" applyFill="1" applyBorder="1" applyAlignment="1">
      <alignment horizontal="left" vertical="center"/>
    </xf>
    <xf numFmtId="0" fontId="8" fillId="6" borderId="45" xfId="0" applyFont="1" applyFill="1" applyBorder="1" applyAlignment="1">
      <alignment horizontal="left" vertical="center"/>
    </xf>
    <xf numFmtId="0" fontId="8" fillId="6" borderId="36" xfId="0" applyFont="1" applyFill="1" applyBorder="1" applyAlignment="1">
      <alignment horizontal="left" vertical="center"/>
    </xf>
    <xf numFmtId="0" fontId="2" fillId="7" borderId="4" xfId="0" applyFont="1" applyFill="1" applyBorder="1" applyAlignment="1">
      <alignment horizontal="left" vertical="center" wrapText="1"/>
    </xf>
    <xf numFmtId="0" fontId="2" fillId="6" borderId="9" xfId="0" applyFont="1" applyFill="1" applyBorder="1" applyAlignment="1">
      <alignment horizontal="left" vertical="center" indent="1"/>
    </xf>
    <xf numFmtId="0" fontId="2" fillId="0" borderId="9" xfId="0" applyFont="1" applyFill="1" applyBorder="1" applyAlignment="1">
      <alignment horizontal="center" vertical="center"/>
    </xf>
    <xf numFmtId="0" fontId="10" fillId="0" borderId="9" xfId="0" applyFont="1" applyFill="1" applyBorder="1" applyAlignment="1">
      <alignment horizontal="center" vertical="center"/>
    </xf>
    <xf numFmtId="0" fontId="2" fillId="0" borderId="28" xfId="0" applyFont="1" applyFill="1" applyBorder="1" applyAlignment="1">
      <alignment horizontal="left" vertical="center"/>
    </xf>
    <xf numFmtId="0" fontId="10" fillId="6" borderId="27" xfId="0" applyFont="1" applyFill="1" applyBorder="1" applyAlignment="1">
      <alignment horizontal="center" vertical="center"/>
    </xf>
    <xf numFmtId="0" fontId="2" fillId="6" borderId="27" xfId="0" applyFont="1" applyFill="1" applyBorder="1" applyAlignment="1">
      <alignment horizontal="center" vertical="center"/>
    </xf>
    <xf numFmtId="0" fontId="2" fillId="6" borderId="4" xfId="0" applyFont="1" applyFill="1" applyBorder="1" applyAlignment="1">
      <alignment horizontal="left" vertical="center"/>
    </xf>
    <xf numFmtId="0" fontId="2" fillId="6" borderId="4" xfId="0" applyFont="1" applyFill="1" applyBorder="1" applyAlignment="1">
      <alignment horizontal="left" vertical="center" wrapText="1"/>
    </xf>
    <xf numFmtId="0" fontId="9" fillId="6" borderId="19" xfId="0" applyFont="1" applyFill="1" applyBorder="1" applyAlignment="1">
      <alignment horizontal="left" vertical="center" wrapText="1"/>
    </xf>
    <xf numFmtId="0" fontId="9" fillId="6" borderId="46" xfId="0" applyFont="1" applyFill="1" applyBorder="1" applyAlignment="1">
      <alignment horizontal="left" vertical="center" wrapText="1"/>
    </xf>
    <xf numFmtId="0" fontId="9" fillId="6" borderId="47" xfId="0" applyFont="1" applyFill="1" applyBorder="1" applyAlignment="1">
      <alignment horizontal="left" vertical="center" wrapText="1"/>
    </xf>
    <xf numFmtId="0" fontId="9" fillId="6" borderId="48" xfId="0" applyFont="1" applyFill="1" applyBorder="1" applyAlignment="1">
      <alignment horizontal="left" vertical="center" wrapText="1"/>
    </xf>
    <xf numFmtId="0" fontId="9" fillId="6" borderId="49" xfId="0" applyFont="1" applyFill="1" applyBorder="1" applyAlignment="1">
      <alignment horizontal="left" vertical="center" wrapText="1"/>
    </xf>
    <xf numFmtId="0" fontId="9" fillId="6" borderId="50" xfId="0" applyFont="1" applyFill="1" applyBorder="1" applyAlignment="1">
      <alignment horizontal="left" vertical="center" wrapText="1"/>
    </xf>
    <xf numFmtId="0" fontId="2" fillId="7" borderId="9" xfId="0" applyFont="1" applyFill="1" applyBorder="1" applyAlignment="1">
      <alignment horizontal="center" vertical="center"/>
    </xf>
    <xf numFmtId="0" fontId="2" fillId="7" borderId="18" xfId="0" applyFont="1" applyFill="1" applyBorder="1" applyAlignment="1">
      <alignment horizontal="center" vertical="center"/>
    </xf>
    <xf numFmtId="0" fontId="2" fillId="6" borderId="0" xfId="0" applyFont="1" applyFill="1" applyBorder="1" applyAlignment="1">
      <alignment horizontal="left" vertical="center" inden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left" vertical="center"/>
    </xf>
    <xf numFmtId="0" fontId="9" fillId="6" borderId="20" xfId="0" applyFont="1" applyFill="1" applyBorder="1" applyAlignment="1">
      <alignment horizontal="left" vertical="center" wrapText="1"/>
    </xf>
    <xf numFmtId="0" fontId="9" fillId="6" borderId="0" xfId="0" applyFont="1" applyFill="1" applyBorder="1" applyAlignment="1">
      <alignment horizontal="left" vertical="center" wrapText="1"/>
    </xf>
    <xf numFmtId="0" fontId="9" fillId="6" borderId="53" xfId="0" applyFont="1" applyFill="1" applyBorder="1" applyAlignment="1">
      <alignment horizontal="left" vertical="center" wrapText="1"/>
    </xf>
    <xf numFmtId="0" fontId="11" fillId="2" borderId="0" xfId="0" applyFont="1" applyFill="1">
      <alignment vertical="center"/>
    </xf>
    <xf numFmtId="0" fontId="4" fillId="0" borderId="4" xfId="0" applyFont="1" applyFill="1" applyBorder="1" applyAlignment="1">
      <alignment horizontal="left" vertical="center"/>
    </xf>
    <xf numFmtId="0" fontId="4" fillId="6" borderId="27" xfId="0" applyFont="1" applyFill="1" applyBorder="1" applyAlignment="1">
      <alignment horizontal="left" vertical="center" indent="1"/>
    </xf>
    <xf numFmtId="0" fontId="4" fillId="0" borderId="27" xfId="0" applyFont="1" applyFill="1" applyBorder="1" applyAlignment="1">
      <alignment horizontal="center" vertical="center"/>
    </xf>
    <xf numFmtId="0" fontId="4" fillId="0" borderId="4" xfId="0" applyFont="1" applyBorder="1">
      <alignment vertical="center"/>
    </xf>
    <xf numFmtId="0" fontId="4" fillId="7" borderId="4" xfId="0" applyFont="1" applyFill="1" applyBorder="1" applyAlignment="1">
      <alignment horizontal="left" vertical="center"/>
    </xf>
    <xf numFmtId="0" fontId="4" fillId="7" borderId="9" xfId="0" applyFont="1" applyFill="1" applyBorder="1" applyAlignment="1">
      <alignment horizontal="center" vertical="center" wrapText="1"/>
    </xf>
    <xf numFmtId="0" fontId="4" fillId="7" borderId="10" xfId="0" applyFont="1" applyFill="1" applyBorder="1" applyAlignment="1">
      <alignment horizontal="center" vertical="center" wrapText="1"/>
    </xf>
    <xf numFmtId="0" fontId="4" fillId="7" borderId="18" xfId="0" applyFont="1" applyFill="1" applyBorder="1" applyAlignment="1">
      <alignment horizontal="center" vertical="center" wrapText="1"/>
    </xf>
    <xf numFmtId="0" fontId="4" fillId="7" borderId="27" xfId="0" applyFont="1" applyFill="1" applyBorder="1" applyAlignment="1">
      <alignment horizontal="center" vertical="center"/>
    </xf>
    <xf numFmtId="0" fontId="4" fillId="7" borderId="27" xfId="0" applyFont="1" applyFill="1" applyBorder="1" applyAlignment="1">
      <alignment horizontal="left" vertical="center" indent="1"/>
    </xf>
    <xf numFmtId="0" fontId="2" fillId="8" borderId="27" xfId="0" applyFont="1" applyFill="1" applyBorder="1" applyAlignment="1">
      <alignment horizontal="left" vertical="center" indent="1"/>
    </xf>
    <xf numFmtId="0" fontId="10" fillId="8" borderId="27" xfId="0" applyFont="1" applyFill="1" applyBorder="1" applyAlignment="1">
      <alignment horizontal="center" vertical="center"/>
    </xf>
    <xf numFmtId="0" fontId="2" fillId="8" borderId="27" xfId="0" applyFont="1" applyFill="1" applyBorder="1" applyAlignment="1">
      <alignment horizontal="center" vertical="center"/>
    </xf>
    <xf numFmtId="0" fontId="2" fillId="8" borderId="4" xfId="0" applyFont="1" applyFill="1" applyBorder="1" applyAlignment="1">
      <alignment horizontal="left" vertical="center"/>
    </xf>
    <xf numFmtId="0" fontId="2" fillId="4" borderId="18" xfId="0" applyFont="1" applyFill="1" applyBorder="1" applyAlignment="1">
      <alignment horizontal="center" vertical="center"/>
    </xf>
    <xf numFmtId="0" fontId="2" fillId="4" borderId="22" xfId="0" applyFont="1" applyFill="1" applyBorder="1" applyAlignment="1">
      <alignment horizontal="left" vertical="center"/>
    </xf>
    <xf numFmtId="0" fontId="12" fillId="6" borderId="9" xfId="0" applyNumberFormat="1" applyFont="1" applyFill="1" applyBorder="1" applyAlignment="1">
      <alignment horizontal="left" vertical="center" indent="1"/>
    </xf>
    <xf numFmtId="0" fontId="13" fillId="0" borderId="9" xfId="0" applyNumberFormat="1" applyFont="1" applyFill="1" applyBorder="1" applyAlignment="1">
      <alignment horizontal="center" vertical="center"/>
    </xf>
    <xf numFmtId="0" fontId="12" fillId="0" borderId="9" xfId="0" applyNumberFormat="1" applyFont="1" applyFill="1" applyBorder="1" applyAlignment="1">
      <alignment horizontal="center" vertical="center"/>
    </xf>
    <xf numFmtId="0" fontId="12" fillId="0" borderId="28" xfId="0" applyNumberFormat="1" applyFont="1" applyFill="1" applyBorder="1" applyAlignment="1">
      <alignment horizontal="left" vertical="center"/>
    </xf>
    <xf numFmtId="0" fontId="12" fillId="0" borderId="27" xfId="0" applyNumberFormat="1" applyFont="1" applyFill="1" applyBorder="1" applyAlignment="1">
      <alignment horizontal="center" vertical="center"/>
    </xf>
    <xf numFmtId="0" fontId="4" fillId="6" borderId="19" xfId="0" applyFont="1" applyFill="1" applyBorder="1" applyAlignment="1">
      <alignment horizontal="left" vertical="center" wrapText="1"/>
    </xf>
    <xf numFmtId="0" fontId="4" fillId="6" borderId="46" xfId="0" applyFont="1" applyFill="1" applyBorder="1" applyAlignment="1">
      <alignment horizontal="left" vertical="center" wrapText="1"/>
    </xf>
    <xf numFmtId="0" fontId="4" fillId="6" borderId="47" xfId="0" applyFont="1" applyFill="1" applyBorder="1" applyAlignment="1">
      <alignment horizontal="left" vertical="center" wrapText="1"/>
    </xf>
    <xf numFmtId="0" fontId="4" fillId="6" borderId="48" xfId="0" applyFont="1" applyFill="1" applyBorder="1" applyAlignment="1">
      <alignment horizontal="left" vertical="center" wrapText="1"/>
    </xf>
    <xf numFmtId="0" fontId="4" fillId="6" borderId="49" xfId="0" applyFont="1" applyFill="1" applyBorder="1" applyAlignment="1">
      <alignment horizontal="left" vertical="center" wrapText="1"/>
    </xf>
    <xf numFmtId="0" fontId="4" fillId="6" borderId="50" xfId="0" applyFont="1" applyFill="1" applyBorder="1" applyAlignment="1">
      <alignment horizontal="left" vertical="center" wrapText="1"/>
    </xf>
    <xf numFmtId="0" fontId="2" fillId="0" borderId="27" xfId="0" applyFont="1" applyFill="1" applyBorder="1" applyAlignment="1">
      <alignment horizontal="left" vertical="center" indent="1"/>
    </xf>
    <xf numFmtId="0" fontId="2" fillId="0" borderId="9" xfId="0" applyFont="1" applyFill="1" applyBorder="1" applyAlignment="1">
      <alignment horizontal="left" vertical="center" indent="1"/>
    </xf>
    <xf numFmtId="0" fontId="2" fillId="0" borderId="37" xfId="0" applyFont="1" applyFill="1" applyBorder="1" applyAlignment="1">
      <alignment horizontal="left" vertical="center" indent="1"/>
    </xf>
    <xf numFmtId="176" fontId="7" fillId="6" borderId="54" xfId="0" applyNumberFormat="1" applyFont="1" applyFill="1" applyBorder="1" applyAlignment="1">
      <alignment horizontal="center" vertical="center"/>
    </xf>
    <xf numFmtId="0" fontId="2" fillId="4" borderId="36" xfId="0" applyFont="1" applyFill="1" applyBorder="1" applyAlignment="1">
      <alignment horizontal="center" vertical="center"/>
    </xf>
    <xf numFmtId="0" fontId="2" fillId="6" borderId="33" xfId="0" applyFont="1" applyFill="1" applyBorder="1" applyAlignment="1">
      <alignment horizontal="left" vertical="center" indent="1"/>
    </xf>
    <xf numFmtId="0" fontId="10" fillId="0" borderId="30" xfId="0" applyFont="1" applyFill="1" applyBorder="1" applyAlignment="1">
      <alignment horizontal="center" vertical="center"/>
    </xf>
    <xf numFmtId="0" fontId="2" fillId="0" borderId="18" xfId="0" applyFont="1" applyFill="1" applyBorder="1" applyAlignment="1">
      <alignment horizontal="center" vertical="center"/>
    </xf>
    <xf numFmtId="0" fontId="2" fillId="6" borderId="10" xfId="0" applyFont="1" applyFill="1" applyBorder="1" applyAlignment="1">
      <alignment horizontal="left" vertical="center" indent="1"/>
    </xf>
    <xf numFmtId="0" fontId="2" fillId="0" borderId="28" xfId="0" applyFont="1" applyFill="1" applyBorder="1" applyAlignment="1">
      <alignment horizontal="left" vertical="center" wrapText="1"/>
    </xf>
    <xf numFmtId="0" fontId="2" fillId="6" borderId="18" xfId="0" applyFont="1" applyFill="1" applyBorder="1" applyAlignment="1">
      <alignment horizontal="left" vertical="center" indent="1"/>
    </xf>
    <xf numFmtId="0" fontId="1" fillId="0" borderId="22" xfId="0" applyFont="1" applyBorder="1">
      <alignment vertical="center"/>
    </xf>
    <xf numFmtId="0" fontId="1" fillId="0" borderId="28" xfId="0" applyFont="1" applyBorder="1">
      <alignment vertical="center"/>
    </xf>
    <xf numFmtId="0" fontId="2" fillId="6" borderId="30" xfId="0" applyFont="1" applyFill="1" applyBorder="1" applyAlignment="1">
      <alignment horizontal="left" vertical="center" indent="1"/>
    </xf>
    <xf numFmtId="0" fontId="2" fillId="0" borderId="30" xfId="0" applyFont="1" applyFill="1" applyBorder="1" applyAlignment="1">
      <alignment horizontal="center" vertical="center"/>
    </xf>
    <xf numFmtId="0" fontId="2" fillId="0" borderId="55" xfId="0" applyFont="1" applyFill="1" applyBorder="1" applyAlignment="1">
      <alignment horizontal="left" vertical="center"/>
    </xf>
    <xf numFmtId="0" fontId="2" fillId="0" borderId="10" xfId="0" applyFont="1" applyFill="1" applyBorder="1" applyAlignment="1">
      <alignment horizontal="left" vertical="center" indent="1"/>
    </xf>
    <xf numFmtId="0" fontId="10" fillId="0" borderId="18"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1" xfId="0" applyFont="1" applyFill="1" applyBorder="1" applyAlignment="1">
      <alignment horizontal="left" vertical="center" wrapText="1"/>
    </xf>
    <xf numFmtId="0" fontId="2" fillId="0" borderId="33" xfId="0" applyFont="1" applyFill="1" applyBorder="1" applyAlignment="1">
      <alignment horizontal="left" vertical="center" wrapText="1"/>
    </xf>
    <xf numFmtId="0" fontId="2" fillId="0" borderId="19" xfId="0" applyFont="1" applyFill="1" applyBorder="1" applyAlignment="1">
      <alignment horizontal="left" vertical="center"/>
    </xf>
    <xf numFmtId="0" fontId="2" fillId="6" borderId="27" xfId="0" applyFont="1" applyFill="1" applyBorder="1" applyAlignment="1">
      <alignment vertical="center"/>
    </xf>
    <xf numFmtId="0" fontId="2" fillId="6" borderId="18" xfId="0" applyFont="1" applyFill="1" applyBorder="1" applyAlignment="1">
      <alignment horizontal="center" vertical="center"/>
    </xf>
    <xf numFmtId="0" fontId="2" fillId="6" borderId="18" xfId="0" applyFont="1" applyFill="1" applyBorder="1" applyAlignment="1">
      <alignment vertical="center"/>
    </xf>
    <xf numFmtId="0" fontId="2" fillId="6" borderId="37" xfId="0" applyFont="1" applyFill="1" applyBorder="1" applyAlignment="1">
      <alignment horizontal="center" vertical="center"/>
    </xf>
    <xf numFmtId="0" fontId="2" fillId="6" borderId="37" xfId="0" applyFont="1" applyFill="1" applyBorder="1" applyAlignment="1">
      <alignment vertical="center"/>
    </xf>
    <xf numFmtId="0" fontId="2" fillId="7" borderId="18" xfId="0" applyFont="1" applyFill="1" applyBorder="1" applyAlignment="1">
      <alignment horizontal="left" vertical="center" indent="1"/>
    </xf>
    <xf numFmtId="0" fontId="2" fillId="7" borderId="22" xfId="0" applyFont="1" applyFill="1" applyBorder="1" applyAlignment="1">
      <alignment horizontal="left" vertical="center"/>
    </xf>
    <xf numFmtId="0" fontId="2" fillId="4" borderId="2" xfId="0" applyFont="1" applyFill="1" applyBorder="1" applyAlignment="1">
      <alignment vertical="center"/>
    </xf>
    <xf numFmtId="0" fontId="2" fillId="7" borderId="22" xfId="0" applyFont="1" applyFill="1" applyBorder="1" applyAlignment="1">
      <alignment vertical="center"/>
    </xf>
    <xf numFmtId="0" fontId="1" fillId="0" borderId="33" xfId="0" applyFont="1" applyBorder="1">
      <alignment vertical="center"/>
    </xf>
    <xf numFmtId="0" fontId="2" fillId="7" borderId="22" xfId="0" applyFont="1" applyFill="1" applyBorder="1" applyAlignment="1">
      <alignment horizontal="left" vertical="center" wrapText="1"/>
    </xf>
    <xf numFmtId="0" fontId="2" fillId="0" borderId="27" xfId="0" applyFont="1" applyFill="1" applyBorder="1" applyAlignment="1">
      <alignment horizontal="left" vertical="center"/>
    </xf>
    <xf numFmtId="0" fontId="2" fillId="6" borderId="36" xfId="0" applyFont="1" applyFill="1" applyBorder="1" applyAlignment="1">
      <alignment horizontal="left" vertical="center" indent="1"/>
    </xf>
    <xf numFmtId="0" fontId="2" fillId="0" borderId="9" xfId="0" applyFont="1" applyFill="1" applyBorder="1" applyAlignment="1">
      <alignment horizontal="left" vertical="center"/>
    </xf>
    <xf numFmtId="0" fontId="2" fillId="0" borderId="37" xfId="0" applyFont="1" applyFill="1" applyBorder="1" applyAlignment="1">
      <alignment horizontal="left" vertical="center"/>
    </xf>
    <xf numFmtId="0" fontId="4" fillId="2" borderId="0" xfId="0" applyFont="1" applyFill="1" applyProtection="1">
      <alignment vertical="center"/>
      <protection locked="0"/>
    </xf>
    <xf numFmtId="0" fontId="1" fillId="2" borderId="0" xfId="0" applyFont="1" applyFill="1" applyAlignment="1" applyProtection="1">
      <alignment horizontal="center" vertical="center"/>
      <protection locked="0"/>
    </xf>
    <xf numFmtId="0" fontId="2" fillId="3" borderId="38" xfId="0" applyFont="1" applyFill="1" applyBorder="1" applyAlignment="1" applyProtection="1">
      <alignment horizontal="center" vertical="center" wrapText="1"/>
      <protection locked="0"/>
    </xf>
    <xf numFmtId="0" fontId="2" fillId="3" borderId="56" xfId="0" applyFont="1" applyFill="1" applyBorder="1" applyAlignment="1" applyProtection="1">
      <alignment horizontal="center" vertical="center" wrapText="1"/>
      <protection locked="0"/>
    </xf>
    <xf numFmtId="0" fontId="2" fillId="3" borderId="57" xfId="0" applyFont="1" applyFill="1" applyBorder="1" applyAlignment="1" applyProtection="1">
      <alignment horizontal="center" vertical="center" wrapText="1"/>
      <protection locked="0"/>
    </xf>
    <xf numFmtId="0" fontId="14" fillId="0" borderId="27" xfId="2" applyFont="1" applyFill="1" applyBorder="1" applyAlignment="1" applyProtection="1">
      <alignment horizontal="center" vertical="center" wrapText="1"/>
      <protection locked="0"/>
    </xf>
    <xf numFmtId="0" fontId="2" fillId="0" borderId="27" xfId="0" applyFont="1" applyFill="1" applyBorder="1" applyAlignment="1" applyProtection="1">
      <alignment horizontal="left" vertical="center" wrapText="1"/>
      <protection locked="0"/>
    </xf>
    <xf numFmtId="0" fontId="2" fillId="0" borderId="4" xfId="0" applyFont="1" applyFill="1" applyBorder="1" applyAlignment="1" applyProtection="1">
      <alignment horizontal="center" vertical="center" wrapText="1"/>
      <protection locked="0"/>
    </xf>
    <xf numFmtId="0" fontId="4" fillId="0" borderId="27" xfId="0" applyFont="1" applyFill="1" applyBorder="1" applyAlignment="1" applyProtection="1">
      <alignment horizontal="left" vertical="center" wrapText="1"/>
      <protection locked="0"/>
    </xf>
    <xf numFmtId="0" fontId="4" fillId="0" borderId="4" xfId="0" applyFont="1" applyFill="1" applyBorder="1" applyAlignment="1" applyProtection="1">
      <alignment horizontal="center" vertical="center" wrapText="1"/>
      <protection locked="0"/>
    </xf>
    <xf numFmtId="177" fontId="14" fillId="0" borderId="27" xfId="2" applyNumberFormat="1" applyFont="1" applyFill="1" applyBorder="1" applyAlignment="1" applyProtection="1">
      <alignment horizontal="center" vertical="center" wrapText="1"/>
      <protection locked="0"/>
    </xf>
    <xf numFmtId="0" fontId="14" fillId="0" borderId="0" xfId="2" applyFont="1" applyAlignment="1" applyProtection="1">
      <alignment horizontal="center" vertical="center"/>
    </xf>
    <xf numFmtId="0" fontId="14" fillId="0" borderId="9" xfId="2" applyFont="1" applyFill="1" applyBorder="1" applyAlignment="1" applyProtection="1">
      <alignment horizontal="center" vertical="center" wrapText="1"/>
      <protection locked="0"/>
    </xf>
    <xf numFmtId="0" fontId="2" fillId="0" borderId="18" xfId="0" applyFont="1" applyFill="1" applyBorder="1" applyAlignment="1" applyProtection="1">
      <alignment horizontal="left" vertical="center" wrapText="1"/>
      <protection locked="0"/>
    </xf>
    <xf numFmtId="0" fontId="14" fillId="0" borderId="35" xfId="2" applyFont="1" applyFill="1" applyBorder="1" applyAlignment="1" applyProtection="1">
      <alignment horizontal="center" vertical="center" wrapText="1"/>
      <protection locked="0"/>
    </xf>
    <xf numFmtId="0" fontId="14" fillId="0" borderId="36" xfId="2" applyFont="1" applyFill="1" applyBorder="1" applyAlignment="1" applyProtection="1">
      <alignment horizontal="center" vertical="center" wrapText="1"/>
      <protection locked="0"/>
    </xf>
    <xf numFmtId="0" fontId="14" fillId="0" borderId="51" xfId="2" applyFont="1" applyFill="1" applyBorder="1" applyAlignment="1" applyProtection="1">
      <alignment horizontal="center" vertical="center" wrapText="1"/>
      <protection locked="0"/>
    </xf>
    <xf numFmtId="0" fontId="2" fillId="0" borderId="19" xfId="0" applyFont="1" applyFill="1" applyBorder="1" applyAlignment="1" applyProtection="1">
      <alignment horizontal="left" vertical="center" wrapText="1"/>
      <protection locked="0"/>
    </xf>
    <xf numFmtId="0" fontId="2" fillId="0" borderId="28" xfId="0" applyFont="1" applyFill="1" applyBorder="1" applyAlignment="1" applyProtection="1">
      <alignment horizontal="center" vertical="center" wrapText="1"/>
      <protection locked="0"/>
    </xf>
    <xf numFmtId="0" fontId="2" fillId="0" borderId="58" xfId="0" applyFont="1" applyFill="1" applyBorder="1" applyAlignment="1" applyProtection="1">
      <alignment horizontal="left" vertical="center" wrapText="1"/>
      <protection locked="0"/>
    </xf>
    <xf numFmtId="0" fontId="2" fillId="0" borderId="33" xfId="0" applyFont="1" applyFill="1" applyBorder="1" applyAlignment="1" applyProtection="1">
      <alignment horizontal="center" vertical="center" wrapText="1"/>
      <protection locked="0"/>
    </xf>
    <xf numFmtId="178" fontId="0" fillId="2" borderId="0" xfId="0" applyNumberFormat="1" applyFill="1">
      <alignment vertical="center"/>
    </xf>
    <xf numFmtId="0" fontId="2" fillId="3" borderId="1" xfId="0" applyFont="1" applyFill="1" applyBorder="1" applyAlignment="1">
      <alignment horizontal="center" vertical="center" wrapText="1"/>
    </xf>
    <xf numFmtId="178" fontId="2" fillId="3" borderId="7" xfId="0" applyNumberFormat="1" applyFont="1" applyFill="1" applyBorder="1" applyAlignment="1">
      <alignment horizontal="center" vertical="center" wrapText="1"/>
    </xf>
    <xf numFmtId="0" fontId="2" fillId="0" borderId="17" xfId="0" applyFont="1" applyFill="1" applyBorder="1" applyAlignment="1">
      <alignment horizontal="center" vertical="center" wrapText="1"/>
    </xf>
    <xf numFmtId="178" fontId="2" fillId="0" borderId="18" xfId="0" applyNumberFormat="1" applyFont="1" applyFill="1" applyBorder="1" applyAlignment="1">
      <alignment horizontal="center" vertical="center" wrapText="1"/>
    </xf>
    <xf numFmtId="0" fontId="2" fillId="6" borderId="17" xfId="0" applyFont="1" applyFill="1" applyBorder="1" applyAlignment="1">
      <alignment horizontal="center" vertical="center" wrapText="1"/>
    </xf>
    <xf numFmtId="178" fontId="2" fillId="6" borderId="18" xfId="0" applyNumberFormat="1" applyFont="1" applyFill="1" applyBorder="1" applyAlignment="1">
      <alignment horizontal="center" vertical="center" wrapText="1"/>
    </xf>
    <xf numFmtId="0" fontId="2" fillId="0" borderId="3" xfId="0" applyFont="1" applyFill="1" applyBorder="1" applyAlignment="1">
      <alignment horizontal="center" vertical="center" wrapText="1"/>
    </xf>
    <xf numFmtId="178" fontId="2" fillId="0" borderId="27" xfId="0" applyNumberFormat="1" applyFont="1" applyFill="1" applyBorder="1" applyAlignment="1">
      <alignment horizontal="center" vertical="center" wrapText="1"/>
    </xf>
    <xf numFmtId="0" fontId="2" fillId="0" borderId="5" xfId="0" applyFont="1" applyFill="1" applyBorder="1" applyAlignment="1">
      <alignment horizontal="center" vertical="center" wrapText="1"/>
    </xf>
    <xf numFmtId="178" fontId="2" fillId="0" borderId="37"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6" borderId="22"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33" xfId="0" applyFont="1" applyFill="1" applyBorder="1" applyAlignment="1">
      <alignment horizontal="center" vertical="center" wrapText="1"/>
    </xf>
    <xf numFmtId="19" fontId="0" fillId="2" borderId="0" xfId="0" applyNumberFormat="1" applyFill="1" applyProtection="1">
      <alignment vertical="center"/>
    </xf>
    <xf numFmtId="0" fontId="0" fillId="2" borderId="0" xfId="0" applyFill="1" applyAlignment="1">
      <alignment vertical="center"/>
    </xf>
    <xf numFmtId="0" fontId="0" fillId="2" borderId="0" xfId="0" applyFill="1" applyAlignment="1">
      <alignment vertical="center" wrapText="1"/>
    </xf>
    <xf numFmtId="0" fontId="6" fillId="6" borderId="42" xfId="0" applyFont="1" applyFill="1" applyBorder="1" applyAlignment="1">
      <alignment horizontal="left" vertical="center"/>
    </xf>
    <xf numFmtId="0" fontId="6" fillId="6" borderId="43" xfId="0" applyFont="1" applyFill="1" applyBorder="1" applyAlignment="1">
      <alignment horizontal="left" vertical="center"/>
    </xf>
    <xf numFmtId="0" fontId="6" fillId="6" borderId="34" xfId="0" applyFont="1" applyFill="1" applyBorder="1" applyAlignment="1">
      <alignment horizontal="left" vertical="center"/>
    </xf>
    <xf numFmtId="0" fontId="2" fillId="7" borderId="27" xfId="0" applyFont="1" applyFill="1" applyBorder="1" applyAlignment="1">
      <alignment horizontal="center" vertical="center"/>
    </xf>
    <xf numFmtId="0" fontId="9" fillId="6" borderId="19" xfId="0" applyFont="1" applyFill="1" applyBorder="1" applyAlignment="1">
      <alignment horizontal="left" vertical="center" wrapText="1"/>
    </xf>
    <xf numFmtId="0" fontId="9" fillId="6" borderId="46" xfId="0" applyFont="1" applyFill="1" applyBorder="1" applyAlignment="1">
      <alignment horizontal="left" vertical="center" wrapText="1"/>
    </xf>
    <xf numFmtId="0" fontId="9" fillId="6" borderId="47" xfId="0" applyFont="1" applyFill="1" applyBorder="1" applyAlignment="1">
      <alignment horizontal="left" vertical="center" wrapText="1"/>
    </xf>
    <xf numFmtId="0" fontId="9" fillId="6" borderId="48" xfId="0" applyFont="1" applyFill="1" applyBorder="1" applyAlignment="1">
      <alignment horizontal="left" vertical="center" wrapText="1"/>
    </xf>
    <xf numFmtId="0" fontId="9" fillId="6" borderId="49" xfId="0" applyFont="1" applyFill="1" applyBorder="1" applyAlignment="1">
      <alignment horizontal="left" vertical="center" wrapText="1"/>
    </xf>
    <xf numFmtId="0" fontId="9" fillId="6" borderId="50" xfId="0" applyFont="1" applyFill="1" applyBorder="1" applyAlignment="1">
      <alignment horizontal="left" vertical="center" wrapText="1"/>
    </xf>
    <xf numFmtId="0" fontId="2" fillId="0" borderId="6" xfId="0" applyFont="1" applyFill="1" applyBorder="1" applyAlignment="1" applyProtection="1">
      <alignment horizontal="center" vertical="center" wrapText="1"/>
    </xf>
    <xf numFmtId="0" fontId="0" fillId="2" borderId="0" xfId="0" applyFill="1" applyAlignment="1">
      <alignment horizontal="center" vertical="center" wrapText="1"/>
    </xf>
    <xf numFmtId="0" fontId="0" fillId="2" borderId="0" xfId="0" applyFill="1" applyAlignment="1">
      <alignment horizontal="center" vertical="center"/>
    </xf>
    <xf numFmtId="0" fontId="15" fillId="2" borderId="0" xfId="0" applyFont="1" applyFill="1" applyAlignment="1">
      <alignment horizontal="center" vertical="center" wrapText="1"/>
    </xf>
    <xf numFmtId="0" fontId="2" fillId="0" borderId="58" xfId="0" applyFont="1" applyFill="1" applyBorder="1" applyAlignment="1">
      <alignment horizontal="left" vertical="center" wrapText="1"/>
    </xf>
    <xf numFmtId="0" fontId="2" fillId="0" borderId="6" xfId="0" applyFont="1" applyFill="1" applyBorder="1" applyAlignment="1">
      <alignment horizontal="left" vertical="center" wrapText="1"/>
    </xf>
    <xf numFmtId="0" fontId="2" fillId="0" borderId="44" xfId="0" applyFont="1" applyFill="1" applyBorder="1" applyAlignment="1">
      <alignment horizontal="left" vertical="top" wrapText="1"/>
    </xf>
    <xf numFmtId="0" fontId="2" fillId="0" borderId="45" xfId="0" applyFont="1" applyFill="1" applyBorder="1" applyAlignment="1">
      <alignment horizontal="left" vertical="top" wrapText="1"/>
    </xf>
    <xf numFmtId="0" fontId="2" fillId="0" borderId="36" xfId="0" applyFont="1" applyFill="1" applyBorder="1" applyAlignment="1">
      <alignment horizontal="left" vertical="top" wrapText="1"/>
    </xf>
    <xf numFmtId="0" fontId="2" fillId="0" borderId="44" xfId="0" applyFont="1" applyFill="1" applyBorder="1" applyAlignment="1">
      <alignment horizontal="left" vertical="center" wrapText="1"/>
    </xf>
    <xf numFmtId="0" fontId="2" fillId="0" borderId="45" xfId="0" applyFont="1" applyFill="1" applyBorder="1" applyAlignment="1">
      <alignment horizontal="left" vertical="center" wrapText="1"/>
    </xf>
    <xf numFmtId="0" fontId="2" fillId="6" borderId="44" xfId="0" applyFont="1" applyFill="1" applyBorder="1" applyAlignment="1">
      <alignment horizontal="left" vertical="center" wrapText="1"/>
    </xf>
    <xf numFmtId="0" fontId="2" fillId="6" borderId="45" xfId="0" applyFont="1" applyFill="1" applyBorder="1" applyAlignment="1">
      <alignment horizontal="left" vertical="center" wrapText="1"/>
    </xf>
    <xf numFmtId="0" fontId="2" fillId="6" borderId="36" xfId="0" applyFont="1" applyFill="1" applyBorder="1" applyAlignment="1">
      <alignment horizontal="left" vertical="center" wrapText="1"/>
    </xf>
    <xf numFmtId="0" fontId="0" fillId="0" borderId="45" xfId="0" applyBorder="1" applyAlignment="1">
      <alignment horizontal="left" vertical="center" wrapText="1"/>
    </xf>
    <xf numFmtId="0" fontId="0" fillId="0" borderId="36" xfId="0" applyBorder="1" applyAlignment="1">
      <alignment horizontal="left" vertical="center" wrapText="1"/>
    </xf>
    <xf numFmtId="0" fontId="11" fillId="6" borderId="44" xfId="0" applyFont="1" applyFill="1" applyBorder="1" applyAlignment="1">
      <alignment vertical="center"/>
    </xf>
    <xf numFmtId="0" fontId="0" fillId="6" borderId="45" xfId="0" applyFill="1" applyBorder="1" applyAlignment="1">
      <alignment vertical="center"/>
    </xf>
    <xf numFmtId="0" fontId="0" fillId="6" borderId="36" xfId="0" applyFill="1" applyBorder="1" applyAlignment="1">
      <alignment vertical="center"/>
    </xf>
    <xf numFmtId="0" fontId="11" fillId="6" borderId="45" xfId="0" applyFont="1" applyFill="1" applyBorder="1" applyAlignment="1">
      <alignment vertical="center"/>
    </xf>
    <xf numFmtId="0" fontId="11" fillId="6" borderId="36" xfId="0" applyFont="1" applyFill="1" applyBorder="1" applyAlignment="1">
      <alignment vertical="center"/>
    </xf>
    <xf numFmtId="0" fontId="2" fillId="6" borderId="21" xfId="0" applyFont="1" applyFill="1" applyBorder="1" applyAlignment="1">
      <alignment horizontal="left" vertical="center" wrapText="1"/>
    </xf>
    <xf numFmtId="0" fontId="2" fillId="6" borderId="59" xfId="0" applyFont="1" applyFill="1" applyBorder="1" applyAlignment="1">
      <alignment horizontal="left" vertical="center" wrapText="1"/>
    </xf>
    <xf numFmtId="0" fontId="2" fillId="6" borderId="44" xfId="0" applyFont="1" applyFill="1" applyBorder="1" applyAlignment="1">
      <alignment horizontal="left" vertical="center"/>
    </xf>
    <xf numFmtId="0" fontId="2" fillId="6" borderId="45" xfId="0" applyFont="1" applyFill="1" applyBorder="1" applyAlignment="1">
      <alignment horizontal="left" vertical="center"/>
    </xf>
    <xf numFmtId="0" fontId="2" fillId="6" borderId="36" xfId="0" applyFont="1" applyFill="1" applyBorder="1" applyAlignment="1">
      <alignment horizontal="left" vertical="center"/>
    </xf>
    <xf numFmtId="0" fontId="2" fillId="0" borderId="21" xfId="0" applyFont="1" applyFill="1" applyBorder="1" applyAlignment="1">
      <alignment horizontal="left" vertical="center" wrapText="1"/>
    </xf>
    <xf numFmtId="0" fontId="2" fillId="0" borderId="59" xfId="0" applyFont="1" applyFill="1" applyBorder="1" applyAlignment="1">
      <alignment horizontal="left" vertical="center" wrapText="1"/>
    </xf>
    <xf numFmtId="0" fontId="2" fillId="0" borderId="36" xfId="0" applyFont="1" applyFill="1" applyBorder="1" applyAlignment="1">
      <alignment horizontal="left" vertical="center" wrapText="1"/>
    </xf>
    <xf numFmtId="0" fontId="2" fillId="0" borderId="44" xfId="0" applyFont="1" applyFill="1" applyBorder="1" applyAlignment="1">
      <alignment vertical="center" wrapText="1"/>
    </xf>
    <xf numFmtId="0" fontId="2" fillId="0" borderId="45" xfId="0" applyFont="1" applyFill="1" applyBorder="1" applyAlignment="1">
      <alignment vertical="center" wrapText="1"/>
    </xf>
    <xf numFmtId="0" fontId="2" fillId="0" borderId="36" xfId="0" applyFont="1" applyFill="1" applyBorder="1" applyAlignment="1">
      <alignment vertical="center" wrapText="1"/>
    </xf>
    <xf numFmtId="0" fontId="2" fillId="3" borderId="42" xfId="0" applyFont="1" applyFill="1" applyBorder="1" applyAlignment="1">
      <alignment horizontal="center" vertical="center" wrapText="1"/>
    </xf>
    <xf numFmtId="0" fontId="2" fillId="3" borderId="43" xfId="0" applyFont="1" applyFill="1" applyBorder="1" applyAlignment="1">
      <alignment horizontal="center" vertical="center" wrapText="1"/>
    </xf>
    <xf numFmtId="0" fontId="2" fillId="0" borderId="59" xfId="0" applyNumberFormat="1" applyFont="1" applyFill="1" applyBorder="1" applyAlignment="1">
      <alignment horizontal="left" vertical="center" wrapText="1"/>
    </xf>
    <xf numFmtId="0" fontId="2" fillId="0" borderId="3"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8" xfId="0" applyFont="1" applyFill="1" applyBorder="1" applyAlignment="1" applyProtection="1">
      <alignment horizontal="center" vertical="center" wrapText="1"/>
      <protection locked="0"/>
    </xf>
    <xf numFmtId="0" fontId="2" fillId="0" borderId="12" xfId="0" applyFont="1" applyFill="1" applyBorder="1" applyAlignment="1" applyProtection="1">
      <alignment horizontal="center" vertical="center" wrapText="1"/>
      <protection locked="0"/>
    </xf>
    <xf numFmtId="0" fontId="2" fillId="0" borderId="17" xfId="0" applyFont="1" applyFill="1" applyBorder="1" applyAlignment="1" applyProtection="1">
      <alignment horizontal="center" vertical="center" wrapText="1"/>
      <protection locked="0"/>
    </xf>
    <xf numFmtId="0" fontId="2" fillId="0" borderId="3" xfId="0" applyNumberFormat="1" applyFont="1" applyFill="1" applyBorder="1" applyAlignment="1" applyProtection="1">
      <alignment horizontal="center" vertical="center" wrapText="1"/>
      <protection locked="0"/>
    </xf>
    <xf numFmtId="0" fontId="2" fillId="4" borderId="8" xfId="0" applyFont="1" applyFill="1" applyBorder="1" applyAlignment="1">
      <alignment horizontal="center" vertical="center"/>
    </xf>
    <xf numFmtId="0" fontId="2" fillId="4" borderId="12" xfId="0" applyFont="1" applyFill="1" applyBorder="1" applyAlignment="1">
      <alignment horizontal="center" vertical="center"/>
    </xf>
    <xf numFmtId="0" fontId="2" fillId="4" borderId="29"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5" xfId="0" applyFont="1" applyFill="1" applyBorder="1" applyAlignment="1">
      <alignment horizontal="center" vertical="center"/>
    </xf>
    <xf numFmtId="0" fontId="2" fillId="4" borderId="1"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18" xfId="0" applyFont="1" applyFill="1" applyBorder="1" applyAlignment="1">
      <alignment horizontal="center" vertical="center"/>
    </xf>
    <xf numFmtId="0" fontId="2" fillId="7" borderId="27" xfId="0" applyFont="1" applyFill="1" applyBorder="1" applyAlignment="1">
      <alignment horizontal="center" vertical="center"/>
    </xf>
    <xf numFmtId="0" fontId="9" fillId="6" borderId="19" xfId="0" applyFont="1" applyFill="1" applyBorder="1" applyAlignment="1">
      <alignment horizontal="left" vertical="center" wrapText="1"/>
    </xf>
    <xf numFmtId="0" fontId="9" fillId="6" borderId="46" xfId="0" applyFont="1" applyFill="1" applyBorder="1" applyAlignment="1">
      <alignment horizontal="left" vertical="center" wrapText="1"/>
    </xf>
    <xf numFmtId="0" fontId="9" fillId="6" borderId="47" xfId="0" applyFont="1" applyFill="1" applyBorder="1" applyAlignment="1">
      <alignment horizontal="left" vertical="center" wrapText="1"/>
    </xf>
    <xf numFmtId="0" fontId="9" fillId="6" borderId="48" xfId="0" applyFont="1" applyFill="1" applyBorder="1" applyAlignment="1">
      <alignment horizontal="left" vertical="center" wrapText="1"/>
    </xf>
    <xf numFmtId="0" fontId="9" fillId="6" borderId="49" xfId="0" applyFont="1" applyFill="1" applyBorder="1" applyAlignment="1">
      <alignment horizontal="left" vertical="center" wrapText="1"/>
    </xf>
    <xf numFmtId="0" fontId="9" fillId="6" borderId="50" xfId="0" applyFont="1" applyFill="1" applyBorder="1" applyAlignment="1">
      <alignment horizontal="left" vertical="center" wrapText="1"/>
    </xf>
    <xf numFmtId="0" fontId="9" fillId="6" borderId="27" xfId="0" applyFont="1" applyFill="1" applyBorder="1" applyAlignment="1">
      <alignment horizontal="left" vertical="center" wrapText="1"/>
    </xf>
    <xf numFmtId="0" fontId="9" fillId="6" borderId="4" xfId="0" applyFont="1" applyFill="1" applyBorder="1" applyAlignment="1">
      <alignment horizontal="left" vertical="center" wrapText="1"/>
    </xf>
    <xf numFmtId="0" fontId="9" fillId="6" borderId="37" xfId="0" applyFont="1" applyFill="1" applyBorder="1" applyAlignment="1">
      <alignment horizontal="left" vertical="center" wrapText="1"/>
    </xf>
    <xf numFmtId="0" fontId="9" fillId="6" borderId="33" xfId="0" applyFont="1" applyFill="1" applyBorder="1" applyAlignment="1">
      <alignment horizontal="left" vertical="center" wrapText="1"/>
    </xf>
    <xf numFmtId="0" fontId="2" fillId="4" borderId="17" xfId="0" applyFont="1" applyFill="1" applyBorder="1" applyAlignment="1">
      <alignment horizontal="center" vertical="center"/>
    </xf>
    <xf numFmtId="0" fontId="2" fillId="4" borderId="38" xfId="0" applyFont="1" applyFill="1" applyBorder="1" applyAlignment="1">
      <alignment horizontal="center" vertical="center"/>
    </xf>
    <xf numFmtId="0" fontId="2" fillId="4" borderId="51" xfId="0" applyFont="1" applyFill="1" applyBorder="1" applyAlignment="1">
      <alignment horizontal="center" vertical="center"/>
    </xf>
    <xf numFmtId="0" fontId="2" fillId="4" borderId="52" xfId="0" applyFont="1" applyFill="1" applyBorder="1" applyAlignment="1">
      <alignment horizontal="center" vertical="center"/>
    </xf>
    <xf numFmtId="0" fontId="8" fillId="6" borderId="27" xfId="0" applyFont="1" applyFill="1" applyBorder="1" applyAlignment="1">
      <alignment horizontal="left" vertical="center"/>
    </xf>
    <xf numFmtId="0" fontId="6" fillId="6" borderId="7" xfId="0" applyFont="1" applyFill="1" applyBorder="1" applyAlignment="1">
      <alignment horizontal="left" vertical="center"/>
    </xf>
    <xf numFmtId="0" fontId="8" fillId="6" borderId="44" xfId="0" applyFont="1" applyFill="1" applyBorder="1" applyAlignment="1">
      <alignment horizontal="left" vertical="center"/>
    </xf>
    <xf numFmtId="0" fontId="8" fillId="6" borderId="45" xfId="0" applyFont="1" applyFill="1" applyBorder="1" applyAlignment="1">
      <alignment horizontal="left" vertical="center"/>
    </xf>
    <xf numFmtId="0" fontId="8" fillId="6" borderId="36" xfId="0" applyFont="1" applyFill="1" applyBorder="1" applyAlignment="1">
      <alignment horizontal="left" vertical="center"/>
    </xf>
    <xf numFmtId="0" fontId="6" fillId="6" borderId="42" xfId="0" applyFont="1" applyFill="1" applyBorder="1" applyAlignment="1">
      <alignment horizontal="left" vertical="center"/>
    </xf>
    <xf numFmtId="0" fontId="6" fillId="6" borderId="43" xfId="0" applyFont="1" applyFill="1" applyBorder="1" applyAlignment="1">
      <alignment horizontal="left" vertical="center"/>
    </xf>
    <xf numFmtId="0" fontId="6" fillId="6" borderId="34" xfId="0" applyFont="1" applyFill="1" applyBorder="1" applyAlignment="1">
      <alignment horizontal="left" vertical="center"/>
    </xf>
    <xf numFmtId="0" fontId="2" fillId="0" borderId="9" xfId="0" applyFont="1" applyFill="1" applyBorder="1" applyAlignment="1" applyProtection="1">
      <alignment horizontal="center" vertical="center" wrapText="1"/>
    </xf>
    <xf numFmtId="0" fontId="2" fillId="0" borderId="10" xfId="0" applyFont="1" applyFill="1" applyBorder="1" applyAlignment="1" applyProtection="1">
      <alignment horizontal="center" vertical="center" wrapText="1"/>
    </xf>
    <xf numFmtId="0" fontId="2" fillId="0" borderId="30" xfId="0" applyFont="1" applyFill="1" applyBorder="1" applyAlignment="1" applyProtection="1">
      <alignment horizontal="center" vertical="center" wrapText="1"/>
    </xf>
    <xf numFmtId="0" fontId="2" fillId="0" borderId="8" xfId="0" applyFont="1" applyFill="1" applyBorder="1" applyAlignment="1" applyProtection="1">
      <alignment horizontal="center" vertical="center" wrapText="1"/>
    </xf>
    <xf numFmtId="0" fontId="2" fillId="0" borderId="12" xfId="0" applyFont="1" applyFill="1" applyBorder="1" applyAlignment="1" applyProtection="1">
      <alignment horizontal="center" vertical="center" wrapText="1"/>
    </xf>
    <xf numFmtId="0" fontId="2" fillId="0" borderId="29" xfId="0" applyFont="1" applyFill="1" applyBorder="1" applyAlignment="1" applyProtection="1">
      <alignment horizontal="center" vertical="center" wrapText="1"/>
    </xf>
    <xf numFmtId="0" fontId="2" fillId="0" borderId="18" xfId="0" applyFont="1" applyFill="1" applyBorder="1" applyAlignment="1" applyProtection="1">
      <alignment horizontal="center" vertical="center" wrapText="1"/>
    </xf>
    <xf numFmtId="0" fontId="2" fillId="0" borderId="19" xfId="0" applyFont="1" applyFill="1" applyBorder="1" applyAlignment="1" applyProtection="1">
      <alignment horizontal="center" vertical="center" wrapText="1"/>
    </xf>
    <xf numFmtId="0" fontId="2" fillId="0" borderId="20" xfId="0" applyFont="1" applyFill="1" applyBorder="1" applyAlignment="1" applyProtection="1">
      <alignment horizontal="center" vertical="center" wrapText="1"/>
    </xf>
    <xf numFmtId="0" fontId="2" fillId="0" borderId="21" xfId="0" applyFont="1" applyFill="1" applyBorder="1" applyAlignment="1" applyProtection="1">
      <alignment horizontal="center" vertical="center" wrapText="1"/>
    </xf>
    <xf numFmtId="0" fontId="2" fillId="0" borderId="27" xfId="0" applyFont="1" applyFill="1" applyBorder="1" applyAlignment="1" applyProtection="1">
      <alignment horizontal="center" vertical="center" wrapText="1"/>
    </xf>
    <xf numFmtId="0" fontId="2" fillId="0" borderId="17" xfId="0" applyFont="1" applyFill="1" applyBorder="1" applyAlignment="1" applyProtection="1">
      <alignment horizontal="center" vertical="center" wrapText="1"/>
    </xf>
    <xf numFmtId="0" fontId="2" fillId="0" borderId="3" xfId="0" applyFont="1" applyFill="1" applyBorder="1" applyAlignment="1" applyProtection="1">
      <alignment horizontal="center" vertical="center" wrapText="1"/>
    </xf>
  </cellXfs>
  <cellStyles count="3">
    <cellStyle name="常规" xfId="0" builtinId="0"/>
    <cellStyle name="超链接" xfId="2" builtinId="8"/>
    <cellStyle name="适中"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M30"/>
  <sheetViews>
    <sheetView workbookViewId="0">
      <selection activeCell="G26" sqref="G26:H26"/>
    </sheetView>
  </sheetViews>
  <sheetFormatPr defaultColWidth="9" defaultRowHeight="13.5"/>
  <cols>
    <col min="1" max="16384" width="9" style="1"/>
  </cols>
  <sheetData>
    <row r="1" spans="1:13">
      <c r="A1" s="212"/>
    </row>
    <row r="12" spans="1:13" ht="13.5" customHeight="1">
      <c r="B12" s="228" t="s">
        <v>0</v>
      </c>
      <c r="C12" s="228"/>
      <c r="D12" s="228"/>
      <c r="E12" s="228"/>
      <c r="F12" s="228"/>
      <c r="G12" s="228"/>
      <c r="H12" s="228"/>
      <c r="I12" s="228"/>
      <c r="J12" s="228"/>
      <c r="K12" s="228"/>
      <c r="L12" s="228"/>
      <c r="M12" s="228"/>
    </row>
    <row r="13" spans="1:13" ht="13.5" customHeight="1">
      <c r="B13" s="228"/>
      <c r="C13" s="228"/>
      <c r="D13" s="228"/>
      <c r="E13" s="228"/>
      <c r="F13" s="228"/>
      <c r="G13" s="228"/>
      <c r="H13" s="228"/>
      <c r="I13" s="228"/>
      <c r="J13" s="228"/>
      <c r="K13" s="228"/>
      <c r="L13" s="228"/>
      <c r="M13" s="228"/>
    </row>
    <row r="14" spans="1:13" ht="13.5" customHeight="1">
      <c r="B14" s="228"/>
      <c r="C14" s="228"/>
      <c r="D14" s="228"/>
      <c r="E14" s="228"/>
      <c r="F14" s="228"/>
      <c r="G14" s="228"/>
      <c r="H14" s="228"/>
      <c r="I14" s="228"/>
      <c r="J14" s="228"/>
      <c r="K14" s="228"/>
      <c r="L14" s="228"/>
      <c r="M14" s="228"/>
    </row>
    <row r="15" spans="1:13" ht="13.5" customHeight="1">
      <c r="B15" s="228"/>
      <c r="C15" s="228"/>
      <c r="D15" s="228"/>
      <c r="E15" s="228"/>
      <c r="F15" s="228"/>
      <c r="G15" s="228"/>
      <c r="H15" s="228"/>
      <c r="I15" s="228"/>
      <c r="J15" s="228"/>
      <c r="K15" s="228"/>
      <c r="L15" s="228"/>
      <c r="M15" s="228"/>
    </row>
    <row r="16" spans="1:13" ht="13.5" customHeight="1">
      <c r="B16" s="228"/>
      <c r="C16" s="228"/>
      <c r="D16" s="228"/>
      <c r="E16" s="228"/>
      <c r="F16" s="228"/>
      <c r="G16" s="228"/>
      <c r="H16" s="228"/>
      <c r="I16" s="228"/>
      <c r="J16" s="228"/>
      <c r="K16" s="228"/>
      <c r="L16" s="228"/>
      <c r="M16" s="228"/>
    </row>
    <row r="17" spans="2:13">
      <c r="B17" s="228"/>
      <c r="C17" s="228"/>
      <c r="D17" s="228"/>
      <c r="E17" s="228"/>
      <c r="F17" s="228"/>
      <c r="G17" s="228"/>
      <c r="H17" s="228"/>
      <c r="I17" s="228"/>
      <c r="J17" s="228"/>
      <c r="K17" s="228"/>
      <c r="L17" s="228"/>
      <c r="M17" s="228"/>
    </row>
    <row r="26" spans="2:13" ht="13.5" customHeight="1">
      <c r="C26" s="213"/>
      <c r="D26" s="213"/>
      <c r="E26" s="213"/>
      <c r="F26" s="213"/>
      <c r="G26" s="226" t="s">
        <v>1</v>
      </c>
      <c r="H26" s="226"/>
      <c r="I26" s="213"/>
      <c r="J26" s="213"/>
      <c r="K26" s="213"/>
      <c r="L26" s="213"/>
      <c r="M26" s="213"/>
    </row>
    <row r="27" spans="2:13">
      <c r="B27" s="213"/>
      <c r="C27" s="213"/>
      <c r="D27" s="213"/>
      <c r="E27" s="213"/>
      <c r="F27" s="227"/>
      <c r="G27" s="227"/>
      <c r="H27" s="227"/>
      <c r="I27" s="227"/>
      <c r="J27" s="213"/>
      <c r="K27" s="213"/>
      <c r="L27" s="213"/>
      <c r="M27" s="213"/>
    </row>
    <row r="28" spans="2:13">
      <c r="D28" s="227"/>
      <c r="E28" s="227"/>
      <c r="F28" s="227"/>
      <c r="G28" s="227"/>
      <c r="H28" s="227"/>
      <c r="I28" s="227"/>
      <c r="J28" s="227"/>
      <c r="K28" s="227"/>
    </row>
    <row r="30" spans="2:13">
      <c r="F30" s="214"/>
    </row>
  </sheetData>
  <mergeCells count="4">
    <mergeCell ref="G26:H26"/>
    <mergeCell ref="F27:I27"/>
    <mergeCell ref="D28:K28"/>
    <mergeCell ref="B12:M17"/>
  </mergeCells>
  <phoneticPr fontId="19" type="noConversion"/>
  <pageMargins left="0.69930555555555596" right="0.69930555555555596" top="0.75" bottom="0.75" header="0.3" footer="0.3"/>
  <pageSetup paperSize="9" orientation="portrait" horizontalDpi="200" verticalDpi="300"/>
  <headerFooter alignWithMargins="0"/>
  <legacyDrawing r:id="rId1"/>
</worksheet>
</file>

<file path=xl/worksheets/sheet2.xml><?xml version="1.0" encoding="utf-8"?>
<worksheet xmlns="http://schemas.openxmlformats.org/spreadsheetml/2006/main" xmlns:r="http://schemas.openxmlformats.org/officeDocument/2006/relationships">
  <sheetPr codeName="Sheet3"/>
  <dimension ref="B1:L63"/>
  <sheetViews>
    <sheetView workbookViewId="0">
      <selection activeCell="L3" sqref="L3"/>
    </sheetView>
  </sheetViews>
  <sheetFormatPr defaultColWidth="9" defaultRowHeight="13.5"/>
  <cols>
    <col min="1" max="1" width="1" style="1" customWidth="1"/>
    <col min="2" max="2" width="9" style="1"/>
    <col min="3" max="3" width="9.375" style="196" customWidth="1"/>
    <col min="4" max="10" width="9" style="1"/>
    <col min="11" max="11" width="40.5" style="1" customWidth="1"/>
    <col min="12" max="16384" width="9" style="1"/>
  </cols>
  <sheetData>
    <row r="1" spans="2:12" ht="6.75" customHeight="1"/>
    <row r="2" spans="2:12" ht="14.25" customHeight="1">
      <c r="B2" s="197" t="s">
        <v>2</v>
      </c>
      <c r="C2" s="198" t="s">
        <v>3</v>
      </c>
      <c r="D2" s="257" t="s">
        <v>4</v>
      </c>
      <c r="E2" s="258"/>
      <c r="F2" s="258"/>
      <c r="G2" s="258"/>
      <c r="H2" s="258"/>
      <c r="I2" s="258"/>
      <c r="J2" s="258"/>
      <c r="K2" s="258"/>
      <c r="L2" s="207" t="s">
        <v>5</v>
      </c>
    </row>
    <row r="3" spans="2:12" ht="14.25" customHeight="1">
      <c r="B3" s="199" t="s">
        <v>3952</v>
      </c>
      <c r="C3" s="200">
        <v>20140806</v>
      </c>
      <c r="D3" s="259" t="s">
        <v>3953</v>
      </c>
      <c r="E3" s="259"/>
      <c r="F3" s="259"/>
      <c r="G3" s="259"/>
      <c r="H3" s="259"/>
      <c r="I3" s="259"/>
      <c r="J3" s="259"/>
      <c r="K3" s="259"/>
      <c r="L3" s="208" t="s">
        <v>3954</v>
      </c>
    </row>
    <row r="4" spans="2:12" ht="14.25" customHeight="1">
      <c r="B4" s="199" t="s">
        <v>6</v>
      </c>
      <c r="C4" s="200">
        <v>20140731</v>
      </c>
      <c r="D4" s="259" t="s">
        <v>7</v>
      </c>
      <c r="E4" s="259"/>
      <c r="F4" s="259"/>
      <c r="G4" s="259"/>
      <c r="H4" s="259"/>
      <c r="I4" s="259"/>
      <c r="J4" s="259"/>
      <c r="K4" s="259"/>
      <c r="L4" s="208" t="s">
        <v>8</v>
      </c>
    </row>
    <row r="5" spans="2:12" ht="14.25" customHeight="1">
      <c r="B5" s="201" t="s">
        <v>9</v>
      </c>
      <c r="C5" s="200">
        <v>20140729</v>
      </c>
      <c r="D5" s="251" t="s">
        <v>10</v>
      </c>
      <c r="E5" s="252"/>
      <c r="F5" s="252"/>
      <c r="G5" s="252"/>
      <c r="H5" s="252"/>
      <c r="I5" s="252"/>
      <c r="J5" s="252"/>
      <c r="K5" s="252"/>
      <c r="L5" s="208" t="s">
        <v>11</v>
      </c>
    </row>
    <row r="6" spans="2:12" ht="14.25" customHeight="1">
      <c r="B6" s="201" t="s">
        <v>12</v>
      </c>
      <c r="C6" s="200">
        <v>20140711</v>
      </c>
      <c r="D6" s="251" t="s">
        <v>13</v>
      </c>
      <c r="E6" s="252"/>
      <c r="F6" s="252"/>
      <c r="G6" s="252"/>
      <c r="H6" s="252"/>
      <c r="I6" s="252"/>
      <c r="J6" s="252"/>
      <c r="K6" s="252"/>
      <c r="L6" s="208" t="s">
        <v>14</v>
      </c>
    </row>
    <row r="7" spans="2:12" ht="14.25" customHeight="1">
      <c r="B7" s="199" t="s">
        <v>15</v>
      </c>
      <c r="C7" s="200">
        <v>20140710</v>
      </c>
      <c r="D7" s="254" t="s">
        <v>16</v>
      </c>
      <c r="E7" s="255"/>
      <c r="F7" s="255"/>
      <c r="G7" s="255"/>
      <c r="H7" s="255"/>
      <c r="I7" s="255"/>
      <c r="J7" s="255"/>
      <c r="K7" s="256"/>
      <c r="L7" s="208" t="s">
        <v>17</v>
      </c>
    </row>
    <row r="8" spans="2:12" ht="14.25" customHeight="1">
      <c r="B8" s="199" t="s">
        <v>18</v>
      </c>
      <c r="C8" s="200">
        <v>20140706</v>
      </c>
      <c r="D8" s="254" t="s">
        <v>19</v>
      </c>
      <c r="E8" s="255"/>
      <c r="F8" s="255"/>
      <c r="G8" s="255"/>
      <c r="H8" s="255"/>
      <c r="I8" s="255"/>
      <c r="J8" s="255"/>
      <c r="K8" s="256"/>
      <c r="L8" s="208" t="s">
        <v>20</v>
      </c>
    </row>
    <row r="9" spans="2:12" ht="14.25" customHeight="1">
      <c r="B9" s="201" t="s">
        <v>21</v>
      </c>
      <c r="C9" s="200">
        <v>20140704</v>
      </c>
      <c r="D9" s="251" t="s">
        <v>22</v>
      </c>
      <c r="E9" s="252"/>
      <c r="F9" s="252"/>
      <c r="G9" s="252"/>
      <c r="H9" s="252"/>
      <c r="I9" s="252"/>
      <c r="J9" s="252"/>
      <c r="K9" s="252"/>
      <c r="L9" s="208" t="s">
        <v>14</v>
      </c>
    </row>
    <row r="10" spans="2:12" ht="14.25" customHeight="1">
      <c r="B10" s="199" t="s">
        <v>23</v>
      </c>
      <c r="C10" s="200">
        <v>20140701</v>
      </c>
      <c r="D10" s="234" t="s">
        <v>24</v>
      </c>
      <c r="E10" s="235"/>
      <c r="F10" s="235"/>
      <c r="G10" s="235"/>
      <c r="H10" s="235"/>
      <c r="I10" s="235"/>
      <c r="J10" s="235"/>
      <c r="K10" s="253"/>
      <c r="L10" s="208" t="s">
        <v>20</v>
      </c>
    </row>
    <row r="11" spans="2:12" ht="14.25" customHeight="1">
      <c r="B11" s="199" t="s">
        <v>25</v>
      </c>
      <c r="C11" s="200">
        <v>20140623</v>
      </c>
      <c r="D11" s="234" t="s">
        <v>26</v>
      </c>
      <c r="E11" s="235"/>
      <c r="F11" s="235"/>
      <c r="G11" s="235"/>
      <c r="H11" s="235"/>
      <c r="I11" s="235"/>
      <c r="J11" s="235"/>
      <c r="K11" s="253"/>
      <c r="L11" s="208" t="s">
        <v>20</v>
      </c>
    </row>
    <row r="12" spans="2:12" ht="14.25" customHeight="1">
      <c r="B12" s="201" t="s">
        <v>27</v>
      </c>
      <c r="C12" s="200">
        <v>20140618</v>
      </c>
      <c r="D12" s="251" t="s">
        <v>28</v>
      </c>
      <c r="E12" s="252"/>
      <c r="F12" s="252"/>
      <c r="G12" s="252"/>
      <c r="H12" s="252"/>
      <c r="I12" s="252"/>
      <c r="J12" s="252"/>
      <c r="K12" s="252"/>
      <c r="L12" s="208" t="s">
        <v>14</v>
      </c>
    </row>
    <row r="13" spans="2:12" ht="14.25" customHeight="1">
      <c r="B13" s="201" t="s">
        <v>29</v>
      </c>
      <c r="C13" s="200">
        <v>20140617</v>
      </c>
      <c r="D13" s="251" t="s">
        <v>30</v>
      </c>
      <c r="E13" s="252"/>
      <c r="F13" s="252"/>
      <c r="G13" s="252"/>
      <c r="H13" s="252"/>
      <c r="I13" s="252"/>
      <c r="J13" s="252"/>
      <c r="K13" s="252"/>
      <c r="L13" s="208" t="s">
        <v>31</v>
      </c>
    </row>
    <row r="14" spans="2:12" ht="14.25" customHeight="1">
      <c r="B14" s="201" t="s">
        <v>32</v>
      </c>
      <c r="C14" s="200">
        <v>20140613</v>
      </c>
      <c r="D14" s="251" t="s">
        <v>33</v>
      </c>
      <c r="E14" s="252"/>
      <c r="F14" s="252"/>
      <c r="G14" s="252"/>
      <c r="H14" s="252"/>
      <c r="I14" s="252"/>
      <c r="J14" s="252"/>
      <c r="K14" s="252"/>
      <c r="L14" s="208" t="s">
        <v>14</v>
      </c>
    </row>
    <row r="15" spans="2:12" ht="14.25" customHeight="1">
      <c r="B15" s="201" t="s">
        <v>34</v>
      </c>
      <c r="C15" s="200">
        <v>20140605</v>
      </c>
      <c r="D15" s="251" t="s">
        <v>35</v>
      </c>
      <c r="E15" s="252"/>
      <c r="F15" s="252"/>
      <c r="G15" s="252"/>
      <c r="H15" s="252"/>
      <c r="I15" s="252"/>
      <c r="J15" s="252"/>
      <c r="K15" s="252"/>
      <c r="L15" s="208" t="s">
        <v>20</v>
      </c>
    </row>
    <row r="16" spans="2:12" ht="14.25" customHeight="1">
      <c r="B16" s="201" t="s">
        <v>36</v>
      </c>
      <c r="C16" s="200">
        <v>20140529</v>
      </c>
      <c r="D16" s="234" t="s">
        <v>37</v>
      </c>
      <c r="E16" s="235"/>
      <c r="F16" s="235"/>
      <c r="G16" s="235"/>
      <c r="H16" s="235"/>
      <c r="I16" s="235"/>
      <c r="J16" s="235"/>
      <c r="K16" s="253"/>
      <c r="L16" s="208" t="s">
        <v>38</v>
      </c>
    </row>
    <row r="17" spans="2:12" ht="14.25" customHeight="1">
      <c r="B17" s="201" t="s">
        <v>39</v>
      </c>
      <c r="C17" s="200">
        <v>20140517</v>
      </c>
      <c r="D17" s="251" t="s">
        <v>40</v>
      </c>
      <c r="E17" s="252"/>
      <c r="F17" s="252"/>
      <c r="G17" s="252"/>
      <c r="H17" s="252"/>
      <c r="I17" s="252"/>
      <c r="J17" s="252"/>
      <c r="K17" s="252"/>
      <c r="L17" s="208" t="s">
        <v>41</v>
      </c>
    </row>
    <row r="18" spans="2:12" ht="14.25" customHeight="1">
      <c r="B18" s="201" t="s">
        <v>42</v>
      </c>
      <c r="C18" s="200">
        <v>20140418</v>
      </c>
      <c r="D18" s="251" t="s">
        <v>43</v>
      </c>
      <c r="E18" s="252"/>
      <c r="F18" s="252"/>
      <c r="G18" s="252"/>
      <c r="H18" s="252"/>
      <c r="I18" s="252"/>
      <c r="J18" s="252"/>
      <c r="K18" s="252"/>
      <c r="L18" s="208" t="s">
        <v>14</v>
      </c>
    </row>
    <row r="19" spans="2:12" ht="14.25" customHeight="1">
      <c r="B19" s="201" t="s">
        <v>44</v>
      </c>
      <c r="C19" s="200">
        <v>20140402</v>
      </c>
      <c r="D19" s="251" t="s">
        <v>45</v>
      </c>
      <c r="E19" s="252"/>
      <c r="F19" s="252"/>
      <c r="G19" s="252"/>
      <c r="H19" s="252"/>
      <c r="I19" s="252"/>
      <c r="J19" s="252"/>
      <c r="K19" s="252"/>
      <c r="L19" s="208" t="s">
        <v>14</v>
      </c>
    </row>
    <row r="20" spans="2:12" ht="14.25" customHeight="1">
      <c r="B20" s="201" t="s">
        <v>46</v>
      </c>
      <c r="C20" s="200">
        <v>20140327</v>
      </c>
      <c r="D20" s="251" t="s">
        <v>47</v>
      </c>
      <c r="E20" s="252"/>
      <c r="F20" s="252"/>
      <c r="G20" s="252"/>
      <c r="H20" s="252"/>
      <c r="I20" s="252"/>
      <c r="J20" s="252"/>
      <c r="K20" s="252"/>
      <c r="L20" s="208" t="s">
        <v>14</v>
      </c>
    </row>
    <row r="21" spans="2:12" ht="14.25" customHeight="1">
      <c r="B21" s="201" t="s">
        <v>48</v>
      </c>
      <c r="C21" s="200">
        <v>20140324</v>
      </c>
      <c r="D21" s="251" t="s">
        <v>49</v>
      </c>
      <c r="E21" s="252"/>
      <c r="F21" s="252"/>
      <c r="G21" s="252"/>
      <c r="H21" s="252"/>
      <c r="I21" s="252"/>
      <c r="J21" s="252"/>
      <c r="K21" s="252"/>
      <c r="L21" s="208" t="s">
        <v>14</v>
      </c>
    </row>
    <row r="22" spans="2:12" ht="14.25" customHeight="1">
      <c r="B22" s="201" t="s">
        <v>50</v>
      </c>
      <c r="C22" s="200">
        <v>20140321</v>
      </c>
      <c r="D22" s="251" t="s">
        <v>51</v>
      </c>
      <c r="E22" s="252"/>
      <c r="F22" s="252"/>
      <c r="G22" s="252"/>
      <c r="H22" s="252"/>
      <c r="I22" s="252"/>
      <c r="J22" s="252"/>
      <c r="K22" s="252"/>
      <c r="L22" s="208" t="s">
        <v>14</v>
      </c>
    </row>
    <row r="23" spans="2:12" ht="14.25" customHeight="1">
      <c r="B23" s="201" t="s">
        <v>52</v>
      </c>
      <c r="C23" s="200">
        <v>20140320</v>
      </c>
      <c r="D23" s="251" t="s">
        <v>53</v>
      </c>
      <c r="E23" s="252"/>
      <c r="F23" s="252"/>
      <c r="G23" s="252"/>
      <c r="H23" s="252"/>
      <c r="I23" s="252"/>
      <c r="J23" s="252"/>
      <c r="K23" s="252"/>
      <c r="L23" s="208" t="s">
        <v>17</v>
      </c>
    </row>
    <row r="24" spans="2:12" ht="14.25" customHeight="1">
      <c r="B24" s="201" t="s">
        <v>54</v>
      </c>
      <c r="C24" s="202">
        <v>20140320</v>
      </c>
      <c r="D24" s="236" t="s">
        <v>55</v>
      </c>
      <c r="E24" s="237"/>
      <c r="F24" s="237"/>
      <c r="G24" s="237"/>
      <c r="H24" s="237"/>
      <c r="I24" s="237"/>
      <c r="J24" s="237"/>
      <c r="K24" s="238"/>
      <c r="L24" s="209" t="s">
        <v>56</v>
      </c>
    </row>
    <row r="25" spans="2:12" ht="14.25" customHeight="1">
      <c r="B25" s="201" t="s">
        <v>57</v>
      </c>
      <c r="C25" s="202">
        <v>20140314</v>
      </c>
      <c r="D25" s="236" t="s">
        <v>58</v>
      </c>
      <c r="E25" s="237"/>
      <c r="F25" s="237"/>
      <c r="G25" s="237"/>
      <c r="H25" s="237"/>
      <c r="I25" s="237"/>
      <c r="J25" s="237"/>
      <c r="K25" s="238"/>
      <c r="L25" s="209" t="s">
        <v>20</v>
      </c>
    </row>
    <row r="26" spans="2:12" ht="14.25" customHeight="1">
      <c r="B26" s="199" t="s">
        <v>59</v>
      </c>
      <c r="C26" s="200">
        <v>20140313</v>
      </c>
      <c r="D26" s="251" t="s">
        <v>60</v>
      </c>
      <c r="E26" s="252"/>
      <c r="F26" s="252"/>
      <c r="G26" s="252"/>
      <c r="H26" s="252"/>
      <c r="I26" s="252"/>
      <c r="J26" s="252"/>
      <c r="K26" s="252"/>
      <c r="L26" s="208" t="s">
        <v>17</v>
      </c>
    </row>
    <row r="27" spans="2:12" ht="14.25" customHeight="1">
      <c r="B27" s="201" t="s">
        <v>61</v>
      </c>
      <c r="C27" s="202">
        <v>20140307</v>
      </c>
      <c r="D27" s="236" t="s">
        <v>62</v>
      </c>
      <c r="E27" s="237"/>
      <c r="F27" s="237"/>
      <c r="G27" s="237"/>
      <c r="H27" s="237"/>
      <c r="I27" s="237"/>
      <c r="J27" s="237"/>
      <c r="K27" s="238"/>
      <c r="L27" s="209" t="s">
        <v>20</v>
      </c>
    </row>
    <row r="28" spans="2:12" ht="14.25" customHeight="1">
      <c r="B28" s="201" t="s">
        <v>63</v>
      </c>
      <c r="C28" s="202">
        <v>20140305</v>
      </c>
      <c r="D28" s="236" t="s">
        <v>64</v>
      </c>
      <c r="E28" s="237"/>
      <c r="F28" s="237"/>
      <c r="G28" s="237"/>
      <c r="H28" s="237"/>
      <c r="I28" s="237"/>
      <c r="J28" s="237"/>
      <c r="K28" s="238"/>
      <c r="L28" s="209" t="s">
        <v>20</v>
      </c>
    </row>
    <row r="29" spans="2:12" ht="14.25" customHeight="1">
      <c r="B29" s="201" t="s">
        <v>65</v>
      </c>
      <c r="C29" s="202">
        <v>20140228</v>
      </c>
      <c r="D29" s="246" t="s">
        <v>66</v>
      </c>
      <c r="E29" s="246"/>
      <c r="F29" s="246"/>
      <c r="G29" s="246"/>
      <c r="H29" s="246"/>
      <c r="I29" s="246"/>
      <c r="J29" s="246"/>
      <c r="K29" s="246"/>
      <c r="L29" s="209" t="s">
        <v>20</v>
      </c>
    </row>
    <row r="30" spans="2:12" ht="14.25" customHeight="1">
      <c r="B30" s="201" t="s">
        <v>67</v>
      </c>
      <c r="C30" s="202">
        <v>20140227</v>
      </c>
      <c r="D30" s="246" t="s">
        <v>68</v>
      </c>
      <c r="E30" s="247"/>
      <c r="F30" s="247"/>
      <c r="G30" s="247"/>
      <c r="H30" s="247"/>
      <c r="I30" s="247"/>
      <c r="J30" s="247"/>
      <c r="K30" s="247"/>
      <c r="L30" s="209" t="s">
        <v>17</v>
      </c>
    </row>
    <row r="31" spans="2:12" ht="14.25" customHeight="1">
      <c r="B31" s="201" t="s">
        <v>69</v>
      </c>
      <c r="C31" s="202">
        <v>20140217</v>
      </c>
      <c r="D31" s="248" t="s">
        <v>70</v>
      </c>
      <c r="E31" s="249"/>
      <c r="F31" s="249"/>
      <c r="G31" s="249"/>
      <c r="H31" s="249"/>
      <c r="I31" s="249"/>
      <c r="J31" s="249"/>
      <c r="K31" s="250"/>
      <c r="L31" s="209" t="s">
        <v>14</v>
      </c>
    </row>
    <row r="32" spans="2:12" ht="14.25" customHeight="1">
      <c r="B32" s="201" t="s">
        <v>71</v>
      </c>
      <c r="C32" s="202">
        <v>20140127</v>
      </c>
      <c r="D32" s="248" t="s">
        <v>72</v>
      </c>
      <c r="E32" s="249"/>
      <c r="F32" s="249"/>
      <c r="G32" s="249"/>
      <c r="H32" s="249"/>
      <c r="I32" s="249"/>
      <c r="J32" s="249"/>
      <c r="K32" s="250"/>
      <c r="L32" s="209" t="s">
        <v>73</v>
      </c>
    </row>
    <row r="33" spans="2:12" ht="14.25" customHeight="1">
      <c r="B33" s="201" t="s">
        <v>74</v>
      </c>
      <c r="C33" s="202">
        <v>20140122</v>
      </c>
      <c r="D33" s="236" t="s">
        <v>75</v>
      </c>
      <c r="E33" s="237"/>
      <c r="F33" s="237"/>
      <c r="G33" s="237"/>
      <c r="H33" s="237"/>
      <c r="I33" s="237"/>
      <c r="J33" s="237"/>
      <c r="K33" s="238"/>
      <c r="L33" s="209" t="s">
        <v>17</v>
      </c>
    </row>
    <row r="34" spans="2:12" ht="14.25" customHeight="1">
      <c r="B34" s="201" t="s">
        <v>76</v>
      </c>
      <c r="C34" s="202">
        <v>20140106</v>
      </c>
      <c r="D34" s="236" t="s">
        <v>77</v>
      </c>
      <c r="E34" s="237"/>
      <c r="F34" s="237"/>
      <c r="G34" s="237"/>
      <c r="H34" s="237"/>
      <c r="I34" s="237"/>
      <c r="J34" s="237"/>
      <c r="K34" s="238"/>
      <c r="L34" s="209" t="s">
        <v>14</v>
      </c>
    </row>
    <row r="35" spans="2:12" ht="14.25" customHeight="1">
      <c r="B35" s="201" t="s">
        <v>78</v>
      </c>
      <c r="C35" s="202">
        <v>20131217</v>
      </c>
      <c r="D35" s="236" t="s">
        <v>79</v>
      </c>
      <c r="E35" s="237"/>
      <c r="F35" s="237"/>
      <c r="G35" s="237"/>
      <c r="H35" s="237"/>
      <c r="I35" s="237"/>
      <c r="J35" s="237"/>
      <c r="K35" s="238"/>
      <c r="L35" s="209" t="s">
        <v>80</v>
      </c>
    </row>
    <row r="36" spans="2:12" ht="14.25" customHeight="1">
      <c r="B36" s="201" t="s">
        <v>81</v>
      </c>
      <c r="C36" s="202">
        <v>20131119</v>
      </c>
      <c r="D36" s="246" t="s">
        <v>82</v>
      </c>
      <c r="E36" s="247"/>
      <c r="F36" s="247"/>
      <c r="G36" s="247"/>
      <c r="H36" s="247"/>
      <c r="I36" s="247"/>
      <c r="J36" s="247"/>
      <c r="K36" s="247"/>
      <c r="L36" s="209"/>
    </row>
    <row r="37" spans="2:12" ht="14.25" customHeight="1">
      <c r="B37" s="201" t="s">
        <v>83</v>
      </c>
      <c r="C37" s="202">
        <v>20131031</v>
      </c>
      <c r="D37" s="241" t="s">
        <v>84</v>
      </c>
      <c r="E37" s="242"/>
      <c r="F37" s="242"/>
      <c r="G37" s="242"/>
      <c r="H37" s="242"/>
      <c r="I37" s="242"/>
      <c r="J37" s="242"/>
      <c r="K37" s="243"/>
      <c r="L37" s="209" t="s">
        <v>14</v>
      </c>
    </row>
    <row r="38" spans="2:12">
      <c r="B38" s="201" t="s">
        <v>85</v>
      </c>
      <c r="C38" s="202">
        <v>20130911</v>
      </c>
      <c r="D38" s="241" t="s">
        <v>86</v>
      </c>
      <c r="E38" s="242"/>
      <c r="F38" s="242"/>
      <c r="G38" s="242"/>
      <c r="H38" s="242"/>
      <c r="I38" s="242"/>
      <c r="J38" s="242"/>
      <c r="K38" s="243"/>
      <c r="L38" s="209" t="s">
        <v>14</v>
      </c>
    </row>
    <row r="39" spans="2:12">
      <c r="B39" s="201" t="s">
        <v>87</v>
      </c>
      <c r="C39" s="202">
        <v>20130827</v>
      </c>
      <c r="D39" s="241" t="s">
        <v>88</v>
      </c>
      <c r="E39" s="242"/>
      <c r="F39" s="242"/>
      <c r="G39" s="242"/>
      <c r="H39" s="242"/>
      <c r="I39" s="242"/>
      <c r="J39" s="242"/>
      <c r="K39" s="243"/>
      <c r="L39" s="209" t="s">
        <v>17</v>
      </c>
    </row>
    <row r="40" spans="2:12">
      <c r="B40" s="201" t="s">
        <v>89</v>
      </c>
      <c r="C40" s="202">
        <v>20130813</v>
      </c>
      <c r="D40" s="241" t="s">
        <v>90</v>
      </c>
      <c r="E40" s="242"/>
      <c r="F40" s="242"/>
      <c r="G40" s="242"/>
      <c r="H40" s="242"/>
      <c r="I40" s="242"/>
      <c r="J40" s="242"/>
      <c r="K40" s="243"/>
      <c r="L40" s="209" t="s">
        <v>14</v>
      </c>
    </row>
    <row r="41" spans="2:12">
      <c r="B41" s="201" t="s">
        <v>91</v>
      </c>
      <c r="C41" s="202">
        <v>20130801</v>
      </c>
      <c r="D41" s="241" t="s">
        <v>92</v>
      </c>
      <c r="E41" s="242"/>
      <c r="F41" s="242"/>
      <c r="G41" s="242"/>
      <c r="H41" s="242"/>
      <c r="I41" s="242"/>
      <c r="J41" s="242"/>
      <c r="K41" s="243"/>
      <c r="L41" s="209" t="s">
        <v>93</v>
      </c>
    </row>
    <row r="42" spans="2:12">
      <c r="B42" s="201" t="s">
        <v>94</v>
      </c>
      <c r="C42" s="202">
        <v>20130730</v>
      </c>
      <c r="D42" s="241" t="s">
        <v>95</v>
      </c>
      <c r="E42" s="242"/>
      <c r="F42" s="242"/>
      <c r="G42" s="242"/>
      <c r="H42" s="242"/>
      <c r="I42" s="242"/>
      <c r="J42" s="242"/>
      <c r="K42" s="243"/>
      <c r="L42" s="209" t="s">
        <v>14</v>
      </c>
    </row>
    <row r="43" spans="2:12">
      <c r="B43" s="201" t="s">
        <v>96</v>
      </c>
      <c r="C43" s="202">
        <v>20130730</v>
      </c>
      <c r="D43" s="241" t="s">
        <v>97</v>
      </c>
      <c r="E43" s="242"/>
      <c r="F43" s="242"/>
      <c r="G43" s="242"/>
      <c r="H43" s="242"/>
      <c r="I43" s="242"/>
      <c r="J43" s="242"/>
      <c r="K43" s="243"/>
      <c r="L43" s="209"/>
    </row>
    <row r="44" spans="2:12" ht="12.75" customHeight="1">
      <c r="B44" s="201" t="s">
        <v>98</v>
      </c>
      <c r="C44" s="202">
        <v>20130527</v>
      </c>
      <c r="D44" s="241" t="s">
        <v>99</v>
      </c>
      <c r="E44" s="242"/>
      <c r="F44" s="242"/>
      <c r="G44" s="242"/>
      <c r="H44" s="242"/>
      <c r="I44" s="242"/>
      <c r="J44" s="242"/>
      <c r="K44" s="243"/>
      <c r="L44" s="209" t="s">
        <v>20</v>
      </c>
    </row>
    <row r="45" spans="2:12">
      <c r="B45" s="201" t="s">
        <v>100</v>
      </c>
      <c r="C45" s="202">
        <v>20130508</v>
      </c>
      <c r="D45" s="241" t="s">
        <v>101</v>
      </c>
      <c r="E45" s="242"/>
      <c r="F45" s="242"/>
      <c r="G45" s="242"/>
      <c r="H45" s="242"/>
      <c r="I45" s="242"/>
      <c r="J45" s="242"/>
      <c r="K45" s="243"/>
      <c r="L45" s="209" t="s">
        <v>102</v>
      </c>
    </row>
    <row r="46" spans="2:12">
      <c r="B46" s="201" t="s">
        <v>103</v>
      </c>
      <c r="C46" s="202">
        <v>20130422</v>
      </c>
      <c r="D46" s="241" t="s">
        <v>104</v>
      </c>
      <c r="E46" s="242"/>
      <c r="F46" s="242"/>
      <c r="G46" s="242"/>
      <c r="H46" s="242"/>
      <c r="I46" s="242"/>
      <c r="J46" s="242"/>
      <c r="K46" s="243"/>
      <c r="L46" s="209" t="s">
        <v>102</v>
      </c>
    </row>
    <row r="47" spans="2:12">
      <c r="B47" s="201" t="s">
        <v>105</v>
      </c>
      <c r="C47" s="202">
        <v>20130114</v>
      </c>
      <c r="D47" s="241" t="s">
        <v>106</v>
      </c>
      <c r="E47" s="244"/>
      <c r="F47" s="244"/>
      <c r="G47" s="244"/>
      <c r="H47" s="244"/>
      <c r="I47" s="244"/>
      <c r="J47" s="244"/>
      <c r="K47" s="245"/>
      <c r="L47" s="209" t="s">
        <v>107</v>
      </c>
    </row>
    <row r="48" spans="2:12" ht="15.75" customHeight="1">
      <c r="B48" s="201" t="s">
        <v>108</v>
      </c>
      <c r="C48" s="202">
        <v>20121220</v>
      </c>
      <c r="D48" s="236" t="s">
        <v>109</v>
      </c>
      <c r="E48" s="239"/>
      <c r="F48" s="239"/>
      <c r="G48" s="239"/>
      <c r="H48" s="239"/>
      <c r="I48" s="239"/>
      <c r="J48" s="239"/>
      <c r="K48" s="240"/>
      <c r="L48" s="209" t="s">
        <v>110</v>
      </c>
    </row>
    <row r="49" spans="2:12" ht="15.75" customHeight="1">
      <c r="B49" s="201" t="s">
        <v>111</v>
      </c>
      <c r="C49" s="202">
        <v>20121204</v>
      </c>
      <c r="D49" s="236" t="s">
        <v>112</v>
      </c>
      <c r="E49" s="239"/>
      <c r="F49" s="239"/>
      <c r="G49" s="239"/>
      <c r="H49" s="239"/>
      <c r="I49" s="239"/>
      <c r="J49" s="239"/>
      <c r="K49" s="240"/>
      <c r="L49" s="209" t="s">
        <v>110</v>
      </c>
    </row>
    <row r="50" spans="2:12">
      <c r="B50" s="201" t="s">
        <v>113</v>
      </c>
      <c r="C50" s="202">
        <v>20121129</v>
      </c>
      <c r="D50" s="236" t="s">
        <v>114</v>
      </c>
      <c r="E50" s="239"/>
      <c r="F50" s="239"/>
      <c r="G50" s="239"/>
      <c r="H50" s="239"/>
      <c r="I50" s="239"/>
      <c r="J50" s="239"/>
      <c r="K50" s="240"/>
      <c r="L50" s="209" t="s">
        <v>110</v>
      </c>
    </row>
    <row r="51" spans="2:12">
      <c r="B51" s="201" t="s">
        <v>115</v>
      </c>
      <c r="C51" s="202">
        <v>20121129</v>
      </c>
      <c r="D51" s="236" t="s">
        <v>116</v>
      </c>
      <c r="E51" s="237"/>
      <c r="F51" s="237"/>
      <c r="G51" s="237"/>
      <c r="H51" s="237"/>
      <c r="I51" s="237"/>
      <c r="J51" s="237"/>
      <c r="K51" s="238"/>
      <c r="L51" s="209"/>
    </row>
    <row r="52" spans="2:12">
      <c r="B52" s="201" t="s">
        <v>117</v>
      </c>
      <c r="C52" s="202">
        <v>20111116</v>
      </c>
      <c r="D52" s="236" t="s">
        <v>118</v>
      </c>
      <c r="E52" s="237"/>
      <c r="F52" s="237"/>
      <c r="G52" s="237"/>
      <c r="H52" s="237"/>
      <c r="I52" s="237"/>
      <c r="J52" s="237"/>
      <c r="K52" s="238"/>
      <c r="L52" s="209" t="s">
        <v>20</v>
      </c>
    </row>
    <row r="53" spans="2:12">
      <c r="B53" s="201" t="s">
        <v>119</v>
      </c>
      <c r="C53" s="202">
        <v>20121106</v>
      </c>
      <c r="D53" s="236" t="s">
        <v>120</v>
      </c>
      <c r="E53" s="237"/>
      <c r="F53" s="237"/>
      <c r="G53" s="237"/>
      <c r="H53" s="237"/>
      <c r="I53" s="237"/>
      <c r="J53" s="237"/>
      <c r="K53" s="238"/>
      <c r="L53" s="209" t="s">
        <v>121</v>
      </c>
    </row>
    <row r="54" spans="2:12">
      <c r="B54" s="201" t="s">
        <v>122</v>
      </c>
      <c r="C54" s="202">
        <v>20121101</v>
      </c>
      <c r="D54" s="236" t="s">
        <v>123</v>
      </c>
      <c r="E54" s="237"/>
      <c r="F54" s="237"/>
      <c r="G54" s="237"/>
      <c r="H54" s="237"/>
      <c r="I54" s="237"/>
      <c r="J54" s="237"/>
      <c r="K54" s="238"/>
      <c r="L54" s="209" t="s">
        <v>107</v>
      </c>
    </row>
    <row r="55" spans="2:12">
      <c r="B55" s="201" t="s">
        <v>124</v>
      </c>
      <c r="C55" s="202">
        <v>20121012</v>
      </c>
      <c r="D55" s="236" t="s">
        <v>125</v>
      </c>
      <c r="E55" s="237"/>
      <c r="F55" s="237"/>
      <c r="G55" s="237"/>
      <c r="H55" s="237"/>
      <c r="I55" s="237"/>
      <c r="J55" s="237"/>
      <c r="K55" s="238"/>
      <c r="L55" s="209" t="s">
        <v>107</v>
      </c>
    </row>
    <row r="56" spans="2:12">
      <c r="B56" s="203" t="s">
        <v>126</v>
      </c>
      <c r="C56" s="204">
        <v>20120919</v>
      </c>
      <c r="D56" s="231" t="s">
        <v>127</v>
      </c>
      <c r="E56" s="232"/>
      <c r="F56" s="232"/>
      <c r="G56" s="232"/>
      <c r="H56" s="232"/>
      <c r="I56" s="232"/>
      <c r="J56" s="232"/>
      <c r="K56" s="233"/>
      <c r="L56" s="210" t="s">
        <v>41</v>
      </c>
    </row>
    <row r="57" spans="2:12" ht="13.5" customHeight="1">
      <c r="B57" s="203" t="s">
        <v>128</v>
      </c>
      <c r="C57" s="204">
        <v>20120911</v>
      </c>
      <c r="D57" s="231" t="s">
        <v>129</v>
      </c>
      <c r="E57" s="232"/>
      <c r="F57" s="232"/>
      <c r="G57" s="232"/>
      <c r="H57" s="232"/>
      <c r="I57" s="232"/>
      <c r="J57" s="232"/>
      <c r="K57" s="233"/>
      <c r="L57" s="210" t="s">
        <v>130</v>
      </c>
    </row>
    <row r="58" spans="2:12" ht="13.5" customHeight="1">
      <c r="B58" s="203" t="s">
        <v>131</v>
      </c>
      <c r="C58" s="204">
        <v>20120720</v>
      </c>
      <c r="D58" s="231" t="s">
        <v>132</v>
      </c>
      <c r="E58" s="232"/>
      <c r="F58" s="232"/>
      <c r="G58" s="232"/>
      <c r="H58" s="232"/>
      <c r="I58" s="232"/>
      <c r="J58" s="232"/>
      <c r="K58" s="233"/>
      <c r="L58" s="210" t="s">
        <v>133</v>
      </c>
    </row>
    <row r="59" spans="2:12" ht="13.5" customHeight="1">
      <c r="B59" s="203" t="s">
        <v>134</v>
      </c>
      <c r="C59" s="204">
        <v>20120626</v>
      </c>
      <c r="D59" s="231" t="s">
        <v>135</v>
      </c>
      <c r="E59" s="232"/>
      <c r="F59" s="232"/>
      <c r="G59" s="232"/>
      <c r="H59" s="232"/>
      <c r="I59" s="232"/>
      <c r="J59" s="232"/>
      <c r="K59" s="233"/>
      <c r="L59" s="210" t="s">
        <v>136</v>
      </c>
    </row>
    <row r="60" spans="2:12">
      <c r="B60" s="203" t="s">
        <v>137</v>
      </c>
      <c r="C60" s="204">
        <v>20120525</v>
      </c>
      <c r="D60" s="234" t="s">
        <v>138</v>
      </c>
      <c r="E60" s="235"/>
      <c r="F60" s="235"/>
      <c r="G60" s="235"/>
      <c r="H60" s="235"/>
      <c r="I60" s="235"/>
      <c r="J60" s="235"/>
      <c r="K60" s="235"/>
      <c r="L60" s="210" t="s">
        <v>130</v>
      </c>
    </row>
    <row r="61" spans="2:12">
      <c r="B61" s="203" t="s">
        <v>139</v>
      </c>
      <c r="C61" s="204">
        <v>20120517</v>
      </c>
      <c r="D61" s="234" t="s">
        <v>140</v>
      </c>
      <c r="E61" s="235"/>
      <c r="F61" s="235"/>
      <c r="G61" s="235"/>
      <c r="H61" s="235"/>
      <c r="I61" s="235"/>
      <c r="J61" s="235"/>
      <c r="K61" s="235"/>
      <c r="L61" s="210" t="s">
        <v>121</v>
      </c>
    </row>
    <row r="62" spans="2:12" ht="16.5" customHeight="1">
      <c r="B62" s="203" t="s">
        <v>141</v>
      </c>
      <c r="C62" s="204">
        <v>20120425</v>
      </c>
      <c r="D62" s="234" t="s">
        <v>142</v>
      </c>
      <c r="E62" s="235"/>
      <c r="F62" s="235"/>
      <c r="G62" s="235"/>
      <c r="H62" s="235"/>
      <c r="I62" s="235"/>
      <c r="J62" s="235"/>
      <c r="K62" s="235"/>
      <c r="L62" s="210" t="s">
        <v>136</v>
      </c>
    </row>
    <row r="63" spans="2:12">
      <c r="B63" s="205" t="s">
        <v>143</v>
      </c>
      <c r="C63" s="206">
        <v>20120411</v>
      </c>
      <c r="D63" s="229" t="s">
        <v>144</v>
      </c>
      <c r="E63" s="230"/>
      <c r="F63" s="230"/>
      <c r="G63" s="230"/>
      <c r="H63" s="230"/>
      <c r="I63" s="230"/>
      <c r="J63" s="230"/>
      <c r="K63" s="230"/>
      <c r="L63" s="211" t="s">
        <v>145</v>
      </c>
    </row>
  </sheetData>
  <mergeCells count="62">
    <mergeCell ref="D2:K2"/>
    <mergeCell ref="D4:K4"/>
    <mergeCell ref="D5:K5"/>
    <mergeCell ref="D6:K6"/>
    <mergeCell ref="D7:K7"/>
    <mergeCell ref="D3:K3"/>
    <mergeCell ref="D8:K8"/>
    <mergeCell ref="D9:K9"/>
    <mergeCell ref="D10:K10"/>
    <mergeCell ref="D11:K11"/>
    <mergeCell ref="D12:K12"/>
    <mergeCell ref="D13:K13"/>
    <mergeCell ref="D14:K14"/>
    <mergeCell ref="D15:K15"/>
    <mergeCell ref="D16:K16"/>
    <mergeCell ref="D17:K17"/>
    <mergeCell ref="D18:K18"/>
    <mergeCell ref="D19:K19"/>
    <mergeCell ref="D20:K20"/>
    <mergeCell ref="D21:K21"/>
    <mergeCell ref="D22:K22"/>
    <mergeCell ref="D23:K23"/>
    <mergeCell ref="D24:K24"/>
    <mergeCell ref="D25:K25"/>
    <mergeCell ref="D26:K26"/>
    <mergeCell ref="D27:K27"/>
    <mergeCell ref="D28:K28"/>
    <mergeCell ref="D29:K29"/>
    <mergeCell ref="D30:K30"/>
    <mergeCell ref="D31:K31"/>
    <mergeCell ref="D32:K32"/>
    <mergeCell ref="D33:K33"/>
    <mergeCell ref="D34:K34"/>
    <mergeCell ref="D35:K35"/>
    <mergeCell ref="D36:K36"/>
    <mergeCell ref="D37:K37"/>
    <mergeCell ref="D38:K38"/>
    <mergeCell ref="D39:K39"/>
    <mergeCell ref="D40:K40"/>
    <mergeCell ref="D41:K41"/>
    <mergeCell ref="D42:K42"/>
    <mergeCell ref="D43:K43"/>
    <mergeCell ref="D44:K44"/>
    <mergeCell ref="D45:K45"/>
    <mergeCell ref="D46:K46"/>
    <mergeCell ref="D47:K47"/>
    <mergeCell ref="D48:K48"/>
    <mergeCell ref="D49:K49"/>
    <mergeCell ref="D50:K50"/>
    <mergeCell ref="D51:K51"/>
    <mergeCell ref="D52:K52"/>
    <mergeCell ref="D53:K53"/>
    <mergeCell ref="D54:K54"/>
    <mergeCell ref="D55:K55"/>
    <mergeCell ref="D56:K56"/>
    <mergeCell ref="D57:K57"/>
    <mergeCell ref="D63:K63"/>
    <mergeCell ref="D58:K58"/>
    <mergeCell ref="D59:K59"/>
    <mergeCell ref="D60:K60"/>
    <mergeCell ref="D61:K61"/>
    <mergeCell ref="D62:K62"/>
  </mergeCells>
  <phoneticPr fontId="19"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sheetPr codeName="Sheet4"/>
  <dimension ref="B1:E170"/>
  <sheetViews>
    <sheetView workbookViewId="0">
      <pane ySplit="2" topLeftCell="A67" activePane="bottomLeft" state="frozen"/>
      <selection pane="bottomLeft" activeCell="C87" sqref="C87"/>
    </sheetView>
  </sheetViews>
  <sheetFormatPr defaultColWidth="9" defaultRowHeight="15.95" customHeight="1"/>
  <cols>
    <col min="1" max="1" width="2.625" style="2" customWidth="1"/>
    <col min="2" max="2" width="23.375" style="2" customWidth="1"/>
    <col min="3" max="3" width="16.5" style="176" customWidth="1"/>
    <col min="4" max="4" width="51.375" style="2" customWidth="1"/>
    <col min="5" max="5" width="14.75" style="176" customWidth="1"/>
    <col min="6" max="6" width="9" style="2"/>
    <col min="7" max="7" width="25.75" style="2" customWidth="1"/>
    <col min="8" max="16384" width="9" style="2"/>
  </cols>
  <sheetData>
    <row r="1" spans="2:5" ht="10.5" customHeight="1"/>
    <row r="2" spans="2:5" ht="15.95" customHeight="1">
      <c r="B2" s="177"/>
      <c r="C2" s="178" t="s">
        <v>146</v>
      </c>
      <c r="D2" s="178" t="s">
        <v>147</v>
      </c>
      <c r="E2" s="179" t="s">
        <v>148</v>
      </c>
    </row>
    <row r="3" spans="2:5" ht="15.95" customHeight="1">
      <c r="B3" s="261" t="s">
        <v>149</v>
      </c>
      <c r="C3" s="180">
        <v>101020</v>
      </c>
      <c r="D3" s="181" t="s">
        <v>150</v>
      </c>
      <c r="E3" s="182"/>
    </row>
    <row r="4" spans="2:5" ht="15.95" customHeight="1">
      <c r="B4" s="260"/>
      <c r="C4" s="180">
        <v>101004</v>
      </c>
      <c r="D4" s="181" t="s">
        <v>151</v>
      </c>
      <c r="E4" s="182" t="s">
        <v>152</v>
      </c>
    </row>
    <row r="5" spans="2:5" ht="15.95" customHeight="1">
      <c r="B5" s="260"/>
      <c r="C5" s="180">
        <v>102002</v>
      </c>
      <c r="D5" s="183" t="s">
        <v>153</v>
      </c>
      <c r="E5" s="184" t="s">
        <v>152</v>
      </c>
    </row>
    <row r="6" spans="2:5" ht="15.95" customHeight="1">
      <c r="B6" s="260"/>
      <c r="C6" s="180">
        <v>103010</v>
      </c>
      <c r="D6" s="183" t="s">
        <v>154</v>
      </c>
      <c r="E6" s="184" t="s">
        <v>152</v>
      </c>
    </row>
    <row r="7" spans="2:5" ht="15.95" customHeight="1">
      <c r="B7" s="260"/>
      <c r="C7" s="180">
        <v>104060</v>
      </c>
      <c r="D7" s="181" t="s">
        <v>155</v>
      </c>
      <c r="E7" s="184"/>
    </row>
    <row r="8" spans="2:5" ht="15.95" customHeight="1">
      <c r="B8" s="260"/>
      <c r="C8" s="180">
        <v>104061</v>
      </c>
      <c r="D8" s="181" t="s">
        <v>156</v>
      </c>
      <c r="E8" s="184"/>
    </row>
    <row r="9" spans="2:5" ht="15.95" customHeight="1">
      <c r="B9" s="260"/>
      <c r="C9" s="180">
        <v>104062</v>
      </c>
      <c r="D9" s="181" t="s">
        <v>157</v>
      </c>
      <c r="E9" s="184"/>
    </row>
    <row r="10" spans="2:5" ht="15.95" customHeight="1">
      <c r="B10" s="260"/>
      <c r="C10" s="185">
        <v>101007</v>
      </c>
      <c r="D10" s="181" t="s">
        <v>158</v>
      </c>
      <c r="E10" s="182" t="s">
        <v>152</v>
      </c>
    </row>
    <row r="11" spans="2:5" ht="15.95" customHeight="1">
      <c r="B11" s="260"/>
      <c r="C11" s="185">
        <v>103001</v>
      </c>
      <c r="D11" s="181" t="s">
        <v>159</v>
      </c>
      <c r="E11" s="182" t="s">
        <v>152</v>
      </c>
    </row>
    <row r="12" spans="2:5" ht="15.95" customHeight="1">
      <c r="B12" s="262" t="s">
        <v>160</v>
      </c>
      <c r="C12" s="180">
        <v>190101</v>
      </c>
      <c r="D12" s="181" t="s">
        <v>161</v>
      </c>
      <c r="E12" s="182"/>
    </row>
    <row r="13" spans="2:5" ht="15.95" customHeight="1">
      <c r="B13" s="263"/>
      <c r="C13" s="180">
        <v>190102</v>
      </c>
      <c r="D13" s="181" t="s">
        <v>162</v>
      </c>
      <c r="E13" s="182"/>
    </row>
    <row r="14" spans="2:5" ht="15.95" customHeight="1">
      <c r="B14" s="263"/>
      <c r="C14" s="180">
        <v>202010</v>
      </c>
      <c r="D14" s="181" t="s">
        <v>163</v>
      </c>
      <c r="E14" s="182"/>
    </row>
    <row r="15" spans="2:5" ht="15.95" customHeight="1">
      <c r="B15" s="263"/>
      <c r="C15" s="180">
        <v>202012</v>
      </c>
      <c r="D15" s="181" t="s">
        <v>164</v>
      </c>
      <c r="E15" s="182"/>
    </row>
    <row r="16" spans="2:5" ht="15.95" customHeight="1">
      <c r="B16" s="263"/>
      <c r="C16" s="180">
        <v>302001</v>
      </c>
      <c r="D16" s="181" t="s">
        <v>165</v>
      </c>
      <c r="E16" s="182"/>
    </row>
    <row r="17" spans="2:5" ht="15.95" customHeight="1">
      <c r="B17" s="263"/>
      <c r="C17" s="180">
        <v>302050</v>
      </c>
      <c r="D17" s="181" t="s">
        <v>166</v>
      </c>
      <c r="E17" s="182"/>
    </row>
    <row r="18" spans="2:5" ht="15.95" customHeight="1">
      <c r="B18" s="263"/>
      <c r="C18" s="180">
        <v>202002</v>
      </c>
      <c r="D18" s="183" t="s">
        <v>167</v>
      </c>
      <c r="E18" s="184"/>
    </row>
    <row r="19" spans="2:5" ht="15.95" customHeight="1">
      <c r="B19" s="263"/>
      <c r="C19" s="180">
        <v>202018</v>
      </c>
      <c r="D19" s="183" t="s">
        <v>168</v>
      </c>
      <c r="E19" s="184"/>
    </row>
    <row r="20" spans="2:5" ht="15.95" customHeight="1">
      <c r="B20" s="263"/>
      <c r="C20" s="180">
        <v>302003</v>
      </c>
      <c r="D20" s="183" t="s">
        <v>169</v>
      </c>
      <c r="E20" s="184" t="s">
        <v>152</v>
      </c>
    </row>
    <row r="21" spans="2:5" ht="15.95" customHeight="1">
      <c r="B21" s="263"/>
      <c r="C21" s="180">
        <v>202046</v>
      </c>
      <c r="D21" s="183" t="s">
        <v>170</v>
      </c>
      <c r="E21" s="184"/>
    </row>
    <row r="22" spans="2:5" ht="15.95" customHeight="1">
      <c r="B22" s="263"/>
      <c r="C22" s="180">
        <v>202047</v>
      </c>
      <c r="D22" s="183" t="s">
        <v>171</v>
      </c>
      <c r="E22" s="184"/>
    </row>
    <row r="23" spans="2:5" ht="15.95" customHeight="1">
      <c r="B23" s="263"/>
      <c r="C23" s="180">
        <v>202048</v>
      </c>
      <c r="D23" s="183" t="s">
        <v>172</v>
      </c>
      <c r="E23" s="184"/>
    </row>
    <row r="24" spans="2:5" ht="15.95" customHeight="1">
      <c r="B24" s="263"/>
      <c r="C24" s="180">
        <v>302005</v>
      </c>
      <c r="D24" s="183" t="s">
        <v>173</v>
      </c>
      <c r="E24" s="184" t="s">
        <v>152</v>
      </c>
    </row>
    <row r="25" spans="2:5" ht="15.95" customHeight="1">
      <c r="B25" s="263"/>
      <c r="C25" s="180">
        <v>202004</v>
      </c>
      <c r="D25" s="183" t="s">
        <v>174</v>
      </c>
      <c r="E25" s="184"/>
    </row>
    <row r="26" spans="2:5" s="175" customFormat="1" ht="15.95" customHeight="1">
      <c r="B26" s="263"/>
      <c r="C26" s="180">
        <v>202005</v>
      </c>
      <c r="D26" s="183" t="s">
        <v>175</v>
      </c>
      <c r="E26" s="184"/>
    </row>
    <row r="27" spans="2:5" s="175" customFormat="1" ht="15.95" customHeight="1">
      <c r="B27" s="263"/>
      <c r="C27" s="180">
        <v>202006</v>
      </c>
      <c r="D27" s="183" t="s">
        <v>176</v>
      </c>
      <c r="E27" s="184"/>
    </row>
    <row r="28" spans="2:5" ht="15.95" customHeight="1">
      <c r="B28" s="263"/>
      <c r="C28" s="180">
        <v>202022</v>
      </c>
      <c r="D28" s="183" t="s">
        <v>177</v>
      </c>
      <c r="E28" s="184"/>
    </row>
    <row r="29" spans="2:5" ht="15.95" customHeight="1">
      <c r="B29" s="263"/>
      <c r="C29" s="180">
        <v>202067</v>
      </c>
      <c r="D29" s="181" t="s">
        <v>178</v>
      </c>
      <c r="E29" s="182"/>
    </row>
    <row r="30" spans="2:5" ht="15.95" customHeight="1">
      <c r="B30" s="263"/>
      <c r="C30" s="180">
        <v>202068</v>
      </c>
      <c r="D30" s="181" t="s">
        <v>179</v>
      </c>
      <c r="E30" s="182" t="s">
        <v>152</v>
      </c>
    </row>
    <row r="31" spans="2:5" ht="15.95" customHeight="1">
      <c r="B31" s="263"/>
      <c r="C31" s="180">
        <v>202039</v>
      </c>
      <c r="D31" s="183" t="s">
        <v>180</v>
      </c>
      <c r="E31" s="184"/>
    </row>
    <row r="32" spans="2:5" ht="15.95" customHeight="1">
      <c r="B32" s="264"/>
      <c r="C32" s="180">
        <v>203019</v>
      </c>
      <c r="D32" s="183" t="s">
        <v>181</v>
      </c>
      <c r="E32" s="184"/>
    </row>
    <row r="33" spans="2:5" ht="15.95" customHeight="1">
      <c r="B33" s="260" t="s">
        <v>182</v>
      </c>
      <c r="C33" s="180">
        <v>303002</v>
      </c>
      <c r="D33" s="181" t="s">
        <v>183</v>
      </c>
      <c r="E33" s="182" t="s">
        <v>152</v>
      </c>
    </row>
    <row r="34" spans="2:5" ht="15.95" customHeight="1">
      <c r="B34" s="260"/>
      <c r="C34" s="180">
        <v>303001</v>
      </c>
      <c r="D34" s="181" t="s">
        <v>184</v>
      </c>
      <c r="E34" s="184"/>
    </row>
    <row r="35" spans="2:5" ht="15.95" customHeight="1">
      <c r="B35" s="260"/>
      <c r="C35" s="180">
        <v>203525</v>
      </c>
      <c r="D35" s="181" t="s">
        <v>185</v>
      </c>
      <c r="E35" s="184"/>
    </row>
    <row r="36" spans="2:5" ht="15.95" customHeight="1">
      <c r="B36" s="260"/>
      <c r="C36" s="180">
        <v>203515</v>
      </c>
      <c r="D36" s="181" t="s">
        <v>186</v>
      </c>
      <c r="E36" s="182"/>
    </row>
    <row r="37" spans="2:5" ht="15.95" customHeight="1">
      <c r="B37" s="260"/>
      <c r="C37" s="180">
        <v>203501</v>
      </c>
      <c r="D37" s="181" t="s">
        <v>187</v>
      </c>
      <c r="E37" s="182"/>
    </row>
    <row r="38" spans="2:5" ht="15.95" customHeight="1">
      <c r="B38" s="260"/>
      <c r="C38" s="180">
        <v>303010</v>
      </c>
      <c r="D38" s="181" t="s">
        <v>188</v>
      </c>
      <c r="E38" s="182" t="s">
        <v>152</v>
      </c>
    </row>
    <row r="39" spans="2:5" ht="15.95" customHeight="1">
      <c r="B39" s="260"/>
      <c r="C39" s="180">
        <v>303103</v>
      </c>
      <c r="D39" s="181" t="s">
        <v>189</v>
      </c>
      <c r="E39" s="182" t="s">
        <v>152</v>
      </c>
    </row>
    <row r="40" spans="2:5" ht="15.95" customHeight="1">
      <c r="B40" s="260"/>
      <c r="C40" s="180">
        <v>203111</v>
      </c>
      <c r="D40" s="181" t="s">
        <v>190</v>
      </c>
      <c r="E40" s="182"/>
    </row>
    <row r="41" spans="2:5" ht="15.95" customHeight="1">
      <c r="B41" s="260"/>
      <c r="C41" s="180">
        <v>203113</v>
      </c>
      <c r="D41" s="181" t="s">
        <v>191</v>
      </c>
      <c r="E41" s="182"/>
    </row>
    <row r="42" spans="2:5" ht="15.95" customHeight="1">
      <c r="B42" s="260"/>
      <c r="C42" s="180">
        <v>203119</v>
      </c>
      <c r="D42" s="181" t="s">
        <v>192</v>
      </c>
      <c r="E42" s="182"/>
    </row>
    <row r="43" spans="2:5" ht="15.95" customHeight="1">
      <c r="B43" s="260"/>
      <c r="C43" s="180">
        <v>203526</v>
      </c>
      <c r="D43" s="181" t="s">
        <v>193</v>
      </c>
      <c r="E43" s="182"/>
    </row>
    <row r="44" spans="2:5" ht="15.95" customHeight="1">
      <c r="B44" s="260"/>
      <c r="C44" s="180">
        <v>203529</v>
      </c>
      <c r="D44" s="181" t="s">
        <v>194</v>
      </c>
      <c r="E44" s="182"/>
    </row>
    <row r="45" spans="2:5" ht="15.95" customHeight="1">
      <c r="B45" s="260"/>
      <c r="C45" s="180">
        <v>303111</v>
      </c>
      <c r="D45" s="181" t="s">
        <v>195</v>
      </c>
      <c r="E45" s="182" t="s">
        <v>152</v>
      </c>
    </row>
    <row r="46" spans="2:5" ht="15.95" customHeight="1">
      <c r="B46" s="260"/>
      <c r="C46" s="180">
        <v>303112</v>
      </c>
      <c r="D46" s="183" t="s">
        <v>196</v>
      </c>
      <c r="E46" s="184" t="s">
        <v>152</v>
      </c>
    </row>
    <row r="47" spans="2:5" ht="15.95" customHeight="1">
      <c r="B47" s="260"/>
      <c r="C47" s="180">
        <v>303009</v>
      </c>
      <c r="D47" s="181" t="s">
        <v>197</v>
      </c>
      <c r="E47" s="182" t="s">
        <v>152</v>
      </c>
    </row>
    <row r="48" spans="2:5" ht="15.95" customHeight="1">
      <c r="B48" s="260"/>
      <c r="C48" s="180">
        <v>303016</v>
      </c>
      <c r="D48" s="181" t="s">
        <v>198</v>
      </c>
      <c r="E48" s="184" t="s">
        <v>152</v>
      </c>
    </row>
    <row r="49" spans="2:5" ht="15.95" customHeight="1">
      <c r="B49" s="260"/>
      <c r="C49" s="180">
        <v>303008</v>
      </c>
      <c r="D49" s="181" t="s">
        <v>199</v>
      </c>
      <c r="E49" s="184"/>
    </row>
    <row r="50" spans="2:5" ht="15.95" customHeight="1">
      <c r="B50" s="262" t="s">
        <v>200</v>
      </c>
      <c r="C50" s="180">
        <v>104101</v>
      </c>
      <c r="D50" s="181" t="s">
        <v>201</v>
      </c>
      <c r="E50" s="182"/>
    </row>
    <row r="51" spans="2:5" ht="15.95" customHeight="1">
      <c r="B51" s="263"/>
      <c r="C51" s="180">
        <v>104027</v>
      </c>
      <c r="D51" s="181" t="s">
        <v>202</v>
      </c>
      <c r="E51" s="182" t="s">
        <v>152</v>
      </c>
    </row>
    <row r="52" spans="2:5" ht="15.95" customHeight="1">
      <c r="B52" s="263"/>
      <c r="C52" s="180">
        <v>104041</v>
      </c>
      <c r="D52" s="181" t="s">
        <v>203</v>
      </c>
      <c r="E52" s="182" t="s">
        <v>152</v>
      </c>
    </row>
    <row r="53" spans="2:5" ht="15.95" customHeight="1">
      <c r="B53" s="263"/>
      <c r="C53" s="180">
        <v>104044</v>
      </c>
      <c r="D53" s="181" t="s">
        <v>204</v>
      </c>
      <c r="E53" s="182" t="s">
        <v>152</v>
      </c>
    </row>
    <row r="54" spans="2:5" ht="15.95" customHeight="1">
      <c r="B54" s="263"/>
      <c r="C54" s="180">
        <v>104105</v>
      </c>
      <c r="D54" s="181" t="s">
        <v>205</v>
      </c>
      <c r="E54" s="182" t="s">
        <v>152</v>
      </c>
    </row>
    <row r="55" spans="2:5" ht="15.95" customHeight="1">
      <c r="B55" s="263"/>
      <c r="C55" s="180">
        <v>104106</v>
      </c>
      <c r="D55" s="181" t="s">
        <v>206</v>
      </c>
      <c r="E55" s="182" t="s">
        <v>152</v>
      </c>
    </row>
    <row r="56" spans="2:5" ht="15.95" customHeight="1">
      <c r="B56" s="263"/>
      <c r="C56" s="180">
        <v>104110</v>
      </c>
      <c r="D56" s="181" t="s">
        <v>207</v>
      </c>
      <c r="E56" s="182" t="s">
        <v>152</v>
      </c>
    </row>
    <row r="57" spans="2:5" ht="15.95" customHeight="1">
      <c r="B57" s="263"/>
      <c r="C57" s="180">
        <v>164080</v>
      </c>
      <c r="D57" s="181" t="s">
        <v>208</v>
      </c>
      <c r="E57" s="182"/>
    </row>
    <row r="58" spans="2:5" ht="15.95" customHeight="1">
      <c r="B58" s="263"/>
      <c r="C58" s="180">
        <v>304001</v>
      </c>
      <c r="D58" s="181" t="s">
        <v>209</v>
      </c>
      <c r="E58" s="182" t="s">
        <v>152</v>
      </c>
    </row>
    <row r="59" spans="2:5" ht="15.95" customHeight="1">
      <c r="B59" s="263"/>
      <c r="C59" s="180">
        <v>304002</v>
      </c>
      <c r="D59" s="181" t="s">
        <v>210</v>
      </c>
      <c r="E59" s="182"/>
    </row>
    <row r="60" spans="2:5" ht="15.95" customHeight="1">
      <c r="B60" s="263"/>
      <c r="C60" s="180">
        <v>304003</v>
      </c>
      <c r="D60" s="181" t="s">
        <v>211</v>
      </c>
      <c r="E60" s="182"/>
    </row>
    <row r="61" spans="2:5" ht="15.95" customHeight="1">
      <c r="B61" s="263"/>
      <c r="C61" s="180">
        <v>304101</v>
      </c>
      <c r="D61" s="181" t="s">
        <v>212</v>
      </c>
      <c r="E61" s="182" t="s">
        <v>152</v>
      </c>
    </row>
    <row r="62" spans="2:5" ht="15.95" customHeight="1">
      <c r="B62" s="263"/>
      <c r="C62" s="180">
        <v>304004</v>
      </c>
      <c r="D62" s="181" t="s">
        <v>213</v>
      </c>
      <c r="E62" s="182" t="s">
        <v>152</v>
      </c>
    </row>
    <row r="63" spans="2:5" ht="15.95" customHeight="1">
      <c r="B63" s="263"/>
      <c r="C63" s="180">
        <v>204002</v>
      </c>
      <c r="D63" s="181" t="s">
        <v>214</v>
      </c>
      <c r="E63" s="182"/>
    </row>
    <row r="64" spans="2:5" ht="15.95" customHeight="1">
      <c r="B64" s="263"/>
      <c r="C64" s="180">
        <v>204500</v>
      </c>
      <c r="D64" s="181" t="s">
        <v>215</v>
      </c>
      <c r="E64" s="182"/>
    </row>
    <row r="65" spans="2:5" ht="15.95" customHeight="1">
      <c r="B65" s="263"/>
      <c r="C65" s="180">
        <v>204503</v>
      </c>
      <c r="D65" s="181" t="s">
        <v>216</v>
      </c>
      <c r="E65" s="182"/>
    </row>
    <row r="66" spans="2:5" ht="15.95" customHeight="1">
      <c r="B66" s="263"/>
      <c r="C66" s="180">
        <v>204501</v>
      </c>
      <c r="D66" s="181" t="s">
        <v>217</v>
      </c>
      <c r="E66" s="182"/>
    </row>
    <row r="67" spans="2:5" ht="15.95" customHeight="1">
      <c r="B67" s="263"/>
      <c r="C67" s="180">
        <v>204502</v>
      </c>
      <c r="D67" s="181" t="s">
        <v>218</v>
      </c>
      <c r="E67" s="182"/>
    </row>
    <row r="68" spans="2:5" ht="15.95" customHeight="1">
      <c r="B68" s="263"/>
      <c r="C68" s="180">
        <v>204513</v>
      </c>
      <c r="D68" s="183" t="s">
        <v>219</v>
      </c>
      <c r="E68" s="184"/>
    </row>
    <row r="69" spans="2:5" ht="15.95" customHeight="1">
      <c r="B69" s="263"/>
      <c r="C69" s="180">
        <v>204511</v>
      </c>
      <c r="D69" s="181" t="s">
        <v>220</v>
      </c>
      <c r="E69" s="182"/>
    </row>
    <row r="70" spans="2:5" ht="15.95" customHeight="1">
      <c r="B70" s="263"/>
      <c r="C70" s="180">
        <v>304103</v>
      </c>
      <c r="D70" s="181" t="s">
        <v>221</v>
      </c>
      <c r="E70" s="182" t="s">
        <v>152</v>
      </c>
    </row>
    <row r="71" spans="2:5" ht="15.95" customHeight="1">
      <c r="B71" s="263"/>
      <c r="C71" s="180">
        <v>304116</v>
      </c>
      <c r="D71" s="181" t="s">
        <v>222</v>
      </c>
      <c r="E71" s="182"/>
    </row>
    <row r="72" spans="2:5" ht="15.95" customHeight="1">
      <c r="B72" s="263"/>
      <c r="C72" s="180">
        <v>304109</v>
      </c>
      <c r="D72" s="181" t="s">
        <v>223</v>
      </c>
      <c r="E72" s="182" t="s">
        <v>152</v>
      </c>
    </row>
    <row r="73" spans="2:5" ht="15.95" customHeight="1">
      <c r="B73" s="263"/>
      <c r="C73" s="180">
        <v>304110</v>
      </c>
      <c r="D73" s="181" t="s">
        <v>224</v>
      </c>
      <c r="E73" s="182" t="s">
        <v>152</v>
      </c>
    </row>
    <row r="74" spans="2:5" ht="15.95" customHeight="1">
      <c r="B74" s="263"/>
      <c r="C74" s="180">
        <v>304111</v>
      </c>
      <c r="D74" s="181" t="s">
        <v>225</v>
      </c>
      <c r="E74" s="182" t="s">
        <v>152</v>
      </c>
    </row>
    <row r="75" spans="2:5" ht="15.95" customHeight="1">
      <c r="B75" s="263"/>
      <c r="C75" s="180">
        <v>304104</v>
      </c>
      <c r="D75" s="181" t="s">
        <v>226</v>
      </c>
      <c r="E75" s="182" t="s">
        <v>152</v>
      </c>
    </row>
    <row r="76" spans="2:5" ht="15.95" customHeight="1">
      <c r="B76" s="263"/>
      <c r="C76" s="180">
        <v>204610</v>
      </c>
      <c r="D76" s="181" t="s">
        <v>227</v>
      </c>
      <c r="E76" s="182"/>
    </row>
    <row r="77" spans="2:5" ht="15.95" customHeight="1">
      <c r="B77" s="263"/>
      <c r="C77" s="180">
        <v>204518</v>
      </c>
      <c r="D77" s="181" t="s">
        <v>228</v>
      </c>
      <c r="E77" s="182"/>
    </row>
    <row r="78" spans="2:5" ht="15.95" customHeight="1">
      <c r="B78" s="263"/>
      <c r="C78" s="180">
        <v>204519</v>
      </c>
      <c r="D78" s="181" t="s">
        <v>229</v>
      </c>
      <c r="E78" s="182"/>
    </row>
    <row r="79" spans="2:5" ht="15.95" customHeight="1">
      <c r="B79" s="263"/>
      <c r="C79" s="180">
        <v>304108</v>
      </c>
      <c r="D79" s="181" t="s">
        <v>230</v>
      </c>
      <c r="E79" s="182" t="s">
        <v>152</v>
      </c>
    </row>
    <row r="80" spans="2:5" ht="15.95" customHeight="1">
      <c r="B80" s="263"/>
      <c r="C80" s="180">
        <v>304119</v>
      </c>
      <c r="D80" s="181" t="s">
        <v>231</v>
      </c>
      <c r="E80" s="182" t="s">
        <v>152</v>
      </c>
    </row>
    <row r="81" spans="2:5" ht="15.95" customHeight="1">
      <c r="B81" s="263"/>
      <c r="C81" s="186">
        <v>304216</v>
      </c>
      <c r="D81" s="181" t="s">
        <v>232</v>
      </c>
      <c r="E81" s="182" t="s">
        <v>152</v>
      </c>
    </row>
    <row r="82" spans="2:5" ht="15.95" customHeight="1">
      <c r="B82" s="263"/>
      <c r="C82" s="180">
        <v>304222</v>
      </c>
      <c r="D82" s="181" t="s">
        <v>233</v>
      </c>
      <c r="E82" s="182" t="s">
        <v>152</v>
      </c>
    </row>
    <row r="83" spans="2:5" ht="15.95" customHeight="1">
      <c r="B83" s="263"/>
      <c r="C83" s="180">
        <v>104102</v>
      </c>
      <c r="D83" s="181" t="s">
        <v>234</v>
      </c>
      <c r="E83" s="182"/>
    </row>
    <row r="84" spans="2:5" ht="15.95" customHeight="1">
      <c r="B84" s="263"/>
      <c r="C84" s="180">
        <v>304230</v>
      </c>
      <c r="D84" s="181" t="s">
        <v>235</v>
      </c>
      <c r="E84" s="182" t="s">
        <v>152</v>
      </c>
    </row>
    <row r="85" spans="2:5" ht="15.95" customHeight="1">
      <c r="B85" s="263"/>
      <c r="C85" s="180">
        <v>104211</v>
      </c>
      <c r="D85" s="181" t="s">
        <v>236</v>
      </c>
      <c r="E85" s="182" t="s">
        <v>152</v>
      </c>
    </row>
    <row r="86" spans="2:5" ht="15.95" customHeight="1">
      <c r="B86" s="263"/>
      <c r="C86" s="180">
        <v>104212</v>
      </c>
      <c r="D86" s="181" t="s">
        <v>237</v>
      </c>
      <c r="E86" s="182" t="s">
        <v>152</v>
      </c>
    </row>
    <row r="87" spans="2:5" ht="15.95" customHeight="1">
      <c r="B87" s="264"/>
      <c r="C87" s="180">
        <v>299025</v>
      </c>
      <c r="D87" s="181" t="s">
        <v>3955</v>
      </c>
      <c r="E87" s="182" t="s">
        <v>3956</v>
      </c>
    </row>
    <row r="88" spans="2:5" ht="15.95" customHeight="1">
      <c r="B88" s="265" t="s">
        <v>238</v>
      </c>
      <c r="C88" s="180">
        <v>104040</v>
      </c>
      <c r="D88" s="181" t="s">
        <v>239</v>
      </c>
      <c r="E88" s="182" t="s">
        <v>152</v>
      </c>
    </row>
    <row r="89" spans="2:5" ht="15.95" customHeight="1">
      <c r="B89" s="265"/>
      <c r="C89" s="180">
        <v>104042</v>
      </c>
      <c r="D89" s="181" t="s">
        <v>240</v>
      </c>
      <c r="E89" s="182" t="s">
        <v>152</v>
      </c>
    </row>
    <row r="90" spans="2:5" ht="15.95" customHeight="1">
      <c r="B90" s="265"/>
      <c r="C90" s="180">
        <v>204568</v>
      </c>
      <c r="D90" s="181" t="s">
        <v>241</v>
      </c>
      <c r="E90" s="182"/>
    </row>
    <row r="91" spans="2:5" ht="15.95" customHeight="1">
      <c r="B91" s="265"/>
      <c r="C91" s="180">
        <v>204551</v>
      </c>
      <c r="D91" s="181" t="s">
        <v>242</v>
      </c>
      <c r="E91" s="182"/>
    </row>
    <row r="92" spans="2:5" ht="15.95" customHeight="1">
      <c r="B92" s="265"/>
      <c r="C92" s="180">
        <v>204552</v>
      </c>
      <c r="D92" s="181" t="s">
        <v>243</v>
      </c>
      <c r="E92" s="182"/>
    </row>
    <row r="93" spans="2:5" ht="15.95" customHeight="1">
      <c r="B93" s="265"/>
      <c r="C93" s="180">
        <v>204556</v>
      </c>
      <c r="D93" s="181" t="s">
        <v>244</v>
      </c>
      <c r="E93" s="182"/>
    </row>
    <row r="94" spans="2:5" ht="15.95" customHeight="1">
      <c r="B94" s="265"/>
      <c r="C94" s="180">
        <v>204566</v>
      </c>
      <c r="D94" s="181" t="s">
        <v>245</v>
      </c>
      <c r="E94" s="182" t="s">
        <v>152</v>
      </c>
    </row>
    <row r="95" spans="2:5" ht="15.95" customHeight="1">
      <c r="B95" s="265"/>
      <c r="C95" s="180">
        <v>204590</v>
      </c>
      <c r="D95" s="181" t="s">
        <v>246</v>
      </c>
      <c r="E95" s="182" t="s">
        <v>152</v>
      </c>
    </row>
    <row r="96" spans="2:5" ht="15.95" customHeight="1">
      <c r="B96" s="265"/>
      <c r="C96" s="180">
        <v>304232</v>
      </c>
      <c r="D96" s="181" t="s">
        <v>247</v>
      </c>
      <c r="E96" s="182" t="s">
        <v>152</v>
      </c>
    </row>
    <row r="97" spans="2:5" ht="15.95" customHeight="1">
      <c r="B97" s="265"/>
      <c r="C97" s="180">
        <v>204543</v>
      </c>
      <c r="D97" s="181" t="s">
        <v>248</v>
      </c>
      <c r="E97" s="182" t="s">
        <v>152</v>
      </c>
    </row>
    <row r="98" spans="2:5" ht="15.95" customHeight="1">
      <c r="B98" s="265"/>
      <c r="C98" s="180">
        <v>204591</v>
      </c>
      <c r="D98" s="181" t="s">
        <v>249</v>
      </c>
      <c r="E98" s="182"/>
    </row>
    <row r="99" spans="2:5" ht="15.95" customHeight="1">
      <c r="B99" s="265"/>
      <c r="C99" s="180">
        <v>204550</v>
      </c>
      <c r="D99" s="181" t="s">
        <v>250</v>
      </c>
      <c r="E99" s="182"/>
    </row>
    <row r="100" spans="2:5" ht="15.95" customHeight="1">
      <c r="B100" s="265"/>
      <c r="C100" s="180">
        <v>304233</v>
      </c>
      <c r="D100" s="181" t="s">
        <v>251</v>
      </c>
      <c r="E100" s="182" t="s">
        <v>152</v>
      </c>
    </row>
    <row r="101" spans="2:5" ht="15.95" customHeight="1">
      <c r="B101" s="265"/>
      <c r="C101" s="180">
        <v>204567</v>
      </c>
      <c r="D101" s="181" t="s">
        <v>252</v>
      </c>
      <c r="E101" s="182" t="s">
        <v>152</v>
      </c>
    </row>
    <row r="102" spans="2:5" ht="15.95" customHeight="1">
      <c r="B102" s="265"/>
      <c r="C102" s="180">
        <v>204629</v>
      </c>
      <c r="D102" s="181" t="s">
        <v>253</v>
      </c>
      <c r="E102" s="182" t="s">
        <v>152</v>
      </c>
    </row>
    <row r="103" spans="2:5" ht="15.95" customHeight="1">
      <c r="B103" s="265"/>
      <c r="C103" s="180">
        <v>204583</v>
      </c>
      <c r="D103" s="181" t="s">
        <v>254</v>
      </c>
      <c r="E103" s="182"/>
    </row>
    <row r="104" spans="2:5" ht="15.95" customHeight="1">
      <c r="B104" s="265"/>
      <c r="C104" s="180">
        <v>204544</v>
      </c>
      <c r="D104" s="181" t="s">
        <v>255</v>
      </c>
      <c r="E104" s="182"/>
    </row>
    <row r="105" spans="2:5" ht="15.95" customHeight="1">
      <c r="B105" s="265"/>
      <c r="C105" s="180">
        <v>204588</v>
      </c>
      <c r="D105" s="181" t="s">
        <v>256</v>
      </c>
      <c r="E105" s="182" t="s">
        <v>152</v>
      </c>
    </row>
    <row r="106" spans="2:5" ht="15.95" customHeight="1">
      <c r="B106" s="265"/>
      <c r="C106" s="180">
        <v>204594</v>
      </c>
      <c r="D106" s="181" t="s">
        <v>257</v>
      </c>
      <c r="E106" s="182" t="s">
        <v>152</v>
      </c>
    </row>
    <row r="107" spans="2:5" ht="15.95" customHeight="1">
      <c r="B107" s="260" t="s">
        <v>258</v>
      </c>
      <c r="C107" s="180">
        <v>105001</v>
      </c>
      <c r="D107" s="181" t="s">
        <v>259</v>
      </c>
      <c r="E107" s="182" t="s">
        <v>152</v>
      </c>
    </row>
    <row r="108" spans="2:5" ht="15.95" customHeight="1">
      <c r="B108" s="260"/>
      <c r="C108" s="180">
        <v>105002</v>
      </c>
      <c r="D108" s="181" t="s">
        <v>260</v>
      </c>
      <c r="E108" s="182" t="s">
        <v>152</v>
      </c>
    </row>
    <row r="109" spans="2:5" ht="15.95" customHeight="1">
      <c r="B109" s="260"/>
      <c r="C109" s="180">
        <v>105012</v>
      </c>
      <c r="D109" s="181" t="s">
        <v>261</v>
      </c>
      <c r="E109" s="182" t="s">
        <v>152</v>
      </c>
    </row>
    <row r="110" spans="2:5" ht="15.95" customHeight="1">
      <c r="B110" s="260"/>
      <c r="C110" s="180">
        <v>205004</v>
      </c>
      <c r="D110" s="181" t="s">
        <v>262</v>
      </c>
      <c r="E110" s="182"/>
    </row>
    <row r="111" spans="2:5" ht="15.95" customHeight="1">
      <c r="B111" s="260"/>
      <c r="C111" s="180">
        <v>205007</v>
      </c>
      <c r="D111" s="181" t="s">
        <v>263</v>
      </c>
      <c r="E111" s="182"/>
    </row>
    <row r="112" spans="2:5" ht="15.95" customHeight="1">
      <c r="B112" s="260"/>
      <c r="C112" s="180">
        <v>305001</v>
      </c>
      <c r="D112" s="181" t="s">
        <v>264</v>
      </c>
      <c r="E112" s="182" t="s">
        <v>152</v>
      </c>
    </row>
    <row r="113" spans="2:5" ht="15.95" customHeight="1">
      <c r="B113" s="260"/>
      <c r="C113" s="180">
        <v>305002</v>
      </c>
      <c r="D113" s="181" t="s">
        <v>265</v>
      </c>
      <c r="E113" s="182" t="s">
        <v>152</v>
      </c>
    </row>
    <row r="114" spans="2:5" ht="15.95" customHeight="1">
      <c r="B114" s="260"/>
      <c r="C114" s="180">
        <v>205021</v>
      </c>
      <c r="D114" s="181" t="s">
        <v>266</v>
      </c>
      <c r="E114" s="182"/>
    </row>
    <row r="115" spans="2:5" ht="15.95" customHeight="1">
      <c r="B115" s="260"/>
      <c r="C115" s="180">
        <v>205022</v>
      </c>
      <c r="D115" s="181" t="s">
        <v>267</v>
      </c>
      <c r="E115" s="182"/>
    </row>
    <row r="116" spans="2:5" ht="15.95" customHeight="1">
      <c r="B116" s="260"/>
      <c r="C116" s="180">
        <v>205025</v>
      </c>
      <c r="D116" s="181" t="s">
        <v>268</v>
      </c>
      <c r="E116" s="182"/>
    </row>
    <row r="117" spans="2:5" ht="15.95" customHeight="1">
      <c r="B117" s="260"/>
      <c r="C117" s="180">
        <v>205011</v>
      </c>
      <c r="D117" s="181" t="s">
        <v>269</v>
      </c>
      <c r="E117" s="182"/>
    </row>
    <row r="118" spans="2:5" ht="15.95" customHeight="1">
      <c r="B118" s="260"/>
      <c r="C118" s="180">
        <v>305003</v>
      </c>
      <c r="D118" s="181" t="s">
        <v>270</v>
      </c>
      <c r="E118" s="182" t="s">
        <v>152</v>
      </c>
    </row>
    <row r="119" spans="2:5" ht="15.95" customHeight="1">
      <c r="B119" s="260"/>
      <c r="C119" s="180">
        <v>305009</v>
      </c>
      <c r="D119" s="181" t="s">
        <v>271</v>
      </c>
      <c r="E119" s="182" t="s">
        <v>152</v>
      </c>
    </row>
    <row r="120" spans="2:5" ht="15.95" customHeight="1">
      <c r="B120" s="260" t="s">
        <v>272</v>
      </c>
      <c r="C120" s="180">
        <v>105008</v>
      </c>
      <c r="D120" s="181" t="s">
        <v>273</v>
      </c>
      <c r="E120" s="182" t="s">
        <v>152</v>
      </c>
    </row>
    <row r="121" spans="2:5" ht="15.95" customHeight="1">
      <c r="B121" s="260"/>
      <c r="C121" s="180">
        <v>105009</v>
      </c>
      <c r="D121" s="181" t="s">
        <v>274</v>
      </c>
      <c r="E121" s="182" t="s">
        <v>152</v>
      </c>
    </row>
    <row r="122" spans="2:5" ht="15.95" customHeight="1">
      <c r="B122" s="260"/>
      <c r="C122" s="180">
        <v>125009</v>
      </c>
      <c r="D122" s="181" t="s">
        <v>275</v>
      </c>
      <c r="E122" s="182"/>
    </row>
    <row r="123" spans="2:5" ht="15.95" customHeight="1">
      <c r="B123" s="260"/>
      <c r="C123" s="180">
        <v>165009</v>
      </c>
      <c r="D123" s="181" t="s">
        <v>276</v>
      </c>
      <c r="E123" s="182"/>
    </row>
    <row r="124" spans="2:5" ht="15.95" customHeight="1">
      <c r="B124" s="260"/>
      <c r="C124" s="180">
        <v>305209</v>
      </c>
      <c r="D124" s="183" t="s">
        <v>277</v>
      </c>
      <c r="E124" s="184" t="s">
        <v>152</v>
      </c>
    </row>
    <row r="125" spans="2:5" ht="15.95" customHeight="1">
      <c r="B125" s="260"/>
      <c r="C125" s="180">
        <v>125012</v>
      </c>
      <c r="D125" s="181" t="s">
        <v>278</v>
      </c>
      <c r="E125" s="182"/>
    </row>
    <row r="126" spans="2:5" ht="15.95" customHeight="1">
      <c r="B126" s="260"/>
      <c r="C126" s="180">
        <v>165012</v>
      </c>
      <c r="D126" s="181" t="s">
        <v>279</v>
      </c>
      <c r="E126" s="182"/>
    </row>
    <row r="127" spans="2:5" ht="15.95" customHeight="1">
      <c r="B127" s="260"/>
      <c r="C127" s="180">
        <v>205105</v>
      </c>
      <c r="D127" s="181" t="s">
        <v>280</v>
      </c>
      <c r="E127" s="182"/>
    </row>
    <row r="128" spans="2:5" ht="15.95" customHeight="1">
      <c r="B128" s="260"/>
      <c r="C128" s="180">
        <v>145010</v>
      </c>
      <c r="D128" s="181" t="s">
        <v>281</v>
      </c>
      <c r="E128" s="182"/>
    </row>
    <row r="129" spans="2:5" ht="15.95" customHeight="1">
      <c r="B129" s="260"/>
      <c r="C129" s="180">
        <v>145009</v>
      </c>
      <c r="D129" s="181" t="s">
        <v>282</v>
      </c>
      <c r="E129" s="182"/>
    </row>
    <row r="130" spans="2:5" ht="15.95" customHeight="1">
      <c r="B130" s="260" t="s">
        <v>283</v>
      </c>
      <c r="C130" s="180">
        <v>104032</v>
      </c>
      <c r="D130" s="181" t="s">
        <v>284</v>
      </c>
      <c r="E130" s="182" t="s">
        <v>152</v>
      </c>
    </row>
    <row r="131" spans="2:5" ht="15.95" customHeight="1">
      <c r="B131" s="260"/>
      <c r="C131" s="180">
        <v>304802</v>
      </c>
      <c r="D131" s="181" t="s">
        <v>285</v>
      </c>
      <c r="E131" s="182" t="s">
        <v>152</v>
      </c>
    </row>
    <row r="132" spans="2:5" ht="15.95" customHeight="1">
      <c r="B132" s="260"/>
      <c r="C132" s="180">
        <v>304807</v>
      </c>
      <c r="D132" s="181" t="s">
        <v>286</v>
      </c>
      <c r="E132" s="182" t="s">
        <v>152</v>
      </c>
    </row>
    <row r="133" spans="2:5" ht="15.95" customHeight="1">
      <c r="B133" s="260"/>
      <c r="C133" s="180">
        <v>204809</v>
      </c>
      <c r="D133" s="181" t="s">
        <v>287</v>
      </c>
      <c r="E133" s="182"/>
    </row>
    <row r="134" spans="2:5" ht="15.95" customHeight="1">
      <c r="B134" s="260"/>
      <c r="C134" s="180">
        <v>204869</v>
      </c>
      <c r="D134" s="181" t="s">
        <v>288</v>
      </c>
      <c r="E134" s="182"/>
    </row>
    <row r="135" spans="2:5" ht="15.95" customHeight="1">
      <c r="B135" s="260"/>
      <c r="C135" s="180">
        <v>304803</v>
      </c>
      <c r="D135" s="181" t="s">
        <v>289</v>
      </c>
      <c r="E135" s="182" t="s">
        <v>152</v>
      </c>
    </row>
    <row r="136" spans="2:5" ht="15.95" customHeight="1">
      <c r="B136" s="260"/>
      <c r="C136" s="180">
        <v>204835</v>
      </c>
      <c r="D136" s="181" t="s">
        <v>290</v>
      </c>
      <c r="E136" s="182" t="s">
        <v>152</v>
      </c>
    </row>
    <row r="137" spans="2:5" ht="15.95" customHeight="1">
      <c r="B137" s="260"/>
      <c r="C137" s="180">
        <v>304823</v>
      </c>
      <c r="D137" s="181" t="s">
        <v>291</v>
      </c>
      <c r="E137" s="182" t="s">
        <v>152</v>
      </c>
    </row>
    <row r="138" spans="2:5" ht="15.95" customHeight="1">
      <c r="B138" s="260"/>
      <c r="C138" s="180">
        <v>204830</v>
      </c>
      <c r="D138" s="181" t="s">
        <v>292</v>
      </c>
      <c r="E138" s="182"/>
    </row>
    <row r="139" spans="2:5" ht="15.95" customHeight="1">
      <c r="B139" s="260"/>
      <c r="C139" s="180">
        <v>204831</v>
      </c>
      <c r="D139" s="181" t="s">
        <v>293</v>
      </c>
      <c r="E139" s="182"/>
    </row>
    <row r="140" spans="2:5" ht="15.95" customHeight="1">
      <c r="B140" s="260"/>
      <c r="C140" s="180">
        <v>204850</v>
      </c>
      <c r="D140" s="181" t="s">
        <v>294</v>
      </c>
      <c r="E140" s="182"/>
    </row>
    <row r="141" spans="2:5" ht="15.95" customHeight="1">
      <c r="B141" s="260"/>
      <c r="C141" s="180">
        <v>204851</v>
      </c>
      <c r="D141" s="181" t="s">
        <v>295</v>
      </c>
      <c r="E141" s="182"/>
    </row>
    <row r="142" spans="2:5" ht="15.95" customHeight="1">
      <c r="B142" s="260"/>
      <c r="C142" s="180">
        <v>204852</v>
      </c>
      <c r="D142" s="181" t="s">
        <v>296</v>
      </c>
      <c r="E142" s="182"/>
    </row>
    <row r="143" spans="2:5" ht="15.95" customHeight="1">
      <c r="B143" s="260"/>
      <c r="C143" s="180">
        <v>204853</v>
      </c>
      <c r="D143" s="181" t="s">
        <v>297</v>
      </c>
      <c r="E143" s="182"/>
    </row>
    <row r="144" spans="2:5" ht="15.95" customHeight="1">
      <c r="B144" s="260"/>
      <c r="C144" s="180">
        <v>204887</v>
      </c>
      <c r="D144" s="181" t="s">
        <v>298</v>
      </c>
      <c r="E144" s="182"/>
    </row>
    <row r="145" spans="2:5" ht="15.95" customHeight="1">
      <c r="B145" s="260"/>
      <c r="C145" s="180">
        <v>204856</v>
      </c>
      <c r="D145" s="181" t="s">
        <v>299</v>
      </c>
      <c r="E145" s="182"/>
    </row>
    <row r="146" spans="2:5" ht="15.95" customHeight="1">
      <c r="B146" s="260"/>
      <c r="C146" s="180">
        <v>204857</v>
      </c>
      <c r="D146" s="181" t="s">
        <v>300</v>
      </c>
      <c r="E146" s="182"/>
    </row>
    <row r="147" spans="2:5" ht="15.95" customHeight="1">
      <c r="B147" s="260"/>
      <c r="C147" s="180">
        <v>204858</v>
      </c>
      <c r="D147" s="181" t="s">
        <v>301</v>
      </c>
      <c r="E147" s="182"/>
    </row>
    <row r="148" spans="2:5" ht="15.95" customHeight="1">
      <c r="B148" s="260"/>
      <c r="C148" s="180">
        <v>204833</v>
      </c>
      <c r="D148" s="181" t="s">
        <v>302</v>
      </c>
      <c r="E148" s="182" t="s">
        <v>152</v>
      </c>
    </row>
    <row r="149" spans="2:5" ht="15.95" customHeight="1">
      <c r="B149" s="260"/>
      <c r="C149" s="180">
        <v>204834</v>
      </c>
      <c r="D149" s="181" t="s">
        <v>303</v>
      </c>
      <c r="E149" s="182" t="s">
        <v>152</v>
      </c>
    </row>
    <row r="150" spans="2:5" ht="15.95" customHeight="1">
      <c r="B150" s="260"/>
      <c r="C150" s="180">
        <v>304804</v>
      </c>
      <c r="D150" s="181" t="s">
        <v>304</v>
      </c>
      <c r="E150" s="182" t="s">
        <v>152</v>
      </c>
    </row>
    <row r="151" spans="2:5" s="175" customFormat="1" ht="15.95" customHeight="1">
      <c r="B151" s="260"/>
      <c r="C151" s="180">
        <v>304822</v>
      </c>
      <c r="D151" s="181" t="s">
        <v>305</v>
      </c>
      <c r="E151" s="182" t="s">
        <v>152</v>
      </c>
    </row>
    <row r="152" spans="2:5" s="175" customFormat="1" ht="15.95" customHeight="1">
      <c r="B152" s="260"/>
      <c r="C152" s="180">
        <v>204884</v>
      </c>
      <c r="D152" s="181" t="s">
        <v>306</v>
      </c>
      <c r="E152" s="182" t="s">
        <v>152</v>
      </c>
    </row>
    <row r="153" spans="2:5" ht="15.95" customHeight="1">
      <c r="B153" s="260"/>
      <c r="C153" s="180">
        <v>204880</v>
      </c>
      <c r="D153" s="181" t="s">
        <v>307</v>
      </c>
      <c r="E153" s="182" t="s">
        <v>152</v>
      </c>
    </row>
    <row r="154" spans="2:5" ht="15.95" customHeight="1">
      <c r="B154" s="260"/>
      <c r="C154" s="180">
        <v>204974</v>
      </c>
      <c r="D154" s="181" t="s">
        <v>308</v>
      </c>
      <c r="E154" s="182" t="s">
        <v>152</v>
      </c>
    </row>
    <row r="155" spans="2:5" ht="15.95" customHeight="1">
      <c r="B155" s="260"/>
      <c r="C155" s="180">
        <v>204972</v>
      </c>
      <c r="D155" s="181" t="s">
        <v>309</v>
      </c>
      <c r="E155" s="182"/>
    </row>
    <row r="156" spans="2:5" ht="15.95" customHeight="1">
      <c r="B156" s="260"/>
      <c r="C156" s="180">
        <v>204979</v>
      </c>
      <c r="D156" s="181" t="s">
        <v>310</v>
      </c>
      <c r="E156" s="182"/>
    </row>
    <row r="157" spans="2:5" ht="15.95" customHeight="1">
      <c r="B157" s="260"/>
      <c r="C157" s="187">
        <v>204956</v>
      </c>
      <c r="D157" s="181" t="s">
        <v>311</v>
      </c>
      <c r="E157" s="182"/>
    </row>
    <row r="158" spans="2:5" ht="15.95" customHeight="1">
      <c r="B158" s="260" t="s">
        <v>312</v>
      </c>
      <c r="C158" s="180">
        <v>404202</v>
      </c>
      <c r="D158" s="188" t="s">
        <v>313</v>
      </c>
      <c r="E158" s="182" t="s">
        <v>152</v>
      </c>
    </row>
    <row r="159" spans="2:5" ht="15.95" customHeight="1">
      <c r="B159" s="260"/>
      <c r="C159" s="189">
        <v>404201</v>
      </c>
      <c r="D159" s="181" t="s">
        <v>314</v>
      </c>
      <c r="E159" s="182" t="s">
        <v>152</v>
      </c>
    </row>
    <row r="160" spans="2:5" ht="15.95" customHeight="1">
      <c r="B160" s="260"/>
      <c r="C160" s="190">
        <v>405001</v>
      </c>
      <c r="D160" s="181" t="s">
        <v>315</v>
      </c>
      <c r="E160" s="182" t="s">
        <v>152</v>
      </c>
    </row>
    <row r="161" spans="2:5" ht="15.95" customHeight="1">
      <c r="B161" s="260"/>
      <c r="C161" s="191">
        <v>405003</v>
      </c>
      <c r="D161" s="181" t="s">
        <v>316</v>
      </c>
      <c r="E161" s="182" t="s">
        <v>152</v>
      </c>
    </row>
    <row r="162" spans="2:5" ht="15.95" customHeight="1">
      <c r="B162" s="260"/>
      <c r="C162" s="180">
        <v>403201</v>
      </c>
      <c r="D162" s="181" t="s">
        <v>317</v>
      </c>
      <c r="E162" s="182" t="s">
        <v>152</v>
      </c>
    </row>
    <row r="163" spans="2:5" ht="15.95" customHeight="1">
      <c r="B163" s="260"/>
      <c r="C163" s="190">
        <v>403204</v>
      </c>
      <c r="D163" s="181" t="s">
        <v>318</v>
      </c>
      <c r="E163" s="182" t="s">
        <v>152</v>
      </c>
    </row>
    <row r="164" spans="2:5" ht="15.95" customHeight="1">
      <c r="B164" s="260"/>
      <c r="C164" s="190">
        <v>403251</v>
      </c>
      <c r="D164" s="183" t="s">
        <v>319</v>
      </c>
      <c r="E164" s="184" t="s">
        <v>152</v>
      </c>
    </row>
    <row r="165" spans="2:5" ht="15.95" customHeight="1">
      <c r="B165" s="260"/>
      <c r="C165" s="190">
        <v>403252</v>
      </c>
      <c r="D165" s="183" t="s">
        <v>320</v>
      </c>
      <c r="E165" s="184" t="s">
        <v>152</v>
      </c>
    </row>
    <row r="166" spans="2:5" ht="15.95" customHeight="1">
      <c r="B166" s="260"/>
      <c r="C166" s="190">
        <v>407003</v>
      </c>
      <c r="D166" s="181" t="s">
        <v>321</v>
      </c>
      <c r="E166" s="182" t="s">
        <v>152</v>
      </c>
    </row>
    <row r="167" spans="2:5" ht="15.95" customHeight="1">
      <c r="B167" s="260"/>
      <c r="C167" s="190">
        <v>407001</v>
      </c>
      <c r="D167" s="181" t="s">
        <v>322</v>
      </c>
      <c r="E167" s="182" t="s">
        <v>152</v>
      </c>
    </row>
    <row r="168" spans="2:5" ht="15.95" customHeight="1">
      <c r="B168" s="260"/>
      <c r="C168" s="180">
        <v>407002</v>
      </c>
      <c r="D168" s="192" t="s">
        <v>323</v>
      </c>
      <c r="E168" s="193" t="s">
        <v>152</v>
      </c>
    </row>
    <row r="169" spans="2:5" ht="15.95" customHeight="1">
      <c r="B169" s="260"/>
      <c r="C169" s="190">
        <v>404204</v>
      </c>
      <c r="D169" s="192" t="s">
        <v>324</v>
      </c>
      <c r="E169" s="193" t="s">
        <v>152</v>
      </c>
    </row>
    <row r="170" spans="2:5" ht="15.95" customHeight="1">
      <c r="B170" s="260"/>
      <c r="C170" s="190">
        <v>302018</v>
      </c>
      <c r="D170" s="194" t="s">
        <v>325</v>
      </c>
      <c r="E170" s="195" t="s">
        <v>152</v>
      </c>
    </row>
  </sheetData>
  <mergeCells count="9">
    <mergeCell ref="B107:B119"/>
    <mergeCell ref="B120:B129"/>
    <mergeCell ref="B130:B157"/>
    <mergeCell ref="B158:B170"/>
    <mergeCell ref="B3:B11"/>
    <mergeCell ref="B12:B32"/>
    <mergeCell ref="B33:B49"/>
    <mergeCell ref="B88:B106"/>
    <mergeCell ref="B50:B87"/>
  </mergeCells>
  <phoneticPr fontId="19" type="noConversion"/>
  <hyperlinks>
    <hyperlink ref="C106" location="接口信息!C3540" display="接口信息!C3540"/>
    <hyperlink ref="C10" location="接口信息!C79" display="接口信息!C79"/>
    <hyperlink ref="C49" location="接口信息!C3527" display="接口信息!C3527"/>
    <hyperlink ref="C48" location="接口信息!C658" display="接口信息!C658"/>
    <hyperlink ref="C32" location="接口信息!C387" display="接口信息!C387"/>
    <hyperlink ref="C170" location="接口信息!C3336" display="接口信息!C3336"/>
    <hyperlink ref="C169" location="接口信息!C2890" display="接口信息!C2890"/>
    <hyperlink ref="C168" location="接口信息!C3042" display="接口信息!C3042"/>
    <hyperlink ref="C167" location="接口信息!C2665" display="接口信息!C2665"/>
    <hyperlink ref="C166" location="接口信息!C2591" display="接口信息!C2591"/>
    <hyperlink ref="C165" location="接口信息!C2566" display="接口信息!C2566"/>
    <hyperlink ref="C164" location="接口信息!C2539" display="接口信息!C2539"/>
    <hyperlink ref="C163" location="接口信息!C2511" display="接口信息!C2511"/>
    <hyperlink ref="C162" location="接口信息!C2488" display="接口信息!C2488"/>
    <hyperlink ref="C161" location="接口信息!C2455" display="接口信息!C2455"/>
    <hyperlink ref="C160" location="接口信息!C2423" display="接口信息!C2423"/>
    <hyperlink ref="C159" location="接口信息!C2379" display="接口信息!C2379"/>
    <hyperlink ref="C158" location="接口信息!C2340" display="接口信息!C2340"/>
    <hyperlink ref="C157" location="接口信息!C2325" display="接口信息!C2325"/>
    <hyperlink ref="C153" location="接口信息!C2284" display="接口信息!C2284"/>
    <hyperlink ref="C152" location="接口信息!C2271" display="接口信息!C2271"/>
    <hyperlink ref="C151" location="接口信息!C2247" display="接口信息!C2247"/>
    <hyperlink ref="C150" location="接口信息!C2231" display="接口信息!C2231"/>
    <hyperlink ref="C149" location="接口信息!C2180" display="接口信息!C2180"/>
    <hyperlink ref="C148" location="接口信息!C2101" display="接口信息!C2101"/>
    <hyperlink ref="C147" location="接口信息!C2088" display="接口信息!C2088"/>
    <hyperlink ref="C146" location="接口信息!C2070" display="接口信息!C2070"/>
    <hyperlink ref="C145" location="接口信息!C2051" display="接口信息!C2051"/>
    <hyperlink ref="C144" location="接口信息!C2035" display="接口信息!C2035"/>
    <hyperlink ref="C143" location="接口信息!C2022" display="接口信息!C2022"/>
    <hyperlink ref="C142" location="接口信息!C2006" display="接口信息!C2006"/>
    <hyperlink ref="C141" location="接口信息!C1990" display="接口信息!C1990"/>
    <hyperlink ref="C140" location="接口信息!C1973" display="接口信息!C1973"/>
    <hyperlink ref="C139" location="接口信息!C1954" display="接口信息!C1954"/>
    <hyperlink ref="C138" location="接口信息!C1890" display="接口信息!C1890"/>
    <hyperlink ref="C137" location="接口信息!C1869" display="接口信息!C1869"/>
    <hyperlink ref="C136" location="接口信息!C1838" display="接口信息!C1838"/>
    <hyperlink ref="C135" location="接口信息!C1824" display="接口信息!C1824"/>
    <hyperlink ref="C134" location="接口信息!C1812" display="接口信息!C1812"/>
    <hyperlink ref="C133" location="接口信息!C1797" display="接口信息!C1797"/>
    <hyperlink ref="C132" location="接口信息!C1777" display="接口信息!C1777"/>
    <hyperlink ref="C131" location="接口信息!C1763" display="接口信息!C1763"/>
    <hyperlink ref="C130" location="接口信息!C1753" display="接口信息!C1753"/>
    <hyperlink ref="C129" location="接口信息!C2946" display="接口信息!C2946"/>
    <hyperlink ref="C128" location="接口信息!C2711" display="接口信息!C2711"/>
    <hyperlink ref="C127" location="接口信息!C2695" display="接口信息!C2695"/>
    <hyperlink ref="C126" location="接口信息!C1742" display="接口信息!C1742"/>
    <hyperlink ref="C125" location="接口信息!C1718" display="接口信息!C1718"/>
    <hyperlink ref="C124" location="接口信息!C1694" display="接口信息!C1694"/>
    <hyperlink ref="C123" location="接口信息!C1682" display="接口信息!C1682"/>
    <hyperlink ref="C122" location="接口信息!C1664" display="接口信息!C1664"/>
    <hyperlink ref="C121" location="接口信息!C1643" display="接口信息!C1643"/>
    <hyperlink ref="C120" location="接口信息!C1631" display="接口信息!C1631"/>
    <hyperlink ref="C119" location="接口信息!C2924" display="接口信息!C2924"/>
    <hyperlink ref="C118" location="接口信息!C1604" display="接口信息!C1604"/>
    <hyperlink ref="C117" location="接口信息!C1593" display="接口信息!C1593"/>
    <hyperlink ref="C116" location="接口信息!C1574" display="接口信息!C1574"/>
    <hyperlink ref="C115" location="接口信息!C1558" display="接口信息!C1558"/>
    <hyperlink ref="C114" location="接口信息!C1540" display="接口信息!C1540"/>
    <hyperlink ref="C113" location="接口信息!C1521" display="接口信息!C1521"/>
    <hyperlink ref="C112" location="接口信息!C1510" display="接口信息!C1510"/>
    <hyperlink ref="C111" location="接口信息!C1498" display="接口信息!C1498"/>
    <hyperlink ref="C110" location="接口信息!C1485" display="接口信息!C1485"/>
    <hyperlink ref="C109" location="接口信息!C1474" display="接口信息!C1474"/>
    <hyperlink ref="C108" location="接口信息!C1453" display="接口信息!C1453"/>
    <hyperlink ref="C107" location="接口信息!C1442" display="接口信息!C1442"/>
    <hyperlink ref="C105" location="接口信息!C3162" display="接口信息!C3162"/>
    <hyperlink ref="C100" location="接口信息!C3293" display="接口信息!C3293"/>
    <hyperlink ref="C99" location="接口信息!C3133" display="接口信息!C3133"/>
    <hyperlink ref="C98" location="接口信息!C3277" display="接口信息!C3277"/>
    <hyperlink ref="C97" location="接口信息!C3253" display="接口信息!C3253"/>
    <hyperlink ref="C96" location="接口信息!C2838" display="接口信息!C2838"/>
    <hyperlink ref="C95" location="接口信息!C2814" display="接口信息!C2814"/>
    <hyperlink ref="C94" location="接口信息!C2777" display="接口信息!C2777"/>
    <hyperlink ref="C93" location="接口信息!C2761" display="接口信息!C2761"/>
    <hyperlink ref="C92" location="接口信息!C2748" display="接口信息!C2748"/>
    <hyperlink ref="C91" location="接口信息!C2724" display="接口信息!C2724"/>
    <hyperlink ref="C90" location="接口信息!C1420" display="接口信息!C1420"/>
    <hyperlink ref="C89" location="接口信息!C1397" display="接口信息!C1397"/>
    <hyperlink ref="C88" location="接口信息!C1383" display="接口信息!C1383"/>
    <hyperlink ref="C86" location="接口信息!C1367" display="接口信息!C1367"/>
    <hyperlink ref="C85" location="接口信息!C1348" display="接口信息!C1348"/>
    <hyperlink ref="C84" location="接口信息!C3108" display="接口信息!C3108"/>
    <hyperlink ref="C83" location="接口信息!C3013" display="接口信息!C3013"/>
    <hyperlink ref="C82" location="接口信息!C1317" display="接口信息!C1317"/>
    <hyperlink ref="C81" location="接口信息!C2867" display="接口信息!C2867"/>
    <hyperlink ref="C80" location="接口信息!C1291" display="接口信息!C1291"/>
    <hyperlink ref="C79" location="接口信息!C1265" display="接口信息!C1265"/>
    <hyperlink ref="C78" location="接口信息!C1252" display="接口信息!C1252"/>
    <hyperlink ref="C77" location="接口信息!C1235" display="接口信息!C1235"/>
    <hyperlink ref="C76" location="接口信息!C1221" display="接口信息!C1221"/>
    <hyperlink ref="C75" location="接口信息!C1199" display="接口信息!C1199"/>
    <hyperlink ref="C74" location="接口信息!C1180" display="接口信息!C1180"/>
    <hyperlink ref="C73" location="接口信息!C1153" display="接口信息!C1153"/>
    <hyperlink ref="C72" location="接口信息!C1127" display="接口信息!C1127"/>
    <hyperlink ref="C71" location="接口信息!C1090" display="接口信息!C1090"/>
    <hyperlink ref="C70" location="接口信息!C1049" display="接口信息!C1049"/>
    <hyperlink ref="C69" location="接口信息!C1033" display="接口信息!C1033"/>
    <hyperlink ref="C68" location="接口信息!C1015" display="接口信息!C1015"/>
    <hyperlink ref="C67" location="接口信息!C1002" display="接口信息!C1002"/>
    <hyperlink ref="C66" location="接口信息!C973" display="接口信息!C973"/>
    <hyperlink ref="C65" location="接口信息!C956" display="接口信息!C956"/>
    <hyperlink ref="C64" location="接口信息!C944" display="接口信息!C944"/>
    <hyperlink ref="C63" location="接口信息!C929" display="接口信息!C929"/>
    <hyperlink ref="C62" location="接口信息!C912" display="接口信息!C912"/>
    <hyperlink ref="C61" location="接口信息!C871" display="接口信息!C871"/>
    <hyperlink ref="C60" location="接口信息!C856" display="接口信息!C856"/>
    <hyperlink ref="C59" location="接口信息!C841" display="接口信息!C841"/>
    <hyperlink ref="C58" location="接口信息!C827" display="接口信息!C827"/>
    <hyperlink ref="C57" location="接口信息!C813" display="接口信息!C813"/>
    <hyperlink ref="C56" location="接口信息!C793" display="接口信息!C793"/>
    <hyperlink ref="C55" location="接口信息!C777" display="接口信息!C777"/>
    <hyperlink ref="C54" location="接口信息!C756" display="接口信息!C756"/>
    <hyperlink ref="C53" location="接口信息!C2969" display="接口信息!C2969"/>
    <hyperlink ref="C52" location="接口信息!C737" display="接口信息!C737"/>
    <hyperlink ref="C51" location="接口信息!C722" display="接口信息!C722"/>
    <hyperlink ref="C50" location="接口信息!C676" display="接口信息!C676"/>
    <hyperlink ref="C46" location="接口信息!C644" display="接口信息!C644"/>
    <hyperlink ref="C45" location="接口信息!C623" display="接口信息!C623"/>
    <hyperlink ref="C44" location="接口信息!C606" display="接口信息!C606"/>
    <hyperlink ref="C43" location="接口信息!C588" display="接口信息!C588"/>
    <hyperlink ref="C42" location="接口信息!C571" display="接口信息!C571"/>
    <hyperlink ref="C41" location="接口信息!C553" display="接口信息!C553"/>
    <hyperlink ref="C40" location="接口信息!C535" display="接口信息!C535"/>
    <hyperlink ref="C39" location="接口信息!C521" display="接口信息!C521"/>
    <hyperlink ref="C38" location="接口信息!C497" display="接口信息!C497"/>
    <hyperlink ref="C37" location="接口信息!C480" display="接口信息!C480"/>
    <hyperlink ref="C36" location="接口信息!C462" display="接口信息!C462"/>
    <hyperlink ref="C35" location="接口信息!C446" display="接口信息!C446"/>
    <hyperlink ref="C34" location="接口信息!C423" display="接口信息!C423"/>
    <hyperlink ref="C33" location="接口信息!C400" display="接口信息!C400"/>
    <hyperlink ref="C31" location="接口信息!C372" display="接口信息!C372"/>
    <hyperlink ref="C30" location="接口信息!C360" display="接口信息!C360"/>
    <hyperlink ref="C29" location="接口信息!C349" display="接口信息!C349"/>
    <hyperlink ref="C28" location="接口信息!C336" display="接口信息!C336"/>
    <hyperlink ref="C27" location="接口信息!C323" display="接口信息!C323"/>
    <hyperlink ref="C26" location="接口信息!C309" display="接口信息!C309"/>
    <hyperlink ref="C25" location="接口信息!C296" display="接口信息!C296"/>
    <hyperlink ref="C24" location="接口信息!C284" display="接口信息!C284"/>
    <hyperlink ref="C23" location="接口信息!C273" display="接口信息!C273"/>
    <hyperlink ref="C22" location="接口信息!C258" display="接口信息!C258"/>
    <hyperlink ref="C21" location="接口信息!C240" display="接口信息!C240"/>
    <hyperlink ref="C20" location="接口信息!C229" display="接口信息!C229"/>
    <hyperlink ref="C19" location="接口信息!C216" display="接口信息!C216"/>
    <hyperlink ref="C18" location="接口信息!C196" display="接口信息!C196"/>
    <hyperlink ref="C17" location="接口信息!C2997" display="接口信息!C2997"/>
    <hyperlink ref="C16" location="接口信息!C170" display="接口信息!C170"/>
    <hyperlink ref="C15" location="接口信息!C157" display="接口信息!C157"/>
    <hyperlink ref="C14" location="接口信息!C144" display="接口信息!C144"/>
    <hyperlink ref="C13" location="接口信息!C132" display="接口信息!C132"/>
    <hyperlink ref="C12" location="接口信息!C108" display="接口信息!C108"/>
    <hyperlink ref="C11" location="接口信息!C91" display="接口信息!C91"/>
    <hyperlink ref="C9" location="接口信息!C68" display="接口信息!C68"/>
    <hyperlink ref="C8" location="接口信息!C57" display="接口信息!C57"/>
    <hyperlink ref="C7" location="接口信息!C46" display="接口信息!C46"/>
    <hyperlink ref="C6" location="接口信息!C35" display="接口信息!C35"/>
    <hyperlink ref="C5" location="接口信息!C25" display="接口信息!C25"/>
    <hyperlink ref="C4" location="接口信息!C14" display="接口信息!C14"/>
    <hyperlink ref="C3" location="接口信息!C2" display="接口信息!C2"/>
    <hyperlink ref="C154" location="接口信息!C3317" display="接口信息!C3317"/>
    <hyperlink ref="C47" location="接口信息!C3361" display="接口信息!C3361"/>
    <hyperlink ref="C103" location="接口信息!C3393" display="接口信息!C3393"/>
    <hyperlink ref="C101" location="接口信息!C3408" display="接口信息!C3408"/>
    <hyperlink ref="C102" location="接口信息!C3460" display="接口信息!C3460"/>
    <hyperlink ref="C155" location="接口信息!C3484" display="接口信息!C3484"/>
    <hyperlink ref="C156" location="接口信息!C3503" display="接口信息!C3503"/>
    <hyperlink ref="C104" location="接口信息!C3515" display="接口信息!C3515"/>
    <hyperlink ref="C87" location="接口信息!C3559" display="接口信息!C3559"/>
  </hyperlinks>
  <pageMargins left="0.69930555555555596" right="0.69930555555555596" top="0.75" bottom="0.75" header="0.3" footer="0.3"/>
  <pageSetup paperSize="9" orientation="portrait"/>
  <headerFooter alignWithMargins="0"/>
</worksheet>
</file>

<file path=xl/worksheets/sheet4.xml><?xml version="1.0" encoding="utf-8"?>
<worksheet xmlns="http://schemas.openxmlformats.org/spreadsheetml/2006/main" xmlns:r="http://schemas.openxmlformats.org/officeDocument/2006/relationships">
  <sheetPr codeName="Sheet1"/>
  <dimension ref="A1:XFC3572"/>
  <sheetViews>
    <sheetView tabSelected="1" topLeftCell="C3551" zoomScale="115" zoomScaleNormal="115" workbookViewId="0">
      <selection activeCell="C3559" sqref="C3559"/>
    </sheetView>
  </sheetViews>
  <sheetFormatPr defaultColWidth="9" defaultRowHeight="13.5"/>
  <cols>
    <col min="1" max="1" width="1.5" style="1" customWidth="1"/>
    <col min="2" max="2" width="14" style="1" customWidth="1"/>
    <col min="3" max="3" width="18" style="1" customWidth="1"/>
    <col min="4" max="4" width="11.875" style="1" customWidth="1"/>
    <col min="5" max="5" width="11.75" style="1" customWidth="1"/>
    <col min="6" max="6" width="12.625" style="1" customWidth="1"/>
    <col min="7" max="7" width="65.75" style="1" customWidth="1"/>
    <col min="8" max="16383" width="9" style="1"/>
  </cols>
  <sheetData>
    <row r="1" spans="2:7" ht="15.75" customHeight="1"/>
    <row r="2" spans="2:7">
      <c r="B2" s="53" t="s">
        <v>146</v>
      </c>
      <c r="C2" s="291">
        <v>101020</v>
      </c>
      <c r="D2" s="291"/>
      <c r="E2" s="291"/>
      <c r="F2" s="54" t="s">
        <v>326</v>
      </c>
      <c r="G2" s="55"/>
    </row>
    <row r="3" spans="2:7">
      <c r="B3" s="56" t="s">
        <v>327</v>
      </c>
      <c r="C3" s="290" t="str">
        <f>VLOOKUP(C2,功能索引!$C$3:$D$269,2,FALSE)</f>
        <v>查询系统当前状态</v>
      </c>
      <c r="D3" s="290"/>
      <c r="E3" s="290"/>
      <c r="F3" s="57" t="s">
        <v>148</v>
      </c>
      <c r="G3" s="58">
        <f>VLOOKUP(C2,功能索引!$C$3:$E269,3,FALSE)</f>
        <v>0</v>
      </c>
    </row>
    <row r="4" spans="2:7">
      <c r="B4" s="269" t="s">
        <v>328</v>
      </c>
      <c r="C4" s="282"/>
      <c r="D4" s="282"/>
      <c r="E4" s="282"/>
      <c r="F4" s="282"/>
      <c r="G4" s="283"/>
    </row>
    <row r="5" spans="2:7" ht="13.5" customHeight="1">
      <c r="B5" s="270"/>
      <c r="C5" s="284"/>
      <c r="D5" s="284"/>
      <c r="E5" s="284"/>
      <c r="F5" s="284"/>
      <c r="G5" s="285"/>
    </row>
    <row r="6" spans="2:7">
      <c r="B6" s="271" t="s">
        <v>329</v>
      </c>
      <c r="C6" s="54" t="s">
        <v>330</v>
      </c>
      <c r="D6" s="54" t="s">
        <v>331</v>
      </c>
      <c r="E6" s="54" t="s">
        <v>332</v>
      </c>
      <c r="F6" s="54" t="s">
        <v>333</v>
      </c>
      <c r="G6" s="60" t="s">
        <v>334</v>
      </c>
    </row>
    <row r="7" spans="2:7">
      <c r="B7" s="269"/>
      <c r="C7" s="61"/>
      <c r="D7" s="62"/>
      <c r="E7" s="63"/>
      <c r="F7" s="63"/>
      <c r="G7" s="64"/>
    </row>
    <row r="8" spans="2:7">
      <c r="B8" s="269" t="s">
        <v>335</v>
      </c>
      <c r="C8" s="65" t="s">
        <v>336</v>
      </c>
      <c r="D8" s="66">
        <f>VLOOKUP(C8,基本字段定义!$B$3:$C$3008,2,FALSE)</f>
        <v>507</v>
      </c>
      <c r="E8" s="67" t="s">
        <v>337</v>
      </c>
      <c r="F8" s="67"/>
      <c r="G8" s="68"/>
    </row>
    <row r="9" spans="2:7">
      <c r="B9" s="269"/>
      <c r="C9" s="65" t="s">
        <v>338</v>
      </c>
      <c r="D9" s="66">
        <f>VLOOKUP(C9,基本字段定义!$B$3:$C$3008,2,FALSE)</f>
        <v>508</v>
      </c>
      <c r="E9" s="67" t="s">
        <v>339</v>
      </c>
      <c r="F9" s="67"/>
      <c r="G9" s="69"/>
    </row>
    <row r="10" spans="2:7">
      <c r="B10" s="269"/>
      <c r="C10" s="65" t="s">
        <v>340</v>
      </c>
      <c r="D10" s="66">
        <f>VLOOKUP(C10,基本字段定义!$B$3:$C$3008,2,FALSE)</f>
        <v>1137</v>
      </c>
      <c r="E10" s="67" t="s">
        <v>337</v>
      </c>
      <c r="F10" s="67"/>
      <c r="G10" s="69" t="s">
        <v>341</v>
      </c>
    </row>
    <row r="11" spans="2:7">
      <c r="B11" s="269"/>
      <c r="C11" s="65" t="s">
        <v>342</v>
      </c>
      <c r="D11" s="66">
        <f>VLOOKUP(C11,基本字段定义!$B$3:$C$3008,2,FALSE)</f>
        <v>1555</v>
      </c>
      <c r="E11" s="67" t="s">
        <v>337</v>
      </c>
      <c r="F11" s="67"/>
      <c r="G11" s="70" t="s">
        <v>343</v>
      </c>
    </row>
    <row r="12" spans="2:7">
      <c r="B12" s="270"/>
      <c r="C12" s="71"/>
      <c r="D12" s="72"/>
      <c r="E12" s="73"/>
      <c r="F12" s="73"/>
      <c r="G12" s="74"/>
    </row>
    <row r="14" spans="2:7">
      <c r="B14" s="53" t="s">
        <v>146</v>
      </c>
      <c r="C14" s="291">
        <v>101004</v>
      </c>
      <c r="D14" s="291"/>
      <c r="E14" s="291"/>
      <c r="F14" s="54" t="s">
        <v>326</v>
      </c>
      <c r="G14" s="55"/>
    </row>
    <row r="15" spans="2:7">
      <c r="B15" s="56" t="s">
        <v>327</v>
      </c>
      <c r="C15" s="290" t="str">
        <f>VLOOKUP(C14,功能索引!$C$3:$D$269,2,FALSE)</f>
        <v>系统数据字典查询</v>
      </c>
      <c r="D15" s="290"/>
      <c r="E15" s="290"/>
      <c r="F15" s="57" t="s">
        <v>148</v>
      </c>
      <c r="G15" s="58" t="str">
        <f>VLOOKUP(C14,功能索引!$C$3:$E281,3,FALSE)</f>
        <v>Y</v>
      </c>
    </row>
    <row r="16" spans="2:7">
      <c r="B16" s="269" t="s">
        <v>328</v>
      </c>
      <c r="C16" s="282"/>
      <c r="D16" s="282"/>
      <c r="E16" s="282"/>
      <c r="F16" s="282"/>
      <c r="G16" s="283"/>
    </row>
    <row r="17" spans="2:7">
      <c r="B17" s="270"/>
      <c r="C17" s="284"/>
      <c r="D17" s="284"/>
      <c r="E17" s="284"/>
      <c r="F17" s="284"/>
      <c r="G17" s="285"/>
    </row>
    <row r="18" spans="2:7">
      <c r="B18" s="271" t="s">
        <v>329</v>
      </c>
      <c r="C18" s="54" t="s">
        <v>330</v>
      </c>
      <c r="D18" s="54" t="s">
        <v>331</v>
      </c>
      <c r="E18" s="54" t="s">
        <v>332</v>
      </c>
      <c r="F18" s="54" t="s">
        <v>333</v>
      </c>
      <c r="G18" s="60" t="s">
        <v>334</v>
      </c>
    </row>
    <row r="19" spans="2:7">
      <c r="B19" s="269"/>
      <c r="C19" s="61" t="s">
        <v>344</v>
      </c>
      <c r="D19" s="62">
        <f>VLOOKUP(C19,基本字段定义!$B$3:$C$3008,2,FALSE)</f>
        <v>566</v>
      </c>
      <c r="E19" s="63" t="s">
        <v>345</v>
      </c>
      <c r="F19" s="63"/>
      <c r="G19" s="64" t="s">
        <v>346</v>
      </c>
    </row>
    <row r="20" spans="2:7">
      <c r="B20" s="269" t="s">
        <v>335</v>
      </c>
      <c r="C20" s="65" t="s">
        <v>344</v>
      </c>
      <c r="D20" s="66">
        <f>VLOOKUP(C20,基本字段定义!$B$3:$C$3008,2,FALSE)</f>
        <v>566</v>
      </c>
      <c r="E20" s="67" t="s">
        <v>339</v>
      </c>
      <c r="F20" s="67"/>
      <c r="G20" s="69" t="s">
        <v>346</v>
      </c>
    </row>
    <row r="21" spans="2:7">
      <c r="B21" s="269"/>
      <c r="C21" s="65" t="s">
        <v>347</v>
      </c>
      <c r="D21" s="66">
        <f>VLOOKUP(C21,基本字段定义!$B$3:$C$3008,2,FALSE)</f>
        <v>898</v>
      </c>
      <c r="E21" s="67" t="s">
        <v>339</v>
      </c>
      <c r="F21" s="67"/>
      <c r="G21" s="69" t="s">
        <v>348</v>
      </c>
    </row>
    <row r="22" spans="2:7">
      <c r="B22" s="269"/>
      <c r="C22" s="65" t="s">
        <v>349</v>
      </c>
      <c r="D22" s="66">
        <f>VLOOKUP(C22,基本字段定义!$B$3:$C$3008,2,FALSE)</f>
        <v>899</v>
      </c>
      <c r="E22" s="67" t="s">
        <v>339</v>
      </c>
      <c r="F22" s="67"/>
      <c r="G22" s="69" t="s">
        <v>334</v>
      </c>
    </row>
    <row r="23" spans="2:7">
      <c r="B23" s="270"/>
      <c r="C23" s="71"/>
      <c r="D23" s="72"/>
      <c r="E23" s="73"/>
      <c r="F23" s="73"/>
      <c r="G23" s="74"/>
    </row>
    <row r="25" spans="2:7">
      <c r="B25" s="53" t="s">
        <v>146</v>
      </c>
      <c r="C25" s="291">
        <v>102002</v>
      </c>
      <c r="D25" s="291"/>
      <c r="E25" s="291"/>
      <c r="F25" s="54" t="s">
        <v>326</v>
      </c>
      <c r="G25" s="55"/>
    </row>
    <row r="26" spans="2:7">
      <c r="B26" s="56" t="s">
        <v>327</v>
      </c>
      <c r="C26" s="290" t="str">
        <f>VLOOKUP(C25,功能索引!$C$3:$D$269,2,FALSE)</f>
        <v>客户提示属性项目查询</v>
      </c>
      <c r="D26" s="290"/>
      <c r="E26" s="290"/>
      <c r="F26" s="57" t="s">
        <v>148</v>
      </c>
      <c r="G26" s="58" t="str">
        <f>VLOOKUP(C25,功能索引!$C$3:$E292,3,FALSE)</f>
        <v>Y</v>
      </c>
    </row>
    <row r="27" spans="2:7">
      <c r="B27" s="269" t="s">
        <v>328</v>
      </c>
      <c r="C27" s="282"/>
      <c r="D27" s="282"/>
      <c r="E27" s="282"/>
      <c r="F27" s="282"/>
      <c r="G27" s="283"/>
    </row>
    <row r="28" spans="2:7">
      <c r="B28" s="270"/>
      <c r="C28" s="284"/>
      <c r="D28" s="284"/>
      <c r="E28" s="284"/>
      <c r="F28" s="284"/>
      <c r="G28" s="285"/>
    </row>
    <row r="29" spans="2:7">
      <c r="B29" s="287" t="s">
        <v>329</v>
      </c>
      <c r="C29" s="54" t="s">
        <v>330</v>
      </c>
      <c r="D29" s="54" t="s">
        <v>331</v>
      </c>
      <c r="E29" s="54" t="s">
        <v>332</v>
      </c>
      <c r="F29" s="54" t="s">
        <v>333</v>
      </c>
      <c r="G29" s="75" t="s">
        <v>334</v>
      </c>
    </row>
    <row r="30" spans="2:7">
      <c r="B30" s="267"/>
      <c r="C30" s="61"/>
      <c r="D30" s="62"/>
      <c r="E30" s="63"/>
      <c r="F30" s="63"/>
      <c r="G30" s="76"/>
    </row>
    <row r="31" spans="2:7">
      <c r="B31" s="266" t="s">
        <v>335</v>
      </c>
      <c r="C31" s="65" t="s">
        <v>350</v>
      </c>
      <c r="D31" s="66">
        <f>VLOOKUP(C31,基本字段定义!$B$3:$C$3008,2,FALSE)</f>
        <v>1785</v>
      </c>
      <c r="E31" s="67" t="s">
        <v>339</v>
      </c>
      <c r="F31" s="67"/>
      <c r="G31" s="77" t="s">
        <v>351</v>
      </c>
    </row>
    <row r="32" spans="2:7">
      <c r="B32" s="267"/>
      <c r="C32" s="65" t="s">
        <v>352</v>
      </c>
      <c r="D32" s="66">
        <f>VLOOKUP(C32,基本字段定义!$B$3:$C$3008,2,FALSE)</f>
        <v>817</v>
      </c>
      <c r="E32" s="67" t="s">
        <v>339</v>
      </c>
      <c r="F32" s="67"/>
      <c r="G32" s="77" t="s">
        <v>353</v>
      </c>
    </row>
    <row r="33" spans="2:7">
      <c r="B33" s="268"/>
      <c r="C33" s="71"/>
      <c r="D33" s="72"/>
      <c r="E33" s="73"/>
      <c r="F33" s="73"/>
      <c r="G33" s="78"/>
    </row>
    <row r="35" spans="2:7">
      <c r="B35" s="53" t="s">
        <v>146</v>
      </c>
      <c r="C35" s="291">
        <v>103010</v>
      </c>
      <c r="D35" s="291"/>
      <c r="E35" s="291"/>
      <c r="F35" s="54" t="s">
        <v>326</v>
      </c>
      <c r="G35" s="55"/>
    </row>
    <row r="36" spans="2:7">
      <c r="B36" s="56" t="s">
        <v>327</v>
      </c>
      <c r="C36" s="290" t="str">
        <f>VLOOKUP(C35,功能索引!$C$3:$D$269,2,FALSE)</f>
        <v>银行代码参数查询</v>
      </c>
      <c r="D36" s="290"/>
      <c r="E36" s="290"/>
      <c r="F36" s="57" t="s">
        <v>148</v>
      </c>
      <c r="G36" s="58" t="str">
        <f>VLOOKUP(C35,功能索引!$C$3:$E292,3,FALSE)</f>
        <v>Y</v>
      </c>
    </row>
    <row r="37" spans="2:7">
      <c r="B37" s="269" t="s">
        <v>328</v>
      </c>
      <c r="C37" s="282"/>
      <c r="D37" s="282"/>
      <c r="E37" s="282"/>
      <c r="F37" s="282"/>
      <c r="G37" s="283"/>
    </row>
    <row r="38" spans="2:7">
      <c r="B38" s="270"/>
      <c r="C38" s="284"/>
      <c r="D38" s="284"/>
      <c r="E38" s="284"/>
      <c r="F38" s="284"/>
      <c r="G38" s="285"/>
    </row>
    <row r="39" spans="2:7">
      <c r="B39" s="287" t="s">
        <v>329</v>
      </c>
      <c r="C39" s="54" t="s">
        <v>330</v>
      </c>
      <c r="D39" s="54" t="s">
        <v>331</v>
      </c>
      <c r="E39" s="54" t="s">
        <v>332</v>
      </c>
      <c r="F39" s="54" t="s">
        <v>333</v>
      </c>
      <c r="G39" s="75" t="s">
        <v>334</v>
      </c>
    </row>
    <row r="40" spans="2:7">
      <c r="B40" s="267"/>
      <c r="C40" s="61" t="s">
        <v>354</v>
      </c>
      <c r="D40" s="62">
        <f>VLOOKUP(C40,基本字段定义!$B$3:$C$3008,2,FALSE)</f>
        <v>839</v>
      </c>
      <c r="E40" s="63" t="s">
        <v>337</v>
      </c>
      <c r="F40" s="63"/>
      <c r="G40" s="76" t="s">
        <v>355</v>
      </c>
    </row>
    <row r="41" spans="2:7">
      <c r="B41" s="269" t="s">
        <v>335</v>
      </c>
      <c r="C41" s="65" t="s">
        <v>356</v>
      </c>
      <c r="D41" s="66">
        <f>VLOOKUP(C41,基本字段定义!$B$3:$C$3008,2,FALSE)</f>
        <v>1257</v>
      </c>
      <c r="E41" s="67" t="s">
        <v>339</v>
      </c>
      <c r="F41" s="67"/>
      <c r="G41" s="69" t="s">
        <v>357</v>
      </c>
    </row>
    <row r="42" spans="2:7">
      <c r="B42" s="269"/>
      <c r="C42" s="65" t="s">
        <v>354</v>
      </c>
      <c r="D42" s="66">
        <f>VLOOKUP(C42,基本字段定义!$B$3:$C$3008,2,FALSE)</f>
        <v>839</v>
      </c>
      <c r="E42" s="67" t="s">
        <v>337</v>
      </c>
      <c r="F42" s="67"/>
      <c r="G42" s="69" t="s">
        <v>355</v>
      </c>
    </row>
    <row r="43" spans="2:7">
      <c r="B43" s="269"/>
      <c r="C43" s="65" t="s">
        <v>358</v>
      </c>
      <c r="D43" s="66">
        <f>VLOOKUP(C43,基本字段定义!$B$3:$C$3008,2,FALSE)</f>
        <v>834</v>
      </c>
      <c r="E43" s="67" t="s">
        <v>339</v>
      </c>
      <c r="F43" s="67"/>
      <c r="G43" s="69" t="s">
        <v>359</v>
      </c>
    </row>
    <row r="44" spans="2:7">
      <c r="B44" s="270"/>
      <c r="C44" s="71"/>
      <c r="D44" s="79"/>
      <c r="E44" s="73"/>
      <c r="F44" s="73"/>
      <c r="G44" s="74"/>
    </row>
    <row r="46" spans="2:7">
      <c r="B46" s="53" t="s">
        <v>146</v>
      </c>
      <c r="C46" s="291">
        <v>104060</v>
      </c>
      <c r="D46" s="291"/>
      <c r="E46" s="291"/>
      <c r="F46" s="54" t="s">
        <v>326</v>
      </c>
      <c r="G46" s="55"/>
    </row>
    <row r="47" spans="2:7">
      <c r="B47" s="56" t="s">
        <v>327</v>
      </c>
      <c r="C47" s="290" t="str">
        <f>VLOOKUP(C46,功能索引!$C$3:$D$269,2,FALSE)</f>
        <v>查询当天所属交易日</v>
      </c>
      <c r="D47" s="290"/>
      <c r="E47" s="290"/>
      <c r="F47" s="57" t="s">
        <v>148</v>
      </c>
      <c r="G47" s="58">
        <f>VLOOKUP(C46,功能索引!$C$3:$E313,3,FALSE)</f>
        <v>0</v>
      </c>
    </row>
    <row r="48" spans="2:7">
      <c r="B48" s="269" t="s">
        <v>328</v>
      </c>
      <c r="C48" s="282" t="s">
        <v>360</v>
      </c>
      <c r="D48" s="282"/>
      <c r="E48" s="282"/>
      <c r="F48" s="282"/>
      <c r="G48" s="283"/>
    </row>
    <row r="49" spans="2:7">
      <c r="B49" s="270"/>
      <c r="C49" s="284"/>
      <c r="D49" s="284"/>
      <c r="E49" s="284"/>
      <c r="F49" s="284"/>
      <c r="G49" s="285"/>
    </row>
    <row r="50" spans="2:7">
      <c r="B50" s="271" t="s">
        <v>329</v>
      </c>
      <c r="C50" s="54" t="s">
        <v>330</v>
      </c>
      <c r="D50" s="54" t="s">
        <v>331</v>
      </c>
      <c r="E50" s="54" t="s">
        <v>332</v>
      </c>
      <c r="F50" s="54" t="s">
        <v>333</v>
      </c>
      <c r="G50" s="60" t="s">
        <v>334</v>
      </c>
    </row>
    <row r="51" spans="2:7">
      <c r="B51" s="269"/>
      <c r="C51" s="61" t="s">
        <v>361</v>
      </c>
      <c r="D51" s="62">
        <f>VLOOKUP(C51,基本字段定义!$B$3:$C$3008,2,FALSE)</f>
        <v>599</v>
      </c>
      <c r="E51" s="63" t="s">
        <v>362</v>
      </c>
      <c r="F51" s="63" t="s">
        <v>152</v>
      </c>
      <c r="G51" s="64" t="s">
        <v>363</v>
      </c>
    </row>
    <row r="52" spans="2:7">
      <c r="B52" s="269" t="s">
        <v>335</v>
      </c>
      <c r="C52" s="65" t="s">
        <v>336</v>
      </c>
      <c r="D52" s="66">
        <f>VLOOKUP(C52,基本字段定义!$B$3:$C$3008,2,FALSE)</f>
        <v>507</v>
      </c>
      <c r="E52" s="67" t="s">
        <v>337</v>
      </c>
      <c r="F52" s="67"/>
      <c r="G52" s="68"/>
    </row>
    <row r="53" spans="2:7">
      <c r="B53" s="269"/>
      <c r="C53" s="65" t="s">
        <v>338</v>
      </c>
      <c r="D53" s="66">
        <f>VLOOKUP(C53,基本字段定义!$B$3:$C$3008,2,FALSE)</f>
        <v>508</v>
      </c>
      <c r="E53" s="67" t="s">
        <v>339</v>
      </c>
      <c r="F53" s="67"/>
      <c r="G53" s="69"/>
    </row>
    <row r="54" spans="2:7">
      <c r="B54" s="269"/>
      <c r="C54" s="65" t="s">
        <v>364</v>
      </c>
      <c r="D54" s="66">
        <f>VLOOKUP(C54,基本字段定义!$B$3:$C$3008,2,FALSE)</f>
        <v>1999</v>
      </c>
      <c r="E54" s="67" t="s">
        <v>337</v>
      </c>
      <c r="F54" s="67"/>
      <c r="G54" s="70" t="s">
        <v>365</v>
      </c>
    </row>
    <row r="55" spans="2:7">
      <c r="B55" s="270"/>
      <c r="C55" s="71"/>
      <c r="D55" s="72"/>
      <c r="E55" s="73"/>
      <c r="F55" s="73"/>
      <c r="G55" s="74"/>
    </row>
    <row r="57" spans="2:7">
      <c r="B57" s="53" t="s">
        <v>146</v>
      </c>
      <c r="C57" s="291">
        <v>104061</v>
      </c>
      <c r="D57" s="291"/>
      <c r="E57" s="291"/>
      <c r="F57" s="54" t="s">
        <v>326</v>
      </c>
      <c r="G57" s="55"/>
    </row>
    <row r="58" spans="2:7">
      <c r="B58" s="56" t="s">
        <v>327</v>
      </c>
      <c r="C58" s="290" t="str">
        <f>VLOOKUP(C57,功能索引!$C$3:$D$269,2,FALSE)</f>
        <v>查询下一交易日</v>
      </c>
      <c r="D58" s="290"/>
      <c r="E58" s="290"/>
      <c r="F58" s="57" t="s">
        <v>148</v>
      </c>
      <c r="G58" s="58">
        <f>VLOOKUP(C57,功能索引!$C$3:$E325,3,FALSE)</f>
        <v>0</v>
      </c>
    </row>
    <row r="59" spans="2:7">
      <c r="B59" s="269" t="s">
        <v>328</v>
      </c>
      <c r="C59" s="282" t="s">
        <v>366</v>
      </c>
      <c r="D59" s="282"/>
      <c r="E59" s="282"/>
      <c r="F59" s="282"/>
      <c r="G59" s="283"/>
    </row>
    <row r="60" spans="2:7">
      <c r="B60" s="270"/>
      <c r="C60" s="284"/>
      <c r="D60" s="284"/>
      <c r="E60" s="284"/>
      <c r="F60" s="284"/>
      <c r="G60" s="285"/>
    </row>
    <row r="61" spans="2:7">
      <c r="B61" s="271" t="s">
        <v>329</v>
      </c>
      <c r="C61" s="54" t="s">
        <v>330</v>
      </c>
      <c r="D61" s="54" t="s">
        <v>331</v>
      </c>
      <c r="E61" s="54" t="s">
        <v>332</v>
      </c>
      <c r="F61" s="54" t="s">
        <v>333</v>
      </c>
      <c r="G61" s="60" t="s">
        <v>334</v>
      </c>
    </row>
    <row r="62" spans="2:7">
      <c r="B62" s="269"/>
      <c r="C62" s="61" t="s">
        <v>361</v>
      </c>
      <c r="D62" s="62">
        <f>VLOOKUP(C62,基本字段定义!$B$3:$C$3008,2,FALSE)</f>
        <v>599</v>
      </c>
      <c r="E62" s="63" t="s">
        <v>362</v>
      </c>
      <c r="F62" s="63" t="s">
        <v>152</v>
      </c>
      <c r="G62" s="64" t="s">
        <v>363</v>
      </c>
    </row>
    <row r="63" spans="2:7">
      <c r="B63" s="269" t="s">
        <v>335</v>
      </c>
      <c r="C63" s="65" t="s">
        <v>336</v>
      </c>
      <c r="D63" s="66">
        <f>VLOOKUP(C63,基本字段定义!$B$3:$C$3008,2,FALSE)</f>
        <v>507</v>
      </c>
      <c r="E63" s="67" t="s">
        <v>337</v>
      </c>
      <c r="F63" s="67"/>
      <c r="G63" s="68"/>
    </row>
    <row r="64" spans="2:7">
      <c r="B64" s="269"/>
      <c r="C64" s="65" t="s">
        <v>338</v>
      </c>
      <c r="D64" s="66">
        <f>VLOOKUP(C64,基本字段定义!$B$3:$C$3008,2,FALSE)</f>
        <v>508</v>
      </c>
      <c r="E64" s="67" t="s">
        <v>339</v>
      </c>
      <c r="F64" s="67"/>
      <c r="G64" s="69"/>
    </row>
    <row r="65" spans="2:7">
      <c r="B65" s="269"/>
      <c r="C65" s="65" t="s">
        <v>367</v>
      </c>
      <c r="D65" s="66">
        <f>VLOOKUP(C65,基本字段定义!$B$3:$C$3008,2,FALSE)</f>
        <v>651</v>
      </c>
      <c r="E65" s="67" t="s">
        <v>337</v>
      </c>
      <c r="F65" s="67"/>
      <c r="G65" s="69" t="s">
        <v>368</v>
      </c>
    </row>
    <row r="66" spans="2:7">
      <c r="B66" s="270"/>
      <c r="C66" s="71"/>
      <c r="D66" s="72"/>
      <c r="E66" s="73"/>
      <c r="F66" s="73"/>
      <c r="G66" s="74"/>
    </row>
    <row r="68" spans="2:7">
      <c r="B68" s="53" t="s">
        <v>146</v>
      </c>
      <c r="C68" s="291">
        <v>104062</v>
      </c>
      <c r="D68" s="291"/>
      <c r="E68" s="291"/>
      <c r="F68" s="54" t="s">
        <v>326</v>
      </c>
      <c r="G68" s="55"/>
    </row>
    <row r="69" spans="2:7">
      <c r="B69" s="56" t="s">
        <v>327</v>
      </c>
      <c r="C69" s="290" t="str">
        <f>VLOOKUP(C68,功能索引!$C$3:$D$269,2,FALSE)</f>
        <v>查询上一交易日</v>
      </c>
      <c r="D69" s="290"/>
      <c r="E69" s="290"/>
      <c r="F69" s="57" t="s">
        <v>148</v>
      </c>
      <c r="G69" s="58">
        <f>VLOOKUP(C68,功能索引!$C$3:$E336,3,FALSE)</f>
        <v>0</v>
      </c>
    </row>
    <row r="70" spans="2:7">
      <c r="B70" s="269" t="s">
        <v>328</v>
      </c>
      <c r="C70" s="282" t="s">
        <v>369</v>
      </c>
      <c r="D70" s="282"/>
      <c r="E70" s="282"/>
      <c r="F70" s="282"/>
      <c r="G70" s="283"/>
    </row>
    <row r="71" spans="2:7">
      <c r="B71" s="270"/>
      <c r="C71" s="284"/>
      <c r="D71" s="284"/>
      <c r="E71" s="284"/>
      <c r="F71" s="284"/>
      <c r="G71" s="285"/>
    </row>
    <row r="72" spans="2:7">
      <c r="B72" s="271" t="s">
        <v>329</v>
      </c>
      <c r="C72" s="54" t="s">
        <v>330</v>
      </c>
      <c r="D72" s="54" t="s">
        <v>331</v>
      </c>
      <c r="E72" s="54" t="s">
        <v>332</v>
      </c>
      <c r="F72" s="54" t="s">
        <v>333</v>
      </c>
      <c r="G72" s="60" t="s">
        <v>334</v>
      </c>
    </row>
    <row r="73" spans="2:7">
      <c r="B73" s="269"/>
      <c r="C73" s="61" t="s">
        <v>361</v>
      </c>
      <c r="D73" s="62">
        <f>VLOOKUP(C73,基本字段定义!$B$3:$C$3008,2,FALSE)</f>
        <v>599</v>
      </c>
      <c r="E73" s="63" t="s">
        <v>362</v>
      </c>
      <c r="F73" s="63" t="s">
        <v>152</v>
      </c>
      <c r="G73" s="64" t="s">
        <v>363</v>
      </c>
    </row>
    <row r="74" spans="2:7">
      <c r="B74" s="269" t="s">
        <v>335</v>
      </c>
      <c r="C74" s="65" t="s">
        <v>336</v>
      </c>
      <c r="D74" s="66">
        <f>VLOOKUP(C74,基本字段定义!$B$3:$C$3008,2,FALSE)</f>
        <v>507</v>
      </c>
      <c r="E74" s="67" t="s">
        <v>337</v>
      </c>
      <c r="F74" s="67"/>
      <c r="G74" s="68"/>
    </row>
    <row r="75" spans="2:7">
      <c r="B75" s="269"/>
      <c r="C75" s="65" t="s">
        <v>338</v>
      </c>
      <c r="D75" s="66">
        <f>VLOOKUP(C75,基本字段定义!$B$3:$C$3008,2,FALSE)</f>
        <v>508</v>
      </c>
      <c r="E75" s="67" t="s">
        <v>339</v>
      </c>
      <c r="F75" s="67"/>
      <c r="G75" s="69"/>
    </row>
    <row r="76" spans="2:7">
      <c r="B76" s="269"/>
      <c r="C76" s="65" t="s">
        <v>367</v>
      </c>
      <c r="D76" s="66">
        <f>VLOOKUP(C76,基本字段定义!$B$3:$C$3008,2,FALSE)</f>
        <v>651</v>
      </c>
      <c r="E76" s="67" t="s">
        <v>337</v>
      </c>
      <c r="F76" s="67"/>
      <c r="G76" s="69" t="s">
        <v>370</v>
      </c>
    </row>
    <row r="77" spans="2:7">
      <c r="B77" s="270"/>
      <c r="C77" s="71"/>
      <c r="D77" s="72"/>
      <c r="E77" s="73"/>
      <c r="F77" s="73"/>
      <c r="G77" s="74"/>
    </row>
    <row r="79" spans="2:7">
      <c r="B79" s="53" t="s">
        <v>146</v>
      </c>
      <c r="C79" s="80">
        <v>101007</v>
      </c>
      <c r="D79" s="81"/>
      <c r="E79" s="82"/>
      <c r="F79" s="54" t="s">
        <v>326</v>
      </c>
      <c r="G79" s="55"/>
    </row>
    <row r="80" spans="2:7">
      <c r="B80" s="56" t="s">
        <v>327</v>
      </c>
      <c r="C80" s="83" t="str">
        <f>VLOOKUP(C79,功能索引!$C$3:$D$269,2,FALSE)</f>
        <v>查询某一系统参数配置</v>
      </c>
      <c r="D80" s="84"/>
      <c r="E80" s="85"/>
      <c r="F80" s="57" t="s">
        <v>371</v>
      </c>
      <c r="G80" s="58" t="str">
        <f>VLOOKUP(C79,功能索引!$C$3:$E442,3,FALSE)</f>
        <v>Y</v>
      </c>
    </row>
    <row r="81" spans="2:7">
      <c r="B81" s="269" t="s">
        <v>328</v>
      </c>
      <c r="C81" s="282" t="s">
        <v>372</v>
      </c>
      <c r="D81" s="282"/>
      <c r="E81" s="282"/>
      <c r="F81" s="282"/>
      <c r="G81" s="283"/>
    </row>
    <row r="82" spans="2:7">
      <c r="B82" s="270"/>
      <c r="C82" s="284"/>
      <c r="D82" s="284"/>
      <c r="E82" s="284"/>
      <c r="F82" s="284"/>
      <c r="G82" s="285"/>
    </row>
    <row r="83" spans="2:7">
      <c r="B83" s="271" t="s">
        <v>329</v>
      </c>
      <c r="C83" s="54" t="s">
        <v>330</v>
      </c>
      <c r="D83" s="54" t="s">
        <v>331</v>
      </c>
      <c r="E83" s="54" t="s">
        <v>332</v>
      </c>
      <c r="F83" s="54" t="s">
        <v>333</v>
      </c>
      <c r="G83" s="60" t="s">
        <v>334</v>
      </c>
    </row>
    <row r="84" spans="2:7">
      <c r="B84" s="269"/>
      <c r="C84" s="61" t="s">
        <v>373</v>
      </c>
      <c r="D84" s="62">
        <f>VLOOKUP(C84,基本字段定义!$B$3:$C$3008,2,FALSE)</f>
        <v>697</v>
      </c>
      <c r="E84" s="63" t="s">
        <v>339</v>
      </c>
      <c r="F84" s="63" t="s">
        <v>152</v>
      </c>
      <c r="G84" s="64" t="s">
        <v>374</v>
      </c>
    </row>
    <row r="85" spans="2:7">
      <c r="B85" s="269"/>
      <c r="C85" s="61" t="s">
        <v>375</v>
      </c>
      <c r="D85" s="62">
        <f>VLOOKUP(C85,基本字段定义!$B$3:$C$3008,2,FALSE)</f>
        <v>1022</v>
      </c>
      <c r="E85" s="63" t="s">
        <v>339</v>
      </c>
      <c r="F85" s="63" t="s">
        <v>152</v>
      </c>
      <c r="G85" s="86" t="s">
        <v>376</v>
      </c>
    </row>
    <row r="86" spans="2:7">
      <c r="B86" s="266" t="s">
        <v>335</v>
      </c>
      <c r="C86" s="87" t="s">
        <v>336</v>
      </c>
      <c r="D86" s="66">
        <f>VLOOKUP(C86,基本字段定义!$B$3:$C$3008,2,FALSE)</f>
        <v>507</v>
      </c>
      <c r="E86" s="88" t="s">
        <v>337</v>
      </c>
      <c r="F86" s="89"/>
      <c r="G86" s="90" t="s">
        <v>377</v>
      </c>
    </row>
    <row r="87" spans="2:7">
      <c r="B87" s="267"/>
      <c r="C87" s="65" t="s">
        <v>338</v>
      </c>
      <c r="D87" s="66">
        <f>VLOOKUP(C87,基本字段定义!$B$3:$C$3008,2,FALSE)</f>
        <v>508</v>
      </c>
      <c r="E87" s="67" t="s">
        <v>339</v>
      </c>
      <c r="F87" s="66"/>
      <c r="G87" s="69" t="s">
        <v>378</v>
      </c>
    </row>
    <row r="88" spans="2:7">
      <c r="B88" s="267"/>
      <c r="C88" s="87" t="s">
        <v>379</v>
      </c>
      <c r="D88" s="89">
        <f>VLOOKUP(C88,基本字段定义!$B$3:$C$3008,2,FALSE)</f>
        <v>531</v>
      </c>
      <c r="E88" s="88" t="s">
        <v>339</v>
      </c>
      <c r="F88" s="89"/>
      <c r="G88" s="90" t="s">
        <v>380</v>
      </c>
    </row>
    <row r="89" spans="2:7">
      <c r="B89" s="268"/>
      <c r="C89" s="71"/>
      <c r="D89" s="79"/>
      <c r="E89" s="73"/>
      <c r="F89" s="79"/>
      <c r="G89" s="74"/>
    </row>
    <row r="91" spans="2:7">
      <c r="B91" s="53" t="s">
        <v>146</v>
      </c>
      <c r="C91" s="80">
        <v>103001</v>
      </c>
      <c r="D91" s="81"/>
      <c r="E91" s="82"/>
      <c r="F91" s="54" t="s">
        <v>326</v>
      </c>
      <c r="G91" s="55"/>
    </row>
    <row r="92" spans="2:7">
      <c r="B92" s="56" t="s">
        <v>327</v>
      </c>
      <c r="C92" s="83" t="str">
        <f>VLOOKUP(C91,功能索引!$C$3:$D$269,2,FALSE)</f>
        <v>查询汇率参数</v>
      </c>
      <c r="D92" s="84"/>
      <c r="E92" s="85"/>
      <c r="F92" s="57" t="s">
        <v>148</v>
      </c>
      <c r="G92" s="58"/>
    </row>
    <row r="93" spans="2:7">
      <c r="B93" s="269" t="s">
        <v>328</v>
      </c>
      <c r="C93" s="282" t="s">
        <v>381</v>
      </c>
      <c r="D93" s="282"/>
      <c r="E93" s="282"/>
      <c r="F93" s="282"/>
      <c r="G93" s="283"/>
    </row>
    <row r="94" spans="2:7">
      <c r="B94" s="270"/>
      <c r="C94" s="284"/>
      <c r="D94" s="284"/>
      <c r="E94" s="284"/>
      <c r="F94" s="284"/>
      <c r="G94" s="285"/>
    </row>
    <row r="95" spans="2:7">
      <c r="B95" s="271" t="s">
        <v>329</v>
      </c>
      <c r="C95" s="54" t="s">
        <v>330</v>
      </c>
      <c r="D95" s="54" t="s">
        <v>331</v>
      </c>
      <c r="E95" s="54" t="s">
        <v>332</v>
      </c>
      <c r="F95" s="54" t="s">
        <v>333</v>
      </c>
      <c r="G95" s="60" t="s">
        <v>334</v>
      </c>
    </row>
    <row r="96" spans="2:7">
      <c r="B96" s="269"/>
      <c r="C96" s="61" t="s">
        <v>382</v>
      </c>
      <c r="D96" s="62">
        <f>VLOOKUP(C96,基本字段定义!$B$3:$C$3008,2,FALSE)</f>
        <v>1792</v>
      </c>
      <c r="E96" s="63" t="s">
        <v>339</v>
      </c>
      <c r="F96" s="63"/>
      <c r="G96" s="64" t="s">
        <v>383</v>
      </c>
    </row>
    <row r="97" spans="2:7">
      <c r="B97" s="269"/>
      <c r="C97" s="61" t="s">
        <v>384</v>
      </c>
      <c r="D97" s="62">
        <f>VLOOKUP(C97,基本字段定义!$B$3:$C$3008,2,FALSE)</f>
        <v>1793</v>
      </c>
      <c r="E97" s="63" t="s">
        <v>339</v>
      </c>
      <c r="F97" s="63"/>
      <c r="G97" s="86" t="s">
        <v>385</v>
      </c>
    </row>
    <row r="98" spans="2:7">
      <c r="B98" s="266" t="s">
        <v>335</v>
      </c>
      <c r="C98" s="65" t="s">
        <v>382</v>
      </c>
      <c r="D98" s="91">
        <f>VLOOKUP(C98,基本字段定义!$B$3:$C$3008,2,FALSE)</f>
        <v>1792</v>
      </c>
      <c r="E98" s="92" t="s">
        <v>339</v>
      </c>
      <c r="F98" s="92"/>
      <c r="G98" s="93" t="s">
        <v>383</v>
      </c>
    </row>
    <row r="99" spans="2:7">
      <c r="B99" s="267"/>
      <c r="C99" s="65" t="s">
        <v>384</v>
      </c>
      <c r="D99" s="91">
        <f>VLOOKUP(C99,基本字段定义!$B$3:$C$3008,2,FALSE)</f>
        <v>1793</v>
      </c>
      <c r="E99" s="92" t="s">
        <v>339</v>
      </c>
      <c r="F99" s="92"/>
      <c r="G99" s="94" t="s">
        <v>385</v>
      </c>
    </row>
    <row r="100" spans="2:7">
      <c r="B100" s="267"/>
      <c r="C100" s="87" t="s">
        <v>386</v>
      </c>
      <c r="D100" s="66">
        <f>VLOOKUP(C100,基本字段定义!$B$3:$C$3008,2,FALSE)</f>
        <v>1186</v>
      </c>
      <c r="E100" s="88" t="s">
        <v>387</v>
      </c>
      <c r="F100" s="89"/>
      <c r="G100" s="90" t="s">
        <v>388</v>
      </c>
    </row>
    <row r="101" spans="2:7">
      <c r="B101" s="267"/>
      <c r="C101" s="87" t="s">
        <v>389</v>
      </c>
      <c r="D101" s="66">
        <f>VLOOKUP(C101,基本字段定义!$B$3:$C$3008,2,FALSE)</f>
        <v>1187</v>
      </c>
      <c r="E101" s="88" t="s">
        <v>387</v>
      </c>
      <c r="F101" s="89"/>
      <c r="G101" s="90" t="s">
        <v>390</v>
      </c>
    </row>
    <row r="102" spans="2:7">
      <c r="B102" s="267"/>
      <c r="C102" s="87" t="s">
        <v>391</v>
      </c>
      <c r="D102" s="66">
        <f>VLOOKUP(C102,基本字段定义!$B$3:$C$3008,2,FALSE)</f>
        <v>1188</v>
      </c>
      <c r="E102" s="88" t="s">
        <v>387</v>
      </c>
      <c r="F102" s="89"/>
      <c r="G102" s="90" t="s">
        <v>392</v>
      </c>
    </row>
    <row r="103" spans="2:7">
      <c r="B103" s="267"/>
      <c r="C103" s="87" t="s">
        <v>393</v>
      </c>
      <c r="D103" s="89">
        <f>VLOOKUP(C103,基本字段定义!$B$3:$C$3008,2,FALSE)</f>
        <v>1189</v>
      </c>
      <c r="E103" s="88" t="s">
        <v>387</v>
      </c>
      <c r="F103" s="89"/>
      <c r="G103" s="90" t="s">
        <v>394</v>
      </c>
    </row>
    <row r="104" spans="2:7">
      <c r="B104" s="267"/>
      <c r="C104" s="87" t="s">
        <v>395</v>
      </c>
      <c r="D104" s="89">
        <f>VLOOKUP(C104,基本字段定义!$B$3:$C$3008,2,FALSE)</f>
        <v>1190</v>
      </c>
      <c r="E104" s="88" t="s">
        <v>387</v>
      </c>
      <c r="F104" s="89"/>
      <c r="G104" s="90" t="s">
        <v>396</v>
      </c>
    </row>
    <row r="105" spans="2:7">
      <c r="B105" s="267"/>
      <c r="C105" s="87" t="s">
        <v>397</v>
      </c>
      <c r="D105" s="89">
        <f>VLOOKUP(C105,基本字段定义!$B$3:$C$3008,2,FALSE)</f>
        <v>815</v>
      </c>
      <c r="E105" s="88" t="s">
        <v>398</v>
      </c>
      <c r="F105" s="89"/>
      <c r="G105" s="90" t="s">
        <v>399</v>
      </c>
    </row>
    <row r="106" spans="2:7">
      <c r="B106" s="268"/>
      <c r="C106" s="71" t="s">
        <v>400</v>
      </c>
      <c r="D106" s="79">
        <f>VLOOKUP(C106,基本字段定义!$B$3:$C$3008,2,FALSE)</f>
        <v>1191</v>
      </c>
      <c r="E106" s="73" t="s">
        <v>339</v>
      </c>
      <c r="F106" s="79"/>
      <c r="G106" s="74" t="s">
        <v>401</v>
      </c>
    </row>
    <row r="108" spans="2:7">
      <c r="B108" s="53" t="s">
        <v>146</v>
      </c>
      <c r="C108" s="295">
        <v>190101</v>
      </c>
      <c r="D108" s="296"/>
      <c r="E108" s="297"/>
      <c r="F108" s="54" t="s">
        <v>326</v>
      </c>
      <c r="G108" s="55"/>
    </row>
    <row r="109" spans="2:7">
      <c r="B109" s="56" t="s">
        <v>327</v>
      </c>
      <c r="C109" s="292" t="str">
        <f>VLOOKUP(C108,功能索引!$C$3:$D$269,2,FALSE)</f>
        <v>交易密码效验</v>
      </c>
      <c r="D109" s="293"/>
      <c r="E109" s="294"/>
      <c r="F109" s="57" t="s">
        <v>148</v>
      </c>
      <c r="G109" s="58">
        <f>VLOOKUP(C108,功能索引!$C$3:$E327,3,FALSE)</f>
        <v>0</v>
      </c>
    </row>
    <row r="110" spans="2:7" ht="13.5" customHeight="1">
      <c r="B110" s="266" t="s">
        <v>328</v>
      </c>
      <c r="C110" s="276"/>
      <c r="D110" s="277"/>
      <c r="E110" s="277"/>
      <c r="F110" s="277"/>
      <c r="G110" s="278"/>
    </row>
    <row r="111" spans="2:7">
      <c r="B111" s="268"/>
      <c r="C111" s="279"/>
      <c r="D111" s="280"/>
      <c r="E111" s="280"/>
      <c r="F111" s="280"/>
      <c r="G111" s="281"/>
    </row>
    <row r="112" spans="2:7">
      <c r="B112" s="287" t="s">
        <v>329</v>
      </c>
      <c r="C112" s="54" t="s">
        <v>330</v>
      </c>
      <c r="D112" s="54" t="s">
        <v>331</v>
      </c>
      <c r="E112" s="54" t="s">
        <v>332</v>
      </c>
      <c r="F112" s="54" t="s">
        <v>333</v>
      </c>
      <c r="G112" s="75" t="s">
        <v>334</v>
      </c>
    </row>
    <row r="113" spans="2:7">
      <c r="B113" s="267"/>
      <c r="C113" s="61" t="s">
        <v>402</v>
      </c>
      <c r="D113" s="62">
        <f>VLOOKUP(C113,基本字段定义!$B$3:$C$3008,2,FALSE)</f>
        <v>605</v>
      </c>
      <c r="E113" s="63" t="s">
        <v>403</v>
      </c>
      <c r="F113" s="272" t="s">
        <v>152</v>
      </c>
      <c r="G113" s="76" t="s">
        <v>404</v>
      </c>
    </row>
    <row r="114" spans="2:7">
      <c r="B114" s="267"/>
      <c r="C114" s="61" t="s">
        <v>405</v>
      </c>
      <c r="D114" s="62">
        <f>VLOOKUP(C114,基本字段定义!$B$3:$C$3008,2,FALSE)</f>
        <v>571</v>
      </c>
      <c r="E114" s="63" t="s">
        <v>406</v>
      </c>
      <c r="F114" s="273"/>
      <c r="G114" s="76" t="s">
        <v>407</v>
      </c>
    </row>
    <row r="115" spans="2:7">
      <c r="B115" s="267"/>
      <c r="C115" s="61" t="s">
        <v>361</v>
      </c>
      <c r="D115" s="62">
        <f>VLOOKUP(C115,基本字段定义!$B$3:$C$3008,2,FALSE)</f>
        <v>599</v>
      </c>
      <c r="E115" s="63" t="s">
        <v>362</v>
      </c>
      <c r="F115" s="273"/>
      <c r="G115" s="76" t="s">
        <v>363</v>
      </c>
    </row>
    <row r="116" spans="2:7">
      <c r="B116" s="267"/>
      <c r="C116" s="61" t="s">
        <v>408</v>
      </c>
      <c r="D116" s="62">
        <f>VLOOKUP(C116,基本字段定义!$B$3:$C$3008,2,FALSE)</f>
        <v>1778</v>
      </c>
      <c r="E116" s="63" t="s">
        <v>409</v>
      </c>
      <c r="F116" s="274"/>
      <c r="G116" s="76" t="s">
        <v>410</v>
      </c>
    </row>
    <row r="117" spans="2:7">
      <c r="B117" s="267"/>
      <c r="C117" s="61" t="s">
        <v>411</v>
      </c>
      <c r="D117" s="62">
        <f>VLOOKUP(C117,基本字段定义!$B$3:$C$3008,2,FALSE)</f>
        <v>598</v>
      </c>
      <c r="E117" s="63" t="s">
        <v>412</v>
      </c>
      <c r="F117" s="63" t="s">
        <v>152</v>
      </c>
      <c r="G117" s="76" t="s">
        <v>413</v>
      </c>
    </row>
    <row r="118" spans="2:7">
      <c r="B118" s="286"/>
      <c r="C118" s="61" t="s">
        <v>414</v>
      </c>
      <c r="D118" s="62">
        <f>VLOOKUP(C118,基本字段定义!$B$3:$C$3008,2,FALSE)</f>
        <v>781</v>
      </c>
      <c r="E118" s="63" t="s">
        <v>337</v>
      </c>
      <c r="F118" s="63" t="s">
        <v>152</v>
      </c>
      <c r="G118" s="76" t="s">
        <v>415</v>
      </c>
    </row>
    <row r="119" spans="2:7">
      <c r="B119" s="269" t="s">
        <v>335</v>
      </c>
      <c r="C119" s="65" t="s">
        <v>336</v>
      </c>
      <c r="D119" s="66">
        <f>VLOOKUP(C119,基本字段定义!$B$3:$C$3008,2,FALSE)</f>
        <v>507</v>
      </c>
      <c r="E119" s="67" t="s">
        <v>337</v>
      </c>
      <c r="F119" s="67"/>
      <c r="G119" s="68"/>
    </row>
    <row r="120" spans="2:7">
      <c r="B120" s="269"/>
      <c r="C120" s="65" t="s">
        <v>338</v>
      </c>
      <c r="D120" s="66">
        <f>VLOOKUP(C120,基本字段定义!$B$3:$C$3008,2,FALSE)</f>
        <v>508</v>
      </c>
      <c r="E120" s="67" t="s">
        <v>339</v>
      </c>
      <c r="F120" s="67"/>
      <c r="G120" s="69"/>
    </row>
    <row r="121" spans="2:7">
      <c r="B121" s="269"/>
      <c r="C121" s="65" t="s">
        <v>405</v>
      </c>
      <c r="D121" s="66">
        <f>VLOOKUP(C121,基本字段定义!$B$3:$C$3008,2,FALSE)</f>
        <v>571</v>
      </c>
      <c r="E121" s="67" t="s">
        <v>339</v>
      </c>
      <c r="F121" s="67"/>
      <c r="G121" s="69" t="s">
        <v>416</v>
      </c>
    </row>
    <row r="122" spans="2:7">
      <c r="B122" s="269"/>
      <c r="C122" s="65" t="s">
        <v>361</v>
      </c>
      <c r="D122" s="66">
        <f>VLOOKUP(C122,基本字段定义!$B$3:$C$3008,2,FALSE)</f>
        <v>599</v>
      </c>
      <c r="E122" s="67" t="s">
        <v>339</v>
      </c>
      <c r="F122" s="67"/>
      <c r="G122" s="69" t="s">
        <v>363</v>
      </c>
    </row>
    <row r="123" spans="2:7">
      <c r="B123" s="269"/>
      <c r="C123" s="65" t="s">
        <v>402</v>
      </c>
      <c r="D123" s="66">
        <f>VLOOKUP(C123,基本字段定义!$B$3:$C$3008,2,FALSE)</f>
        <v>605</v>
      </c>
      <c r="E123" s="67" t="s">
        <v>339</v>
      </c>
      <c r="F123" s="67"/>
      <c r="G123" s="69" t="s">
        <v>404</v>
      </c>
    </row>
    <row r="124" spans="2:7">
      <c r="B124" s="269"/>
      <c r="C124" s="65" t="s">
        <v>417</v>
      </c>
      <c r="D124" s="66">
        <f>VLOOKUP(C124,基本字段定义!$B$3:$C$3008,2,FALSE)</f>
        <v>610</v>
      </c>
      <c r="E124" s="67" t="s">
        <v>339</v>
      </c>
      <c r="F124" s="67"/>
      <c r="G124" s="69" t="s">
        <v>418</v>
      </c>
    </row>
    <row r="125" spans="2:7">
      <c r="B125" s="269"/>
      <c r="C125" s="65" t="s">
        <v>373</v>
      </c>
      <c r="D125" s="66">
        <f>VLOOKUP(C125,基本字段定义!$B$3:$C$3008,2,FALSE)</f>
        <v>697</v>
      </c>
      <c r="E125" s="67" t="s">
        <v>339</v>
      </c>
      <c r="F125" s="67"/>
      <c r="G125" s="69" t="s">
        <v>374</v>
      </c>
    </row>
    <row r="126" spans="2:7">
      <c r="B126" s="269"/>
      <c r="C126" s="65" t="s">
        <v>342</v>
      </c>
      <c r="D126" s="66">
        <f>VLOOKUP(C126,基本字段定义!$B$3:$C$3008,2,FALSE)</f>
        <v>1555</v>
      </c>
      <c r="E126" s="67" t="s">
        <v>337</v>
      </c>
      <c r="F126" s="67"/>
      <c r="G126" s="69" t="s">
        <v>419</v>
      </c>
    </row>
    <row r="127" spans="2:7">
      <c r="B127" s="269"/>
      <c r="C127" s="65" t="s">
        <v>420</v>
      </c>
      <c r="D127" s="66">
        <f>VLOOKUP(C127,基本字段定义!$B$3:$C$3008,2,FALSE)</f>
        <v>613</v>
      </c>
      <c r="E127" s="67" t="s">
        <v>339</v>
      </c>
      <c r="F127" s="67"/>
      <c r="G127" s="69" t="s">
        <v>421</v>
      </c>
    </row>
    <row r="128" spans="2:7">
      <c r="B128" s="269"/>
      <c r="C128" s="65" t="s">
        <v>422</v>
      </c>
      <c r="D128" s="66">
        <f>VLOOKUP(C128,基本字段定义!$B$3:$C$3008,2,FALSE)</f>
        <v>9107</v>
      </c>
      <c r="E128" s="67" t="s">
        <v>337</v>
      </c>
      <c r="F128" s="67"/>
      <c r="G128" s="69" t="s">
        <v>423</v>
      </c>
    </row>
    <row r="129" spans="2:7">
      <c r="B129" s="269"/>
      <c r="C129" s="65" t="s">
        <v>424</v>
      </c>
      <c r="D129" s="66">
        <f>VLOOKUP(C129,基本字段定义!$B$3:$C$3008,2,FALSE)</f>
        <v>1780</v>
      </c>
      <c r="E129" s="67" t="s">
        <v>339</v>
      </c>
      <c r="F129" s="67"/>
      <c r="G129" s="69" t="s">
        <v>425</v>
      </c>
    </row>
    <row r="130" spans="2:7">
      <c r="B130" s="270"/>
      <c r="C130" s="71"/>
      <c r="D130" s="79"/>
      <c r="E130" s="73"/>
      <c r="F130" s="73"/>
      <c r="G130" s="74"/>
    </row>
    <row r="132" spans="2:7">
      <c r="B132" s="53" t="s">
        <v>146</v>
      </c>
      <c r="C132" s="291">
        <v>190102</v>
      </c>
      <c r="D132" s="291"/>
      <c r="E132" s="291"/>
      <c r="F132" s="54" t="s">
        <v>326</v>
      </c>
      <c r="G132" s="55"/>
    </row>
    <row r="133" spans="2:7">
      <c r="B133" s="56" t="s">
        <v>327</v>
      </c>
      <c r="C133" s="290" t="str">
        <f>VLOOKUP(C132,功能索引!$C$3:$D$269,2,FALSE)</f>
        <v>资金密码效验</v>
      </c>
      <c r="D133" s="290"/>
      <c r="E133" s="290"/>
      <c r="F133" s="57" t="s">
        <v>148</v>
      </c>
      <c r="G133" s="58">
        <f>VLOOKUP(C132,功能索引!$C$3:$E358,3,FALSE)</f>
        <v>0</v>
      </c>
    </row>
    <row r="134" spans="2:7">
      <c r="B134" s="269" t="s">
        <v>328</v>
      </c>
      <c r="C134" s="282"/>
      <c r="D134" s="282"/>
      <c r="E134" s="282"/>
      <c r="F134" s="282"/>
      <c r="G134" s="283"/>
    </row>
    <row r="135" spans="2:7">
      <c r="B135" s="270"/>
      <c r="C135" s="284"/>
      <c r="D135" s="284"/>
      <c r="E135" s="284"/>
      <c r="F135" s="284"/>
      <c r="G135" s="285"/>
    </row>
    <row r="136" spans="2:7">
      <c r="B136" s="271" t="s">
        <v>329</v>
      </c>
      <c r="C136" s="54" t="s">
        <v>330</v>
      </c>
      <c r="D136" s="54" t="s">
        <v>331</v>
      </c>
      <c r="E136" s="54" t="s">
        <v>332</v>
      </c>
      <c r="F136" s="54" t="s">
        <v>333</v>
      </c>
      <c r="G136" s="60" t="s">
        <v>334</v>
      </c>
    </row>
    <row r="137" spans="2:7">
      <c r="B137" s="269"/>
      <c r="C137" s="61" t="s">
        <v>402</v>
      </c>
      <c r="D137" s="62">
        <f>VLOOKUP(C137,基本字段定义!$B$3:$C$3008,2,FALSE)</f>
        <v>605</v>
      </c>
      <c r="E137" s="63" t="s">
        <v>403</v>
      </c>
      <c r="F137" s="63" t="s">
        <v>152</v>
      </c>
      <c r="G137" s="64" t="s">
        <v>404</v>
      </c>
    </row>
    <row r="138" spans="2:7">
      <c r="B138" s="269"/>
      <c r="C138" s="61" t="s">
        <v>426</v>
      </c>
      <c r="D138" s="62">
        <f>VLOOKUP(C138,基本字段定义!$B$3:$C$3008,2,FALSE)</f>
        <v>714</v>
      </c>
      <c r="E138" s="63" t="s">
        <v>412</v>
      </c>
      <c r="F138" s="63" t="s">
        <v>152</v>
      </c>
      <c r="G138" s="64" t="s">
        <v>413</v>
      </c>
    </row>
    <row r="139" spans="2:7">
      <c r="B139" s="269"/>
      <c r="C139" s="61" t="s">
        <v>414</v>
      </c>
      <c r="D139" s="62">
        <f>VLOOKUP(C139,基本字段定义!$B$3:$C$3008,2,FALSE)</f>
        <v>781</v>
      </c>
      <c r="E139" s="63" t="s">
        <v>337</v>
      </c>
      <c r="F139" s="63" t="s">
        <v>152</v>
      </c>
      <c r="G139" s="64" t="s">
        <v>415</v>
      </c>
    </row>
    <row r="140" spans="2:7">
      <c r="B140" s="269" t="s">
        <v>335</v>
      </c>
      <c r="C140" s="65" t="s">
        <v>336</v>
      </c>
      <c r="D140" s="66">
        <f>VLOOKUP(C140,基本字段定义!$B$3:$C$3008,2,FALSE)</f>
        <v>507</v>
      </c>
      <c r="E140" s="67" t="s">
        <v>337</v>
      </c>
      <c r="F140" s="67"/>
      <c r="G140" s="68"/>
    </row>
    <row r="141" spans="2:7">
      <c r="B141" s="269"/>
      <c r="C141" s="65" t="s">
        <v>338</v>
      </c>
      <c r="D141" s="66">
        <f>VLOOKUP(C141,基本字段定义!$B$3:$C$3008,2,FALSE)</f>
        <v>508</v>
      </c>
      <c r="E141" s="67" t="s">
        <v>339</v>
      </c>
      <c r="F141" s="67"/>
      <c r="G141" s="69"/>
    </row>
    <row r="142" spans="2:7">
      <c r="B142" s="270"/>
      <c r="C142" s="71"/>
      <c r="D142" s="79"/>
      <c r="E142" s="73"/>
      <c r="F142" s="73"/>
      <c r="G142" s="74"/>
    </row>
    <row r="144" spans="2:7">
      <c r="B144" s="53" t="s">
        <v>146</v>
      </c>
      <c r="C144" s="291">
        <v>202010</v>
      </c>
      <c r="D144" s="291"/>
      <c r="E144" s="291"/>
      <c r="F144" s="54" t="s">
        <v>326</v>
      </c>
      <c r="G144" s="55"/>
    </row>
    <row r="145" spans="2:7">
      <c r="B145" s="56" t="s">
        <v>327</v>
      </c>
      <c r="C145" s="290" t="str">
        <f>VLOOKUP(C144,功能索引!$C$3:$D$269,2,FALSE)</f>
        <v>交易密码修改</v>
      </c>
      <c r="D145" s="290"/>
      <c r="E145" s="290"/>
      <c r="F145" s="57" t="s">
        <v>148</v>
      </c>
      <c r="G145" s="58">
        <f>VLOOKUP(C144,功能索引!$C$3:$E381,3,FALSE)</f>
        <v>0</v>
      </c>
    </row>
    <row r="146" spans="2:7">
      <c r="B146" s="269" t="s">
        <v>328</v>
      </c>
      <c r="C146" s="282"/>
      <c r="D146" s="282"/>
      <c r="E146" s="282"/>
      <c r="F146" s="282"/>
      <c r="G146" s="283"/>
    </row>
    <row r="147" spans="2:7">
      <c r="B147" s="270"/>
      <c r="C147" s="284"/>
      <c r="D147" s="284"/>
      <c r="E147" s="284"/>
      <c r="F147" s="284"/>
      <c r="G147" s="285"/>
    </row>
    <row r="148" spans="2:7">
      <c r="B148" s="271" t="s">
        <v>329</v>
      </c>
      <c r="C148" s="54" t="s">
        <v>330</v>
      </c>
      <c r="D148" s="54" t="s">
        <v>331</v>
      </c>
      <c r="E148" s="54" t="s">
        <v>332</v>
      </c>
      <c r="F148" s="54" t="s">
        <v>333</v>
      </c>
      <c r="G148" s="60" t="s">
        <v>334</v>
      </c>
    </row>
    <row r="149" spans="2:7">
      <c r="B149" s="269"/>
      <c r="C149" s="61" t="s">
        <v>402</v>
      </c>
      <c r="D149" s="62">
        <f>VLOOKUP(C149,基本字段定义!$B$3:$C$3008,2,FALSE)</f>
        <v>605</v>
      </c>
      <c r="E149" s="63" t="s">
        <v>403</v>
      </c>
      <c r="F149" s="63" t="s">
        <v>152</v>
      </c>
      <c r="G149" s="64" t="s">
        <v>404</v>
      </c>
    </row>
    <row r="150" spans="2:7">
      <c r="B150" s="269"/>
      <c r="C150" s="61" t="s">
        <v>427</v>
      </c>
      <c r="D150" s="62">
        <f>VLOOKUP(C150,基本字段定义!$B$3:$C$3008,2,FALSE)</f>
        <v>631</v>
      </c>
      <c r="E150" s="63" t="s">
        <v>412</v>
      </c>
      <c r="F150" s="63" t="s">
        <v>152</v>
      </c>
      <c r="G150" s="64" t="s">
        <v>428</v>
      </c>
    </row>
    <row r="151" spans="2:7">
      <c r="B151" s="269"/>
      <c r="C151" s="61" t="s">
        <v>429</v>
      </c>
      <c r="D151" s="62">
        <f>VLOOKUP(C151,基本字段定义!$B$3:$C$3008,2,FALSE)</f>
        <v>640</v>
      </c>
      <c r="E151" s="63" t="s">
        <v>412</v>
      </c>
      <c r="F151" s="63" t="s">
        <v>152</v>
      </c>
      <c r="G151" s="64" t="s">
        <v>430</v>
      </c>
    </row>
    <row r="152" spans="2:7">
      <c r="B152" s="269"/>
      <c r="C152" s="61" t="s">
        <v>414</v>
      </c>
      <c r="D152" s="62">
        <f>VLOOKUP(C152,基本字段定义!$B$3:$C$3008,2,FALSE)</f>
        <v>781</v>
      </c>
      <c r="E152" s="63" t="s">
        <v>337</v>
      </c>
      <c r="F152" s="63" t="s">
        <v>152</v>
      </c>
      <c r="G152" s="64" t="s">
        <v>415</v>
      </c>
    </row>
    <row r="153" spans="2:7">
      <c r="B153" s="269" t="s">
        <v>335</v>
      </c>
      <c r="C153" s="65" t="s">
        <v>336</v>
      </c>
      <c r="D153" s="66">
        <f>VLOOKUP(C153,基本字段定义!$B$3:$C$3008,2,FALSE)</f>
        <v>507</v>
      </c>
      <c r="E153" s="67" t="s">
        <v>337</v>
      </c>
      <c r="F153" s="67"/>
      <c r="G153" s="68"/>
    </row>
    <row r="154" spans="2:7">
      <c r="B154" s="269"/>
      <c r="C154" s="65" t="s">
        <v>338</v>
      </c>
      <c r="D154" s="66">
        <f>VLOOKUP(C154,基本字段定义!$B$3:$C$3008,2,FALSE)</f>
        <v>508</v>
      </c>
      <c r="E154" s="67" t="s">
        <v>339</v>
      </c>
      <c r="F154" s="67"/>
      <c r="G154" s="69"/>
    </row>
    <row r="155" spans="2:7">
      <c r="B155" s="270"/>
      <c r="C155" s="71"/>
      <c r="D155" s="79"/>
      <c r="E155" s="73"/>
      <c r="F155" s="73"/>
      <c r="G155" s="74"/>
    </row>
    <row r="157" spans="2:7">
      <c r="B157" s="53" t="s">
        <v>146</v>
      </c>
      <c r="C157" s="291">
        <v>202012</v>
      </c>
      <c r="D157" s="291"/>
      <c r="E157" s="291"/>
      <c r="F157" s="54" t="s">
        <v>326</v>
      </c>
      <c r="G157" s="55"/>
    </row>
    <row r="158" spans="2:7">
      <c r="B158" s="56" t="s">
        <v>327</v>
      </c>
      <c r="C158" s="290" t="str">
        <f>VLOOKUP(C157,功能索引!$C$3:$D$269,2,FALSE)</f>
        <v>资金密码修改</v>
      </c>
      <c r="D158" s="290"/>
      <c r="E158" s="290"/>
      <c r="F158" s="57" t="s">
        <v>148</v>
      </c>
      <c r="G158" s="58">
        <f>VLOOKUP(C157,功能索引!$C$3:$E400,3,FALSE)</f>
        <v>0</v>
      </c>
    </row>
    <row r="159" spans="2:7">
      <c r="B159" s="269" t="s">
        <v>328</v>
      </c>
      <c r="C159" s="282"/>
      <c r="D159" s="282"/>
      <c r="E159" s="282"/>
      <c r="F159" s="282"/>
      <c r="G159" s="283"/>
    </row>
    <row r="160" spans="2:7">
      <c r="B160" s="270"/>
      <c r="C160" s="284"/>
      <c r="D160" s="284"/>
      <c r="E160" s="284"/>
      <c r="F160" s="284"/>
      <c r="G160" s="285"/>
    </row>
    <row r="161" spans="2:7">
      <c r="B161" s="271" t="s">
        <v>329</v>
      </c>
      <c r="C161" s="54" t="s">
        <v>330</v>
      </c>
      <c r="D161" s="54" t="s">
        <v>331</v>
      </c>
      <c r="E161" s="54" t="s">
        <v>332</v>
      </c>
      <c r="F161" s="54" t="s">
        <v>333</v>
      </c>
      <c r="G161" s="60" t="s">
        <v>334</v>
      </c>
    </row>
    <row r="162" spans="2:7">
      <c r="B162" s="269"/>
      <c r="C162" s="61" t="s">
        <v>402</v>
      </c>
      <c r="D162" s="62">
        <f>VLOOKUP(C162,基本字段定义!$B$3:$C$3008,2,FALSE)</f>
        <v>605</v>
      </c>
      <c r="E162" s="63" t="s">
        <v>403</v>
      </c>
      <c r="F162" s="63" t="s">
        <v>152</v>
      </c>
      <c r="G162" s="64" t="s">
        <v>404</v>
      </c>
    </row>
    <row r="163" spans="2:7">
      <c r="B163" s="269"/>
      <c r="C163" s="61" t="s">
        <v>427</v>
      </c>
      <c r="D163" s="62">
        <f>VLOOKUP(C163,基本字段定义!$B$3:$C$3008,2,FALSE)</f>
        <v>631</v>
      </c>
      <c r="E163" s="63" t="s">
        <v>412</v>
      </c>
      <c r="F163" s="63" t="s">
        <v>152</v>
      </c>
      <c r="G163" s="64" t="s">
        <v>428</v>
      </c>
    </row>
    <row r="164" spans="2:7">
      <c r="B164" s="269"/>
      <c r="C164" s="61" t="s">
        <v>429</v>
      </c>
      <c r="D164" s="62">
        <f>VLOOKUP(C164,基本字段定义!$B$3:$C$3008,2,FALSE)</f>
        <v>640</v>
      </c>
      <c r="E164" s="63" t="s">
        <v>412</v>
      </c>
      <c r="F164" s="63" t="s">
        <v>152</v>
      </c>
      <c r="G164" s="64" t="s">
        <v>430</v>
      </c>
    </row>
    <row r="165" spans="2:7">
      <c r="B165" s="269"/>
      <c r="C165" s="61" t="s">
        <v>414</v>
      </c>
      <c r="D165" s="62">
        <f>VLOOKUP(C165,基本字段定义!$B$3:$C$3008,2,FALSE)</f>
        <v>781</v>
      </c>
      <c r="E165" s="63" t="s">
        <v>337</v>
      </c>
      <c r="F165" s="63" t="s">
        <v>152</v>
      </c>
      <c r="G165" s="64" t="s">
        <v>415</v>
      </c>
    </row>
    <row r="166" spans="2:7">
      <c r="B166" s="269" t="s">
        <v>335</v>
      </c>
      <c r="C166" s="65" t="s">
        <v>336</v>
      </c>
      <c r="D166" s="66">
        <f>VLOOKUP(C166,基本字段定义!$B$3:$C$3008,2,FALSE)</f>
        <v>507</v>
      </c>
      <c r="E166" s="67" t="s">
        <v>337</v>
      </c>
      <c r="F166" s="67"/>
      <c r="G166" s="68"/>
    </row>
    <row r="167" spans="2:7">
      <c r="B167" s="269"/>
      <c r="C167" s="65" t="s">
        <v>338</v>
      </c>
      <c r="D167" s="66">
        <f>VLOOKUP(C167,基本字段定义!$B$3:$C$3008,2,FALSE)</f>
        <v>508</v>
      </c>
      <c r="E167" s="67" t="s">
        <v>339</v>
      </c>
      <c r="F167" s="67"/>
      <c r="G167" s="69" t="s">
        <v>431</v>
      </c>
    </row>
    <row r="168" spans="2:7">
      <c r="B168" s="270"/>
      <c r="C168" s="71"/>
      <c r="D168" s="79"/>
      <c r="E168" s="73"/>
      <c r="F168" s="73"/>
      <c r="G168" s="74"/>
    </row>
    <row r="170" spans="2:7">
      <c r="B170" s="53" t="s">
        <v>146</v>
      </c>
      <c r="C170" s="291">
        <v>302001</v>
      </c>
      <c r="D170" s="291"/>
      <c r="E170" s="291"/>
      <c r="F170" s="54" t="s">
        <v>326</v>
      </c>
      <c r="G170" s="55"/>
    </row>
    <row r="171" spans="2:7">
      <c r="B171" s="56" t="s">
        <v>327</v>
      </c>
      <c r="C171" s="290" t="str">
        <f>VLOOKUP(C170,功能索引!$C$3:$D$269,2,FALSE)</f>
        <v>客户基本信息查询</v>
      </c>
      <c r="D171" s="290"/>
      <c r="E171" s="290"/>
      <c r="F171" s="57" t="s">
        <v>148</v>
      </c>
      <c r="G171" s="58">
        <f>VLOOKUP(C170,功能索引!$C$3:$E418,3,FALSE)</f>
        <v>0</v>
      </c>
    </row>
    <row r="172" spans="2:7">
      <c r="B172" s="269" t="s">
        <v>328</v>
      </c>
      <c r="C172" s="282"/>
      <c r="D172" s="282"/>
      <c r="E172" s="282"/>
      <c r="F172" s="282"/>
      <c r="G172" s="283"/>
    </row>
    <row r="173" spans="2:7">
      <c r="B173" s="270"/>
      <c r="C173" s="284"/>
      <c r="D173" s="284"/>
      <c r="E173" s="284"/>
      <c r="F173" s="284"/>
      <c r="G173" s="285"/>
    </row>
    <row r="174" spans="2:7">
      <c r="B174" s="271" t="s">
        <v>329</v>
      </c>
      <c r="C174" s="54" t="s">
        <v>330</v>
      </c>
      <c r="D174" s="54" t="s">
        <v>331</v>
      </c>
      <c r="E174" s="54" t="s">
        <v>332</v>
      </c>
      <c r="F174" s="54" t="s">
        <v>333</v>
      </c>
      <c r="G174" s="60" t="s">
        <v>334</v>
      </c>
    </row>
    <row r="175" spans="2:7">
      <c r="B175" s="269"/>
      <c r="C175" s="61" t="s">
        <v>402</v>
      </c>
      <c r="D175" s="62">
        <f>VLOOKUP(C175,基本字段定义!$B$3:$C$3008,2,FALSE)</f>
        <v>605</v>
      </c>
      <c r="E175" s="63" t="s">
        <v>403</v>
      </c>
      <c r="F175" s="63" t="s">
        <v>152</v>
      </c>
      <c r="G175" s="64" t="s">
        <v>404</v>
      </c>
    </row>
    <row r="176" spans="2:7">
      <c r="B176" s="269"/>
      <c r="C176" s="61" t="s">
        <v>432</v>
      </c>
      <c r="D176" s="62">
        <f>VLOOKUP(C176,基本字段定义!$B$3:$C$3008,2,FALSE)</f>
        <v>988</v>
      </c>
      <c r="E176" s="63" t="s">
        <v>337</v>
      </c>
      <c r="F176" s="63"/>
      <c r="G176" s="64" t="s">
        <v>433</v>
      </c>
    </row>
    <row r="177" spans="2:7">
      <c r="B177" s="266" t="s">
        <v>335</v>
      </c>
      <c r="C177" s="65" t="s">
        <v>336</v>
      </c>
      <c r="D177" s="66">
        <f>VLOOKUP(C177,基本字段定义!$B$3:$C$3008,2,FALSE)</f>
        <v>507</v>
      </c>
      <c r="E177" s="67" t="s">
        <v>337</v>
      </c>
      <c r="F177" s="67"/>
      <c r="G177" s="69" t="s">
        <v>434</v>
      </c>
    </row>
    <row r="178" spans="2:7">
      <c r="B178" s="267"/>
      <c r="C178" s="65" t="s">
        <v>338</v>
      </c>
      <c r="D178" s="66">
        <f>VLOOKUP(C178,基本字段定义!$B$3:$C$3008,2,FALSE)</f>
        <v>508</v>
      </c>
      <c r="E178" s="67" t="s">
        <v>339</v>
      </c>
      <c r="F178" s="67"/>
      <c r="G178" s="69"/>
    </row>
    <row r="179" spans="2:7">
      <c r="B179" s="267"/>
      <c r="C179" s="65" t="s">
        <v>435</v>
      </c>
      <c r="D179" s="66">
        <f>VLOOKUP(C179,基本字段定义!$B$3:$C$3008,2,FALSE)</f>
        <v>570</v>
      </c>
      <c r="E179" s="67" t="s">
        <v>337</v>
      </c>
      <c r="F179" s="67"/>
      <c r="G179" s="69" t="s">
        <v>436</v>
      </c>
    </row>
    <row r="180" spans="2:7">
      <c r="B180" s="267"/>
      <c r="C180" s="65" t="s">
        <v>437</v>
      </c>
      <c r="D180" s="66">
        <f>VLOOKUP(C180,基本字段定义!$B$3:$C$3008,2,FALSE)</f>
        <v>680</v>
      </c>
      <c r="E180" s="67" t="s">
        <v>337</v>
      </c>
      <c r="F180" s="67"/>
      <c r="G180" s="77" t="s">
        <v>438</v>
      </c>
    </row>
    <row r="181" spans="2:7">
      <c r="B181" s="267"/>
      <c r="C181" s="65" t="s">
        <v>439</v>
      </c>
      <c r="D181" s="66">
        <f>VLOOKUP(C181,基本字段定义!$B$3:$C$3008,2,FALSE)</f>
        <v>711</v>
      </c>
      <c r="E181" s="67" t="s">
        <v>339</v>
      </c>
      <c r="F181" s="67"/>
      <c r="G181" s="69" t="s">
        <v>440</v>
      </c>
    </row>
    <row r="182" spans="2:7">
      <c r="B182" s="267"/>
      <c r="C182" s="65" t="s">
        <v>373</v>
      </c>
      <c r="D182" s="66">
        <f>VLOOKUP(C182,基本字段定义!$B$3:$C$3008,2,FALSE)</f>
        <v>697</v>
      </c>
      <c r="E182" s="67" t="s">
        <v>339</v>
      </c>
      <c r="F182" s="67"/>
      <c r="G182" s="69" t="s">
        <v>374</v>
      </c>
    </row>
    <row r="183" spans="2:7">
      <c r="B183" s="267"/>
      <c r="C183" s="65" t="s">
        <v>417</v>
      </c>
      <c r="D183" s="66">
        <f>VLOOKUP(C183,基本字段定义!$B$3:$C$3008,2,FALSE)</f>
        <v>610</v>
      </c>
      <c r="E183" s="67" t="s">
        <v>339</v>
      </c>
      <c r="F183" s="67"/>
      <c r="G183" s="69" t="s">
        <v>418</v>
      </c>
    </row>
    <row r="184" spans="2:7">
      <c r="B184" s="267"/>
      <c r="C184" s="65" t="s">
        <v>408</v>
      </c>
      <c r="D184" s="66">
        <f>VLOOKUP(C184,基本字段定义!$B$3:$C$3008,2,FALSE)</f>
        <v>1778</v>
      </c>
      <c r="E184" s="67" t="s">
        <v>339</v>
      </c>
      <c r="F184" s="67"/>
      <c r="G184" s="69" t="s">
        <v>441</v>
      </c>
    </row>
    <row r="185" spans="2:7">
      <c r="B185" s="267"/>
      <c r="C185" s="65" t="s">
        <v>420</v>
      </c>
      <c r="D185" s="66">
        <f>VLOOKUP(C185,基本字段定义!$B$3:$C$3008,2,FALSE)</f>
        <v>613</v>
      </c>
      <c r="E185" s="67" t="s">
        <v>339</v>
      </c>
      <c r="F185" s="67"/>
      <c r="G185" s="69" t="s">
        <v>421</v>
      </c>
    </row>
    <row r="186" spans="2:7">
      <c r="B186" s="267"/>
      <c r="C186" s="65" t="s">
        <v>422</v>
      </c>
      <c r="D186" s="66">
        <f>VLOOKUP(C186,基本字段定义!$B$3:$C$3008,2,FALSE)</f>
        <v>9107</v>
      </c>
      <c r="E186" s="67" t="s">
        <v>337</v>
      </c>
      <c r="F186" s="67"/>
      <c r="G186" s="69" t="s">
        <v>442</v>
      </c>
    </row>
    <row r="187" spans="2:7">
      <c r="B187" s="267"/>
      <c r="C187" s="65" t="s">
        <v>424</v>
      </c>
      <c r="D187" s="66">
        <f>VLOOKUP(C187,基本字段定义!$B$3:$C$3008,2,FALSE)</f>
        <v>1780</v>
      </c>
      <c r="E187" s="67" t="s">
        <v>337</v>
      </c>
      <c r="F187" s="67"/>
      <c r="G187" s="69" t="s">
        <v>443</v>
      </c>
    </row>
    <row r="188" spans="2:7">
      <c r="B188" s="267"/>
      <c r="C188" s="65" t="s">
        <v>444</v>
      </c>
      <c r="D188" s="66">
        <f>VLOOKUP(C188,基本字段定义!$B$3:$C$3008,2,FALSE)</f>
        <v>1777</v>
      </c>
      <c r="E188" s="67" t="s">
        <v>337</v>
      </c>
      <c r="F188" s="67"/>
      <c r="G188" s="69" t="s">
        <v>445</v>
      </c>
    </row>
    <row r="189" spans="2:7">
      <c r="B189" s="267"/>
      <c r="C189" s="65" t="s">
        <v>446</v>
      </c>
      <c r="D189" s="66">
        <f>VLOOKUP(C189,基本字段定义!$B$3:$C$3008,2,FALSE)</f>
        <v>550</v>
      </c>
      <c r="E189" s="67" t="s">
        <v>339</v>
      </c>
      <c r="F189" s="67"/>
      <c r="G189" s="69" t="s">
        <v>447</v>
      </c>
    </row>
    <row r="190" spans="2:7">
      <c r="B190" s="267"/>
      <c r="C190" s="65" t="s">
        <v>448</v>
      </c>
      <c r="D190" s="66">
        <f>VLOOKUP(C190,基本字段定义!$B$3:$C$3008,2,FALSE)</f>
        <v>532</v>
      </c>
      <c r="E190" s="67" t="s">
        <v>339</v>
      </c>
      <c r="F190" s="67"/>
      <c r="G190" s="69" t="s">
        <v>449</v>
      </c>
    </row>
    <row r="191" spans="2:7">
      <c r="B191" s="267"/>
      <c r="C191" s="65" t="s">
        <v>450</v>
      </c>
      <c r="D191" s="66">
        <f>VLOOKUP(C191,基本字段定义!$B$3:$C$3008,2,FALSE)</f>
        <v>796</v>
      </c>
      <c r="E191" s="67" t="s">
        <v>339</v>
      </c>
      <c r="F191" s="67"/>
      <c r="G191" s="69" t="s">
        <v>451</v>
      </c>
    </row>
    <row r="192" spans="2:7">
      <c r="B192" s="267"/>
      <c r="C192" s="65" t="s">
        <v>452</v>
      </c>
      <c r="D192" s="66">
        <f>VLOOKUP(C192,基本字段定义!$B$3:$C$3008,2,FALSE)</f>
        <v>552</v>
      </c>
      <c r="E192" s="67" t="s">
        <v>339</v>
      </c>
      <c r="F192" s="67"/>
      <c r="G192" s="69" t="s">
        <v>453</v>
      </c>
    </row>
    <row r="193" spans="2:7">
      <c r="B193" s="267"/>
      <c r="C193" s="65" t="s">
        <v>454</v>
      </c>
      <c r="D193" s="66">
        <f>VLOOKUP(C193,基本字段定义!$B$3:$C$3008,2,FALSE)</f>
        <v>1779</v>
      </c>
      <c r="E193" s="67" t="s">
        <v>339</v>
      </c>
      <c r="F193" s="67"/>
      <c r="G193" s="69" t="s">
        <v>455</v>
      </c>
    </row>
    <row r="194" spans="2:7">
      <c r="B194" s="268"/>
      <c r="C194" s="71"/>
      <c r="D194" s="79"/>
      <c r="E194" s="73"/>
      <c r="F194" s="73"/>
      <c r="G194" s="74"/>
    </row>
    <row r="196" spans="2:7">
      <c r="B196" s="53" t="s">
        <v>146</v>
      </c>
      <c r="C196" s="291">
        <v>202002</v>
      </c>
      <c r="D196" s="291"/>
      <c r="E196" s="291"/>
      <c r="F196" s="54" t="s">
        <v>326</v>
      </c>
      <c r="G196" s="55"/>
    </row>
    <row r="197" spans="2:7">
      <c r="B197" s="56" t="s">
        <v>327</v>
      </c>
      <c r="C197" s="290" t="str">
        <f>VLOOKUP(C196,功能索引!$C$3:$D$269,2,FALSE)</f>
        <v>客户基本信息修改</v>
      </c>
      <c r="D197" s="290"/>
      <c r="E197" s="290"/>
      <c r="F197" s="57" t="s">
        <v>148</v>
      </c>
      <c r="G197" s="58">
        <f>VLOOKUP(C196,功能索引!$C$3:$E468,3,FALSE)</f>
        <v>0</v>
      </c>
    </row>
    <row r="198" spans="2:7">
      <c r="B198" s="269" t="s">
        <v>328</v>
      </c>
      <c r="C198" s="282"/>
      <c r="D198" s="282"/>
      <c r="E198" s="282"/>
      <c r="F198" s="282"/>
      <c r="G198" s="283"/>
    </row>
    <row r="199" spans="2:7">
      <c r="B199" s="270"/>
      <c r="C199" s="284"/>
      <c r="D199" s="284"/>
      <c r="E199" s="284"/>
      <c r="F199" s="284"/>
      <c r="G199" s="285"/>
    </row>
    <row r="200" spans="2:7">
      <c r="B200" s="271" t="s">
        <v>329</v>
      </c>
      <c r="C200" s="54" t="s">
        <v>330</v>
      </c>
      <c r="D200" s="54" t="s">
        <v>331</v>
      </c>
      <c r="E200" s="54" t="s">
        <v>332</v>
      </c>
      <c r="F200" s="54" t="s">
        <v>333</v>
      </c>
      <c r="G200" s="60" t="s">
        <v>334</v>
      </c>
    </row>
    <row r="201" spans="2:7">
      <c r="B201" s="269"/>
      <c r="C201" s="61" t="s">
        <v>402</v>
      </c>
      <c r="D201" s="62">
        <f>VLOOKUP(C201,基本字段定义!$B$3:$C$3008,2,FALSE)</f>
        <v>605</v>
      </c>
      <c r="E201" s="63" t="s">
        <v>403</v>
      </c>
      <c r="F201" s="63" t="s">
        <v>152</v>
      </c>
      <c r="G201" s="64" t="s">
        <v>404</v>
      </c>
    </row>
    <row r="202" spans="2:7">
      <c r="B202" s="269"/>
      <c r="C202" s="61" t="s">
        <v>411</v>
      </c>
      <c r="D202" s="62">
        <f>VLOOKUP(C202,基本字段定义!$B$3:$C$3008,2,FALSE)</f>
        <v>598</v>
      </c>
      <c r="E202" s="63" t="s">
        <v>412</v>
      </c>
      <c r="F202" s="63" t="s">
        <v>152</v>
      </c>
      <c r="G202" s="64" t="s">
        <v>456</v>
      </c>
    </row>
    <row r="203" spans="2:7">
      <c r="B203" s="269"/>
      <c r="C203" s="61" t="s">
        <v>414</v>
      </c>
      <c r="D203" s="62">
        <f>VLOOKUP(C203,基本字段定义!$B$3:$C$3008,2,FALSE)</f>
        <v>781</v>
      </c>
      <c r="E203" s="63" t="s">
        <v>337</v>
      </c>
      <c r="F203" s="63" t="s">
        <v>152</v>
      </c>
      <c r="G203" s="64" t="s">
        <v>415</v>
      </c>
    </row>
    <row r="204" spans="2:7">
      <c r="B204" s="269"/>
      <c r="C204" s="61" t="s">
        <v>424</v>
      </c>
      <c r="D204" s="62">
        <f>VLOOKUP(C204,基本字段定义!$B$3:$C$3008,2,FALSE)</f>
        <v>1780</v>
      </c>
      <c r="E204" s="63" t="s">
        <v>337</v>
      </c>
      <c r="F204" s="275" t="s">
        <v>152</v>
      </c>
      <c r="G204" s="64" t="s">
        <v>457</v>
      </c>
    </row>
    <row r="205" spans="2:7">
      <c r="B205" s="269"/>
      <c r="C205" s="61" t="s">
        <v>444</v>
      </c>
      <c r="D205" s="62">
        <f>VLOOKUP(C205,基本字段定义!$B$3:$C$3008,2,FALSE)</f>
        <v>1777</v>
      </c>
      <c r="E205" s="63" t="s">
        <v>337</v>
      </c>
      <c r="F205" s="275"/>
      <c r="G205" s="64" t="s">
        <v>458</v>
      </c>
    </row>
    <row r="206" spans="2:7">
      <c r="B206" s="269"/>
      <c r="C206" s="61" t="s">
        <v>446</v>
      </c>
      <c r="D206" s="62">
        <f>VLOOKUP(C206,基本字段定义!$B$3:$C$3008,2,FALSE)</f>
        <v>550</v>
      </c>
      <c r="E206" s="63" t="s">
        <v>459</v>
      </c>
      <c r="F206" s="275"/>
      <c r="G206" s="64" t="s">
        <v>460</v>
      </c>
    </row>
    <row r="207" spans="2:7">
      <c r="B207" s="269"/>
      <c r="C207" s="61" t="s">
        <v>448</v>
      </c>
      <c r="D207" s="62">
        <f>VLOOKUP(C207,基本字段定义!$B$3:$C$3008,2,FALSE)</f>
        <v>532</v>
      </c>
      <c r="E207" s="63" t="s">
        <v>461</v>
      </c>
      <c r="F207" s="275"/>
      <c r="G207" s="64" t="s">
        <v>462</v>
      </c>
    </row>
    <row r="208" spans="2:7">
      <c r="B208" s="269"/>
      <c r="C208" s="61" t="s">
        <v>450</v>
      </c>
      <c r="D208" s="62">
        <f>VLOOKUP(C208,基本字段定义!$B$3:$C$3008,2,FALSE)</f>
        <v>796</v>
      </c>
      <c r="E208" s="63" t="s">
        <v>461</v>
      </c>
      <c r="F208" s="275"/>
      <c r="G208" s="64" t="s">
        <v>463</v>
      </c>
    </row>
    <row r="209" spans="2:7">
      <c r="B209" s="269"/>
      <c r="C209" s="61" t="s">
        <v>452</v>
      </c>
      <c r="D209" s="62">
        <f>VLOOKUP(C209,基本字段定义!$B$3:$C$3008,2,FALSE)</f>
        <v>552</v>
      </c>
      <c r="E209" s="63" t="s">
        <v>464</v>
      </c>
      <c r="F209" s="275"/>
      <c r="G209" s="64" t="s">
        <v>465</v>
      </c>
    </row>
    <row r="210" spans="2:7">
      <c r="B210" s="269"/>
      <c r="C210" s="61" t="s">
        <v>454</v>
      </c>
      <c r="D210" s="62">
        <f>VLOOKUP(C210,基本字段定义!$B$3:$C$3008,2,FALSE)</f>
        <v>1779</v>
      </c>
      <c r="E210" s="63" t="s">
        <v>461</v>
      </c>
      <c r="F210" s="275"/>
      <c r="G210" s="64" t="s">
        <v>466</v>
      </c>
    </row>
    <row r="211" spans="2:7">
      <c r="B211" s="269"/>
      <c r="C211" s="61" t="s">
        <v>467</v>
      </c>
      <c r="D211" s="62">
        <f>VLOOKUP(C211,基本字段定义!$B$3:$C$3008,2,FALSE)</f>
        <v>891</v>
      </c>
      <c r="E211" s="63" t="s">
        <v>337</v>
      </c>
      <c r="F211" s="63" t="s">
        <v>152</v>
      </c>
      <c r="G211" s="64" t="s">
        <v>468</v>
      </c>
    </row>
    <row r="212" spans="2:7">
      <c r="B212" s="269" t="s">
        <v>335</v>
      </c>
      <c r="C212" s="65" t="s">
        <v>336</v>
      </c>
      <c r="D212" s="66">
        <f>VLOOKUP(C212,基本字段定义!$B$3:$C$3008,2,FALSE)</f>
        <v>507</v>
      </c>
      <c r="E212" s="67" t="s">
        <v>337</v>
      </c>
      <c r="F212" s="67"/>
      <c r="G212" s="68"/>
    </row>
    <row r="213" spans="2:7">
      <c r="B213" s="269"/>
      <c r="C213" s="65" t="s">
        <v>338</v>
      </c>
      <c r="D213" s="66">
        <f>VLOOKUP(C213,基本字段定义!$B$3:$C$3008,2,FALSE)</f>
        <v>508</v>
      </c>
      <c r="E213" s="67" t="s">
        <v>339</v>
      </c>
      <c r="F213" s="67"/>
      <c r="G213" s="69"/>
    </row>
    <row r="214" spans="2:7">
      <c r="B214" s="270"/>
      <c r="C214" s="71"/>
      <c r="D214" s="79"/>
      <c r="E214" s="73"/>
      <c r="F214" s="73"/>
      <c r="G214" s="74"/>
    </row>
    <row r="216" spans="2:7">
      <c r="B216" s="53" t="s">
        <v>146</v>
      </c>
      <c r="C216" s="295">
        <v>202018</v>
      </c>
      <c r="D216" s="296"/>
      <c r="E216" s="297"/>
      <c r="F216" s="54" t="s">
        <v>326</v>
      </c>
      <c r="G216" s="55"/>
    </row>
    <row r="217" spans="2:7">
      <c r="B217" s="56" t="s">
        <v>327</v>
      </c>
      <c r="C217" s="292" t="str">
        <f>VLOOKUP(C216,功能索引!$C$3:$D$269,2,FALSE)</f>
        <v>客户委托方式变更</v>
      </c>
      <c r="D217" s="293"/>
      <c r="E217" s="294"/>
      <c r="F217" s="57" t="s">
        <v>148</v>
      </c>
      <c r="G217" s="58">
        <f>VLOOKUP(C216,功能索引!$C$3:$E489,3,FALSE)</f>
        <v>0</v>
      </c>
    </row>
    <row r="218" spans="2:7">
      <c r="B218" s="266" t="s">
        <v>328</v>
      </c>
      <c r="C218" s="276"/>
      <c r="D218" s="277"/>
      <c r="E218" s="277"/>
      <c r="F218" s="277"/>
      <c r="G218" s="278"/>
    </row>
    <row r="219" spans="2:7">
      <c r="B219" s="268"/>
      <c r="C219" s="279"/>
      <c r="D219" s="280"/>
      <c r="E219" s="280"/>
      <c r="F219" s="280"/>
      <c r="G219" s="281"/>
    </row>
    <row r="220" spans="2:7">
      <c r="B220" s="287" t="s">
        <v>329</v>
      </c>
      <c r="C220" s="54" t="s">
        <v>330</v>
      </c>
      <c r="D220" s="54" t="s">
        <v>331</v>
      </c>
      <c r="E220" s="54" t="s">
        <v>332</v>
      </c>
      <c r="F220" s="54" t="s">
        <v>333</v>
      </c>
      <c r="G220" s="60" t="s">
        <v>334</v>
      </c>
    </row>
    <row r="221" spans="2:7">
      <c r="B221" s="267"/>
      <c r="C221" s="61" t="s">
        <v>402</v>
      </c>
      <c r="D221" s="62">
        <f>VLOOKUP(C221,基本字段定义!$B$3:$C$3008,2,FALSE)</f>
        <v>605</v>
      </c>
      <c r="E221" s="63" t="s">
        <v>403</v>
      </c>
      <c r="F221" s="63" t="s">
        <v>152</v>
      </c>
      <c r="G221" s="64" t="s">
        <v>404</v>
      </c>
    </row>
    <row r="222" spans="2:7">
      <c r="B222" s="267"/>
      <c r="C222" s="61" t="s">
        <v>437</v>
      </c>
      <c r="D222" s="62">
        <f>VLOOKUP(C222,基本字段定义!$B$3:$C$3008,2,FALSE)</f>
        <v>680</v>
      </c>
      <c r="E222" s="63" t="s">
        <v>337</v>
      </c>
      <c r="F222" s="63" t="s">
        <v>152</v>
      </c>
      <c r="G222" s="64" t="s">
        <v>469</v>
      </c>
    </row>
    <row r="223" spans="2:7">
      <c r="B223" s="267"/>
      <c r="C223" s="61" t="s">
        <v>470</v>
      </c>
      <c r="D223" s="62">
        <f>VLOOKUP(C223,基本字段定义!$B$3:$C$3008,2,FALSE)</f>
        <v>730</v>
      </c>
      <c r="E223" s="63" t="s">
        <v>471</v>
      </c>
      <c r="F223" s="63" t="s">
        <v>152</v>
      </c>
      <c r="G223" s="64" t="s">
        <v>472</v>
      </c>
    </row>
    <row r="224" spans="2:7">
      <c r="B224" s="286"/>
      <c r="C224" s="61" t="s">
        <v>467</v>
      </c>
      <c r="D224" s="62">
        <f>VLOOKUP(C224,基本字段定义!$B$3:$C$3008,2,FALSE)</f>
        <v>891</v>
      </c>
      <c r="E224" s="63" t="s">
        <v>337</v>
      </c>
      <c r="F224" s="63" t="s">
        <v>152</v>
      </c>
      <c r="G224" s="64" t="s">
        <v>473</v>
      </c>
    </row>
    <row r="225" spans="2:7">
      <c r="B225" s="269" t="s">
        <v>335</v>
      </c>
      <c r="C225" s="65" t="s">
        <v>336</v>
      </c>
      <c r="D225" s="66">
        <f>VLOOKUP(C225,基本字段定义!$B$3:$C$3008,2,FALSE)</f>
        <v>507</v>
      </c>
      <c r="E225" s="67" t="s">
        <v>474</v>
      </c>
      <c r="F225" s="67"/>
      <c r="G225" s="68"/>
    </row>
    <row r="226" spans="2:7">
      <c r="B226" s="269"/>
      <c r="C226" s="65" t="s">
        <v>338</v>
      </c>
      <c r="D226" s="66">
        <f>VLOOKUP(C226,基本字段定义!$B$3:$C$3008,2,FALSE)</f>
        <v>508</v>
      </c>
      <c r="E226" s="67" t="s">
        <v>339</v>
      </c>
      <c r="F226" s="67"/>
      <c r="G226" s="69"/>
    </row>
    <row r="227" spans="2:7">
      <c r="B227" s="270"/>
      <c r="C227" s="71"/>
      <c r="D227" s="79"/>
      <c r="E227" s="73"/>
      <c r="F227" s="73"/>
      <c r="G227" s="74"/>
    </row>
    <row r="229" spans="2:7">
      <c r="B229" s="53" t="s">
        <v>146</v>
      </c>
      <c r="C229" s="291">
        <v>302003</v>
      </c>
      <c r="D229" s="291"/>
      <c r="E229" s="291"/>
      <c r="F229" s="54" t="s">
        <v>326</v>
      </c>
      <c r="G229" s="55"/>
    </row>
    <row r="230" spans="2:7">
      <c r="B230" s="56" t="s">
        <v>327</v>
      </c>
      <c r="C230" s="290" t="str">
        <f>VLOOKUP(C229,功能索引!$C$3:$D$269,2,FALSE)</f>
        <v>邮寄对帐单业务查询</v>
      </c>
      <c r="D230" s="290"/>
      <c r="E230" s="290"/>
      <c r="F230" s="57" t="s">
        <v>148</v>
      </c>
      <c r="G230" s="58" t="str">
        <f>VLOOKUP(C229,功能索引!$C$3:$E503,3,FALSE)</f>
        <v>Y</v>
      </c>
    </row>
    <row r="231" spans="2:7">
      <c r="B231" s="269" t="s">
        <v>328</v>
      </c>
      <c r="C231" s="282"/>
      <c r="D231" s="282"/>
      <c r="E231" s="282"/>
      <c r="F231" s="282"/>
      <c r="G231" s="283"/>
    </row>
    <row r="232" spans="2:7">
      <c r="B232" s="270"/>
      <c r="C232" s="284"/>
      <c r="D232" s="284"/>
      <c r="E232" s="284"/>
      <c r="F232" s="284"/>
      <c r="G232" s="285"/>
    </row>
    <row r="233" spans="2:7">
      <c r="B233" s="271" t="s">
        <v>329</v>
      </c>
      <c r="C233" s="54" t="s">
        <v>330</v>
      </c>
      <c r="D233" s="54" t="s">
        <v>331</v>
      </c>
      <c r="E233" s="54" t="s">
        <v>332</v>
      </c>
      <c r="F233" s="54" t="s">
        <v>333</v>
      </c>
      <c r="G233" s="60" t="s">
        <v>334</v>
      </c>
    </row>
    <row r="234" spans="2:7">
      <c r="B234" s="269"/>
      <c r="C234" s="61" t="s">
        <v>402</v>
      </c>
      <c r="D234" s="62">
        <f>VLOOKUP(C234,基本字段定义!$B$3:$C$3008,2,FALSE)</f>
        <v>605</v>
      </c>
      <c r="E234" s="63" t="s">
        <v>403</v>
      </c>
      <c r="F234" s="63" t="s">
        <v>152</v>
      </c>
      <c r="G234" s="64" t="s">
        <v>404</v>
      </c>
    </row>
    <row r="235" spans="2:7">
      <c r="B235" s="269" t="s">
        <v>335</v>
      </c>
      <c r="C235" s="65" t="s">
        <v>475</v>
      </c>
      <c r="D235" s="66">
        <f>VLOOKUP(C235,基本字段定义!$B$3:$C$3008,2,FALSE)</f>
        <v>702</v>
      </c>
      <c r="E235" s="67" t="s">
        <v>339</v>
      </c>
      <c r="F235" s="67"/>
      <c r="G235" s="68" t="s">
        <v>476</v>
      </c>
    </row>
    <row r="236" spans="2:7">
      <c r="B236" s="269"/>
      <c r="C236" s="65" t="s">
        <v>477</v>
      </c>
      <c r="D236" s="66">
        <f>VLOOKUP(C236,基本字段定义!$B$3:$C$3008,2,FALSE)</f>
        <v>1782</v>
      </c>
      <c r="E236" s="67" t="s">
        <v>337</v>
      </c>
      <c r="F236" s="67"/>
      <c r="G236" s="69" t="s">
        <v>478</v>
      </c>
    </row>
    <row r="237" spans="2:7">
      <c r="B237" s="269"/>
      <c r="C237" s="65" t="s">
        <v>446</v>
      </c>
      <c r="D237" s="66">
        <f>VLOOKUP(C237,基本字段定义!$B$3:$C$3008,2,FALSE)</f>
        <v>550</v>
      </c>
      <c r="E237" s="67" t="s">
        <v>339</v>
      </c>
      <c r="F237" s="67"/>
      <c r="G237" s="69" t="s">
        <v>479</v>
      </c>
    </row>
    <row r="238" spans="2:7">
      <c r="B238" s="270"/>
      <c r="C238" s="71"/>
      <c r="D238" s="79"/>
      <c r="E238" s="73"/>
      <c r="F238" s="73"/>
      <c r="G238" s="74"/>
    </row>
    <row r="240" spans="2:7">
      <c r="B240" s="53" t="s">
        <v>146</v>
      </c>
      <c r="C240" s="291">
        <v>202046</v>
      </c>
      <c r="D240" s="291"/>
      <c r="E240" s="291"/>
      <c r="F240" s="54" t="s">
        <v>326</v>
      </c>
      <c r="G240" s="55"/>
    </row>
    <row r="241" spans="2:7">
      <c r="B241" s="56" t="s">
        <v>327</v>
      </c>
      <c r="C241" s="290" t="str">
        <f>VLOOKUP(C240,功能索引!$C$3:$D$269,2,FALSE)</f>
        <v>邮寄对帐单服务开通</v>
      </c>
      <c r="D241" s="290"/>
      <c r="E241" s="290"/>
      <c r="F241" s="57" t="s">
        <v>148</v>
      </c>
      <c r="G241" s="58">
        <f>VLOOKUP(C240,功能索引!$C$3:$E519,3,FALSE)</f>
        <v>0</v>
      </c>
    </row>
    <row r="242" spans="2:7">
      <c r="B242" s="269" t="s">
        <v>328</v>
      </c>
      <c r="C242" s="282"/>
      <c r="D242" s="282"/>
      <c r="E242" s="282"/>
      <c r="F242" s="282"/>
      <c r="G242" s="283"/>
    </row>
    <row r="243" spans="2:7">
      <c r="B243" s="270"/>
      <c r="C243" s="284"/>
      <c r="D243" s="284"/>
      <c r="E243" s="284"/>
      <c r="F243" s="284"/>
      <c r="G243" s="285"/>
    </row>
    <row r="244" spans="2:7">
      <c r="B244" s="287" t="s">
        <v>329</v>
      </c>
      <c r="C244" s="54" t="s">
        <v>330</v>
      </c>
      <c r="D244" s="54" t="s">
        <v>331</v>
      </c>
      <c r="E244" s="54" t="s">
        <v>332</v>
      </c>
      <c r="F244" s="54" t="s">
        <v>333</v>
      </c>
      <c r="G244" s="60" t="s">
        <v>334</v>
      </c>
    </row>
    <row r="245" spans="2:7">
      <c r="B245" s="267"/>
      <c r="C245" s="61" t="s">
        <v>402</v>
      </c>
      <c r="D245" s="62">
        <f>VLOOKUP(C245,基本字段定义!$B$3:$C$3008,2,FALSE)</f>
        <v>605</v>
      </c>
      <c r="E245" s="63" t="s">
        <v>403</v>
      </c>
      <c r="F245" s="63" t="s">
        <v>152</v>
      </c>
      <c r="G245" s="64" t="s">
        <v>404</v>
      </c>
    </row>
    <row r="246" spans="2:7">
      <c r="B246" s="267"/>
      <c r="C246" s="61" t="s">
        <v>475</v>
      </c>
      <c r="D246" s="62">
        <f>VLOOKUP(C246,基本字段定义!$B$3:$C$3008,2,FALSE)</f>
        <v>702</v>
      </c>
      <c r="E246" s="63" t="s">
        <v>480</v>
      </c>
      <c r="F246" s="63" t="s">
        <v>152</v>
      </c>
      <c r="G246" s="64" t="s">
        <v>476</v>
      </c>
    </row>
    <row r="247" spans="2:7">
      <c r="B247" s="267"/>
      <c r="C247" s="61" t="s">
        <v>477</v>
      </c>
      <c r="D247" s="62">
        <f>VLOOKUP(C247,基本字段定义!$B$3:$C$3008,2,FALSE)</f>
        <v>1782</v>
      </c>
      <c r="E247" s="63" t="s">
        <v>337</v>
      </c>
      <c r="F247" s="63" t="s">
        <v>152</v>
      </c>
      <c r="G247" s="64" t="s">
        <v>481</v>
      </c>
    </row>
    <row r="248" spans="2:7">
      <c r="B248" s="267"/>
      <c r="C248" s="61" t="s">
        <v>482</v>
      </c>
      <c r="D248" s="62">
        <f>VLOOKUP(C248,基本字段定义!$B$3:$C$3008,2,FALSE)</f>
        <v>1783</v>
      </c>
      <c r="E248" s="63" t="s">
        <v>403</v>
      </c>
      <c r="F248" s="63" t="s">
        <v>152</v>
      </c>
      <c r="G248" s="64" t="s">
        <v>483</v>
      </c>
    </row>
    <row r="249" spans="2:7">
      <c r="B249" s="267"/>
      <c r="C249" s="61" t="s">
        <v>446</v>
      </c>
      <c r="D249" s="62">
        <f>VLOOKUP(C249,基本字段定义!$B$3:$C$3008,2,FALSE)</f>
        <v>550</v>
      </c>
      <c r="E249" s="63" t="s">
        <v>459</v>
      </c>
      <c r="F249" s="63" t="s">
        <v>152</v>
      </c>
      <c r="G249" s="64" t="s">
        <v>479</v>
      </c>
    </row>
    <row r="250" spans="2:7">
      <c r="B250" s="267"/>
      <c r="C250" s="61" t="s">
        <v>484</v>
      </c>
      <c r="D250" s="62">
        <f>VLOOKUP(C250,基本字段定义!$B$3:$C$3008,2,FALSE)</f>
        <v>618</v>
      </c>
      <c r="E250" s="63" t="s">
        <v>337</v>
      </c>
      <c r="F250" s="63" t="s">
        <v>152</v>
      </c>
      <c r="G250" s="64" t="s">
        <v>485</v>
      </c>
    </row>
    <row r="251" spans="2:7">
      <c r="B251" s="267"/>
      <c r="C251" s="61" t="s">
        <v>486</v>
      </c>
      <c r="D251" s="62">
        <f>VLOOKUP(C251,基本字段定义!$B$3:$C$3008,2,FALSE)</f>
        <v>590</v>
      </c>
      <c r="E251" s="63" t="s">
        <v>337</v>
      </c>
      <c r="F251" s="63" t="s">
        <v>152</v>
      </c>
      <c r="G251" s="64" t="s">
        <v>487</v>
      </c>
    </row>
    <row r="252" spans="2:7">
      <c r="B252" s="267"/>
      <c r="C252" s="61" t="s">
        <v>470</v>
      </c>
      <c r="D252" s="62">
        <f>VLOOKUP(C252,基本字段定义!$B$3:$C$3008,2,FALSE)</f>
        <v>730</v>
      </c>
      <c r="E252" s="63" t="s">
        <v>471</v>
      </c>
      <c r="F252" s="63" t="s">
        <v>152</v>
      </c>
      <c r="G252" s="64" t="s">
        <v>334</v>
      </c>
    </row>
    <row r="253" spans="2:7">
      <c r="B253" s="286"/>
      <c r="C253" s="61" t="s">
        <v>467</v>
      </c>
      <c r="D253" s="62">
        <f>VLOOKUP(C253,基本字段定义!$B$3:$C$3008,2,FALSE)</f>
        <v>891</v>
      </c>
      <c r="E253" s="63" t="s">
        <v>337</v>
      </c>
      <c r="F253" s="63" t="s">
        <v>152</v>
      </c>
      <c r="G253" s="64" t="s">
        <v>473</v>
      </c>
    </row>
    <row r="254" spans="2:7">
      <c r="B254" s="269" t="s">
        <v>335</v>
      </c>
      <c r="C254" s="65" t="s">
        <v>336</v>
      </c>
      <c r="D254" s="66">
        <f>VLOOKUP(C254,基本字段定义!$B$3:$C$3008,2,FALSE)</f>
        <v>507</v>
      </c>
      <c r="E254" s="67" t="s">
        <v>337</v>
      </c>
      <c r="F254" s="67"/>
      <c r="G254" s="68"/>
    </row>
    <row r="255" spans="2:7">
      <c r="B255" s="269"/>
      <c r="C255" s="65" t="s">
        <v>338</v>
      </c>
      <c r="D255" s="66">
        <f>VLOOKUP(C255,基本字段定义!$B$3:$C$3008,2,FALSE)</f>
        <v>508</v>
      </c>
      <c r="E255" s="67" t="s">
        <v>339</v>
      </c>
      <c r="F255" s="67"/>
      <c r="G255" s="69"/>
    </row>
    <row r="256" spans="2:7">
      <c r="B256" s="270"/>
      <c r="C256" s="71"/>
      <c r="D256" s="79"/>
      <c r="E256" s="73"/>
      <c r="F256" s="73"/>
      <c r="G256" s="74"/>
    </row>
    <row r="258" spans="2:7">
      <c r="B258" s="53" t="s">
        <v>146</v>
      </c>
      <c r="C258" s="291">
        <v>202047</v>
      </c>
      <c r="D258" s="291"/>
      <c r="E258" s="291"/>
      <c r="F258" s="54" t="s">
        <v>326</v>
      </c>
      <c r="G258" s="55"/>
    </row>
    <row r="259" spans="2:7">
      <c r="B259" s="56" t="s">
        <v>327</v>
      </c>
      <c r="C259" s="290" t="str">
        <f>VLOOKUP(C258,功能索引!$C$3:$D$269,2,FALSE)</f>
        <v>邮寄对帐单服务变更</v>
      </c>
      <c r="D259" s="290"/>
      <c r="E259" s="290"/>
      <c r="F259" s="57" t="s">
        <v>148</v>
      </c>
      <c r="G259" s="58">
        <f>VLOOKUP(C258,功能索引!$C$3:$E538,3,FALSE)</f>
        <v>0</v>
      </c>
    </row>
    <row r="260" spans="2:7">
      <c r="B260" s="269" t="s">
        <v>328</v>
      </c>
      <c r="C260" s="282"/>
      <c r="D260" s="282"/>
      <c r="E260" s="282"/>
      <c r="F260" s="282"/>
      <c r="G260" s="283"/>
    </row>
    <row r="261" spans="2:7">
      <c r="B261" s="270"/>
      <c r="C261" s="284"/>
      <c r="D261" s="284"/>
      <c r="E261" s="284"/>
      <c r="F261" s="284"/>
      <c r="G261" s="285"/>
    </row>
    <row r="262" spans="2:7">
      <c r="B262" s="287" t="s">
        <v>329</v>
      </c>
      <c r="C262" s="54" t="s">
        <v>330</v>
      </c>
      <c r="D262" s="54" t="s">
        <v>331</v>
      </c>
      <c r="E262" s="54" t="s">
        <v>332</v>
      </c>
      <c r="F262" s="54" t="s">
        <v>333</v>
      </c>
      <c r="G262" s="75" t="s">
        <v>334</v>
      </c>
    </row>
    <row r="263" spans="2:7">
      <c r="B263" s="267"/>
      <c r="C263" s="61" t="s">
        <v>402</v>
      </c>
      <c r="D263" s="62">
        <f>VLOOKUP(C263,基本字段定义!$B$3:$C$3008,2,FALSE)</f>
        <v>605</v>
      </c>
      <c r="E263" s="63" t="s">
        <v>403</v>
      </c>
      <c r="F263" s="63" t="s">
        <v>152</v>
      </c>
      <c r="G263" s="64" t="s">
        <v>404</v>
      </c>
    </row>
    <row r="264" spans="2:7">
      <c r="B264" s="267"/>
      <c r="C264" s="61" t="s">
        <v>475</v>
      </c>
      <c r="D264" s="62">
        <f>VLOOKUP(C264,基本字段定义!$B$3:$C$3008,2,FALSE)</f>
        <v>702</v>
      </c>
      <c r="E264" s="63" t="s">
        <v>480</v>
      </c>
      <c r="F264" s="63" t="s">
        <v>152</v>
      </c>
      <c r="G264" s="64" t="s">
        <v>476</v>
      </c>
    </row>
    <row r="265" spans="2:7">
      <c r="B265" s="267"/>
      <c r="C265" s="61" t="s">
        <v>446</v>
      </c>
      <c r="D265" s="62">
        <f>VLOOKUP(C265,基本字段定义!$B$3:$C$3008,2,FALSE)</f>
        <v>550</v>
      </c>
      <c r="E265" s="63" t="s">
        <v>459</v>
      </c>
      <c r="F265" s="63" t="s">
        <v>152</v>
      </c>
      <c r="G265" s="64" t="s">
        <v>479</v>
      </c>
    </row>
    <row r="266" spans="2:7">
      <c r="B266" s="267"/>
      <c r="C266" s="61" t="s">
        <v>484</v>
      </c>
      <c r="D266" s="62">
        <f>VLOOKUP(C266,基本字段定义!$B$3:$C$3008,2,FALSE)</f>
        <v>618</v>
      </c>
      <c r="E266" s="63" t="s">
        <v>337</v>
      </c>
      <c r="F266" s="63" t="s">
        <v>152</v>
      </c>
      <c r="G266" s="64" t="s">
        <v>485</v>
      </c>
    </row>
    <row r="267" spans="2:7">
      <c r="B267" s="267"/>
      <c r="C267" s="61" t="s">
        <v>470</v>
      </c>
      <c r="D267" s="62">
        <f>VLOOKUP(C267,基本字段定义!$B$3:$C$3008,2,FALSE)</f>
        <v>730</v>
      </c>
      <c r="E267" s="63" t="s">
        <v>471</v>
      </c>
      <c r="F267" s="63" t="s">
        <v>152</v>
      </c>
      <c r="G267" s="64" t="s">
        <v>334</v>
      </c>
    </row>
    <row r="268" spans="2:7">
      <c r="B268" s="267"/>
      <c r="C268" s="61" t="s">
        <v>467</v>
      </c>
      <c r="D268" s="62">
        <f>VLOOKUP(C268,基本字段定义!$B$3:$C$3008,2,FALSE)</f>
        <v>891</v>
      </c>
      <c r="E268" s="63" t="s">
        <v>337</v>
      </c>
      <c r="F268" s="63" t="s">
        <v>152</v>
      </c>
      <c r="G268" s="64" t="s">
        <v>473</v>
      </c>
    </row>
    <row r="269" spans="2:7">
      <c r="B269" s="269" t="s">
        <v>335</v>
      </c>
      <c r="C269" s="65" t="s">
        <v>336</v>
      </c>
      <c r="D269" s="66">
        <f>VLOOKUP(C269,基本字段定义!$B$3:$C$3008,2,FALSE)</f>
        <v>507</v>
      </c>
      <c r="E269" s="67" t="s">
        <v>337</v>
      </c>
      <c r="F269" s="67"/>
      <c r="G269" s="68"/>
    </row>
    <row r="270" spans="2:7">
      <c r="B270" s="269"/>
      <c r="C270" s="65" t="s">
        <v>338</v>
      </c>
      <c r="D270" s="66">
        <f>VLOOKUP(C270,基本字段定义!$B$3:$C$3008,2,FALSE)</f>
        <v>508</v>
      </c>
      <c r="E270" s="67" t="s">
        <v>339</v>
      </c>
      <c r="F270" s="67"/>
      <c r="G270" s="69"/>
    </row>
    <row r="271" spans="2:7">
      <c r="B271" s="270"/>
      <c r="C271" s="71"/>
      <c r="D271" s="79"/>
      <c r="E271" s="73"/>
      <c r="F271" s="73"/>
      <c r="G271" s="74"/>
    </row>
    <row r="273" spans="2:7">
      <c r="B273" s="53" t="s">
        <v>146</v>
      </c>
      <c r="C273" s="291">
        <v>202048</v>
      </c>
      <c r="D273" s="291"/>
      <c r="E273" s="291"/>
      <c r="F273" s="54" t="s">
        <v>326</v>
      </c>
      <c r="G273" s="55"/>
    </row>
    <row r="274" spans="2:7">
      <c r="B274" s="56" t="s">
        <v>327</v>
      </c>
      <c r="C274" s="290" t="str">
        <f>VLOOKUP(C273,功能索引!$C$3:$D$269,2,FALSE)</f>
        <v>邮寄对帐单服务中止</v>
      </c>
      <c r="D274" s="290"/>
      <c r="E274" s="290"/>
      <c r="F274" s="57" t="s">
        <v>148</v>
      </c>
      <c r="G274" s="58">
        <f>VLOOKUP(C273,功能索引!$C$3:$E559,3,FALSE)</f>
        <v>0</v>
      </c>
    </row>
    <row r="275" spans="2:7">
      <c r="B275" s="269" t="s">
        <v>328</v>
      </c>
      <c r="C275" s="282"/>
      <c r="D275" s="282"/>
      <c r="E275" s="282"/>
      <c r="F275" s="282"/>
      <c r="G275" s="283"/>
    </row>
    <row r="276" spans="2:7">
      <c r="B276" s="270"/>
      <c r="C276" s="284"/>
      <c r="D276" s="284"/>
      <c r="E276" s="284"/>
      <c r="F276" s="284"/>
      <c r="G276" s="285"/>
    </row>
    <row r="277" spans="2:7">
      <c r="B277" s="287" t="s">
        <v>329</v>
      </c>
      <c r="C277" s="54" t="s">
        <v>330</v>
      </c>
      <c r="D277" s="54" t="s">
        <v>331</v>
      </c>
      <c r="E277" s="54" t="s">
        <v>332</v>
      </c>
      <c r="F277" s="54" t="s">
        <v>333</v>
      </c>
      <c r="G277" s="75" t="s">
        <v>334</v>
      </c>
    </row>
    <row r="278" spans="2:7">
      <c r="B278" s="267"/>
      <c r="C278" s="61" t="s">
        <v>402</v>
      </c>
      <c r="D278" s="62">
        <f>VLOOKUP(C278,基本字段定义!$B$3:$C$3008,2,FALSE)</f>
        <v>605</v>
      </c>
      <c r="E278" s="63" t="s">
        <v>403</v>
      </c>
      <c r="F278" s="63" t="s">
        <v>152</v>
      </c>
      <c r="G278" s="64" t="s">
        <v>404</v>
      </c>
    </row>
    <row r="279" spans="2:7">
      <c r="B279" s="267"/>
      <c r="C279" s="61" t="s">
        <v>467</v>
      </c>
      <c r="D279" s="62">
        <f>VLOOKUP(C279,基本字段定义!$B$3:$C$3008,2,FALSE)</f>
        <v>891</v>
      </c>
      <c r="E279" s="63" t="s">
        <v>337</v>
      </c>
      <c r="F279" s="63" t="s">
        <v>152</v>
      </c>
      <c r="G279" s="64" t="s">
        <v>473</v>
      </c>
    </row>
    <row r="280" spans="2:7">
      <c r="B280" s="269" t="s">
        <v>335</v>
      </c>
      <c r="C280" s="65" t="s">
        <v>336</v>
      </c>
      <c r="D280" s="66">
        <f>VLOOKUP(C280,基本字段定义!$B$3:$C$3008,2,FALSE)</f>
        <v>507</v>
      </c>
      <c r="E280" s="67" t="s">
        <v>337</v>
      </c>
      <c r="F280" s="67"/>
      <c r="G280" s="68"/>
    </row>
    <row r="281" spans="2:7">
      <c r="B281" s="269"/>
      <c r="C281" s="65" t="s">
        <v>338</v>
      </c>
      <c r="D281" s="66">
        <f>VLOOKUP(C281,基本字段定义!$B$3:$C$3008,2,FALSE)</f>
        <v>508</v>
      </c>
      <c r="E281" s="67" t="s">
        <v>339</v>
      </c>
      <c r="F281" s="67"/>
      <c r="G281" s="69"/>
    </row>
    <row r="282" spans="2:7">
      <c r="B282" s="270"/>
      <c r="C282" s="71"/>
      <c r="D282" s="79"/>
      <c r="E282" s="73"/>
      <c r="F282" s="73"/>
      <c r="G282" s="74"/>
    </row>
    <row r="284" spans="2:7">
      <c r="B284" s="53" t="s">
        <v>146</v>
      </c>
      <c r="C284" s="291">
        <v>302005</v>
      </c>
      <c r="D284" s="291"/>
      <c r="E284" s="291"/>
      <c r="F284" s="54" t="s">
        <v>326</v>
      </c>
      <c r="G284" s="55"/>
    </row>
    <row r="285" spans="2:7">
      <c r="B285" s="56" t="s">
        <v>327</v>
      </c>
      <c r="C285" s="290" t="str">
        <f>VLOOKUP(C284,功能索引!$C$3:$D$269,2,FALSE)</f>
        <v>客户提示信息查询</v>
      </c>
      <c r="D285" s="290"/>
      <c r="E285" s="290"/>
      <c r="F285" s="57" t="s">
        <v>148</v>
      </c>
      <c r="G285" s="58" t="str">
        <f>VLOOKUP(C284,功能索引!$C$3:$E577,3,FALSE)</f>
        <v>Y</v>
      </c>
    </row>
    <row r="286" spans="2:7">
      <c r="B286" s="269" t="s">
        <v>328</v>
      </c>
      <c r="C286" s="282"/>
      <c r="D286" s="282"/>
      <c r="E286" s="282"/>
      <c r="F286" s="282"/>
      <c r="G286" s="283"/>
    </row>
    <row r="287" spans="2:7">
      <c r="B287" s="270"/>
      <c r="C287" s="284"/>
      <c r="D287" s="284"/>
      <c r="E287" s="284"/>
      <c r="F287" s="284"/>
      <c r="G287" s="285"/>
    </row>
    <row r="288" spans="2:7">
      <c r="B288" s="271" t="s">
        <v>329</v>
      </c>
      <c r="C288" s="54" t="s">
        <v>330</v>
      </c>
      <c r="D288" s="54" t="s">
        <v>331</v>
      </c>
      <c r="E288" s="54" t="s">
        <v>332</v>
      </c>
      <c r="F288" s="54" t="s">
        <v>333</v>
      </c>
      <c r="G288" s="60" t="s">
        <v>334</v>
      </c>
    </row>
    <row r="289" spans="2:7">
      <c r="B289" s="269"/>
      <c r="C289" s="61" t="s">
        <v>402</v>
      </c>
      <c r="D289" s="62">
        <f>VLOOKUP(C289,基本字段定义!$B$3:$C$3008,2,FALSE)</f>
        <v>605</v>
      </c>
      <c r="E289" s="63" t="s">
        <v>403</v>
      </c>
      <c r="F289" s="63" t="s">
        <v>152</v>
      </c>
      <c r="G289" s="64" t="s">
        <v>404</v>
      </c>
    </row>
    <row r="290" spans="2:7">
      <c r="B290" s="269"/>
      <c r="C290" s="61" t="s">
        <v>350</v>
      </c>
      <c r="D290" s="62">
        <f>VLOOKUP(C290,基本字段定义!$B$3:$C$3008,2,FALSE)</f>
        <v>1785</v>
      </c>
      <c r="E290" s="63" t="s">
        <v>403</v>
      </c>
      <c r="F290" s="63"/>
      <c r="G290" s="64" t="s">
        <v>488</v>
      </c>
    </row>
    <row r="291" spans="2:7">
      <c r="B291" s="269" t="s">
        <v>335</v>
      </c>
      <c r="C291" s="65" t="s">
        <v>350</v>
      </c>
      <c r="D291" s="66">
        <f>VLOOKUP(C291,基本字段定义!$B$3:$C$3008,2,FALSE)</f>
        <v>1785</v>
      </c>
      <c r="E291" s="67" t="s">
        <v>339</v>
      </c>
      <c r="F291" s="67"/>
      <c r="G291" s="68" t="s">
        <v>489</v>
      </c>
    </row>
    <row r="292" spans="2:7">
      <c r="B292" s="269"/>
      <c r="C292" s="65" t="s">
        <v>490</v>
      </c>
      <c r="D292" s="66">
        <f>VLOOKUP(C292,基本字段定义!$B$3:$C$3008,2,FALSE)</f>
        <v>901</v>
      </c>
      <c r="E292" s="67" t="s">
        <v>339</v>
      </c>
      <c r="F292" s="67"/>
      <c r="G292" s="69" t="s">
        <v>491</v>
      </c>
    </row>
    <row r="293" spans="2:7">
      <c r="B293" s="269"/>
      <c r="C293" s="65" t="s">
        <v>492</v>
      </c>
      <c r="D293" s="66">
        <f>VLOOKUP(C293,基本字段定义!$B$3:$C$3008,2,FALSE)</f>
        <v>981</v>
      </c>
      <c r="E293" s="67" t="s">
        <v>337</v>
      </c>
      <c r="F293" s="67"/>
      <c r="G293" s="69" t="s">
        <v>493</v>
      </c>
    </row>
    <row r="294" spans="2:7">
      <c r="B294" s="270"/>
      <c r="C294" s="71"/>
      <c r="D294" s="79"/>
      <c r="E294" s="73"/>
      <c r="F294" s="73"/>
      <c r="G294" s="74"/>
    </row>
    <row r="296" spans="2:7">
      <c r="B296" s="53" t="s">
        <v>146</v>
      </c>
      <c r="C296" s="291">
        <v>202004</v>
      </c>
      <c r="D296" s="291"/>
      <c r="E296" s="291"/>
      <c r="F296" s="54" t="s">
        <v>326</v>
      </c>
      <c r="G296" s="55"/>
    </row>
    <row r="297" spans="2:7">
      <c r="B297" s="56" t="s">
        <v>327</v>
      </c>
      <c r="C297" s="290" t="str">
        <f>VLOOKUP(C296,功能索引!$C$3:$D$269,2,FALSE)</f>
        <v>客户提示信息登记</v>
      </c>
      <c r="D297" s="290"/>
      <c r="E297" s="290"/>
      <c r="F297" s="57" t="s">
        <v>148</v>
      </c>
      <c r="G297" s="58">
        <f>VLOOKUP(C296,功能索引!$C$3:$E591,3,FALSE)</f>
        <v>0</v>
      </c>
    </row>
    <row r="298" spans="2:7">
      <c r="B298" s="269" t="s">
        <v>328</v>
      </c>
      <c r="C298" s="282"/>
      <c r="D298" s="282"/>
      <c r="E298" s="282"/>
      <c r="F298" s="282"/>
      <c r="G298" s="283"/>
    </row>
    <row r="299" spans="2:7">
      <c r="B299" s="270"/>
      <c r="C299" s="284"/>
      <c r="D299" s="284"/>
      <c r="E299" s="284"/>
      <c r="F299" s="284"/>
      <c r="G299" s="285"/>
    </row>
    <row r="300" spans="2:7">
      <c r="B300" s="271" t="s">
        <v>329</v>
      </c>
      <c r="C300" s="54" t="s">
        <v>330</v>
      </c>
      <c r="D300" s="54" t="s">
        <v>331</v>
      </c>
      <c r="E300" s="54" t="s">
        <v>332</v>
      </c>
      <c r="F300" s="54" t="s">
        <v>333</v>
      </c>
      <c r="G300" s="60" t="s">
        <v>334</v>
      </c>
    </row>
    <row r="301" spans="2:7">
      <c r="B301" s="269"/>
      <c r="C301" s="61" t="s">
        <v>402</v>
      </c>
      <c r="D301" s="62">
        <f>VLOOKUP(C301,基本字段定义!$B$3:$C$3008,2,FALSE)</f>
        <v>605</v>
      </c>
      <c r="E301" s="63" t="s">
        <v>403</v>
      </c>
      <c r="F301" s="63" t="s">
        <v>152</v>
      </c>
      <c r="G301" s="64" t="s">
        <v>404</v>
      </c>
    </row>
    <row r="302" spans="2:7">
      <c r="B302" s="269"/>
      <c r="C302" s="61" t="s">
        <v>350</v>
      </c>
      <c r="D302" s="62">
        <f>VLOOKUP(C302,基本字段定义!$B$3:$C$3008,2,FALSE)</f>
        <v>1785</v>
      </c>
      <c r="E302" s="63" t="s">
        <v>403</v>
      </c>
      <c r="F302" s="63" t="s">
        <v>152</v>
      </c>
      <c r="G302" s="64" t="s">
        <v>488</v>
      </c>
    </row>
    <row r="303" spans="2:7">
      <c r="B303" s="269"/>
      <c r="C303" s="61" t="s">
        <v>490</v>
      </c>
      <c r="D303" s="62">
        <f>VLOOKUP(C303,基本字段定义!$B$3:$C$3008,2,FALSE)</f>
        <v>901</v>
      </c>
      <c r="E303" s="63" t="s">
        <v>459</v>
      </c>
      <c r="F303" s="63" t="s">
        <v>152</v>
      </c>
      <c r="G303" s="64" t="s">
        <v>491</v>
      </c>
    </row>
    <row r="304" spans="2:7">
      <c r="B304" s="269"/>
      <c r="C304" s="61" t="s">
        <v>470</v>
      </c>
      <c r="D304" s="62">
        <f>VLOOKUP(C304,基本字段定义!$B$3:$C$3008,2,FALSE)</f>
        <v>730</v>
      </c>
      <c r="E304" s="63" t="s">
        <v>471</v>
      </c>
      <c r="F304" s="63" t="s">
        <v>152</v>
      </c>
      <c r="G304" s="64" t="s">
        <v>334</v>
      </c>
    </row>
    <row r="305" spans="2:7">
      <c r="B305" s="269" t="s">
        <v>335</v>
      </c>
      <c r="C305" s="65" t="s">
        <v>336</v>
      </c>
      <c r="D305" s="66">
        <f>VLOOKUP(C305,基本字段定义!$B$3:$C$3008,2,FALSE)</f>
        <v>507</v>
      </c>
      <c r="E305" s="67" t="s">
        <v>337</v>
      </c>
      <c r="F305" s="67"/>
      <c r="G305" s="68"/>
    </row>
    <row r="306" spans="2:7">
      <c r="B306" s="269"/>
      <c r="C306" s="65" t="s">
        <v>338</v>
      </c>
      <c r="D306" s="66">
        <f>VLOOKUP(C306,基本字段定义!$B$3:$C$3008,2,FALSE)</f>
        <v>508</v>
      </c>
      <c r="E306" s="67" t="s">
        <v>339</v>
      </c>
      <c r="F306" s="67"/>
      <c r="G306" s="69"/>
    </row>
    <row r="307" spans="2:7">
      <c r="B307" s="270"/>
      <c r="C307" s="71"/>
      <c r="D307" s="79"/>
      <c r="E307" s="73"/>
      <c r="F307" s="73"/>
      <c r="G307" s="74"/>
    </row>
    <row r="309" spans="2:7">
      <c r="B309" s="53" t="s">
        <v>146</v>
      </c>
      <c r="C309" s="291">
        <v>202005</v>
      </c>
      <c r="D309" s="291"/>
      <c r="E309" s="291"/>
      <c r="F309" s="54" t="s">
        <v>326</v>
      </c>
      <c r="G309" s="55"/>
    </row>
    <row r="310" spans="2:7">
      <c r="B310" s="56" t="s">
        <v>327</v>
      </c>
      <c r="C310" s="290" t="str">
        <f>VLOOKUP(C309,功能索引!$C$3:$D$269,2,FALSE)</f>
        <v>客户提示信息变更</v>
      </c>
      <c r="D310" s="290"/>
      <c r="E310" s="290"/>
      <c r="F310" s="57" t="s">
        <v>148</v>
      </c>
      <c r="G310" s="58">
        <f>VLOOKUP(C309,功能索引!$C$3:$E605,3,FALSE)</f>
        <v>0</v>
      </c>
    </row>
    <row r="311" spans="2:7">
      <c r="B311" s="269" t="s">
        <v>328</v>
      </c>
      <c r="C311" s="282"/>
      <c r="D311" s="282"/>
      <c r="E311" s="282"/>
      <c r="F311" s="282"/>
      <c r="G311" s="283"/>
    </row>
    <row r="312" spans="2:7">
      <c r="B312" s="270"/>
      <c r="C312" s="284"/>
      <c r="D312" s="284"/>
      <c r="E312" s="284"/>
      <c r="F312" s="284"/>
      <c r="G312" s="285"/>
    </row>
    <row r="313" spans="2:7">
      <c r="B313" s="271" t="s">
        <v>329</v>
      </c>
      <c r="C313" s="54" t="s">
        <v>330</v>
      </c>
      <c r="D313" s="54" t="s">
        <v>331</v>
      </c>
      <c r="E313" s="54" t="s">
        <v>332</v>
      </c>
      <c r="F313" s="54" t="s">
        <v>333</v>
      </c>
      <c r="G313" s="60" t="s">
        <v>334</v>
      </c>
    </row>
    <row r="314" spans="2:7">
      <c r="B314" s="269"/>
      <c r="C314" s="61" t="s">
        <v>402</v>
      </c>
      <c r="D314" s="62">
        <f>VLOOKUP(C314,基本字段定义!$B$3:$C$3008,2,FALSE)</f>
        <v>605</v>
      </c>
      <c r="E314" s="63" t="s">
        <v>403</v>
      </c>
      <c r="F314" s="63" t="s">
        <v>152</v>
      </c>
      <c r="G314" s="64" t="s">
        <v>404</v>
      </c>
    </row>
    <row r="315" spans="2:7">
      <c r="B315" s="269"/>
      <c r="C315" s="61" t="s">
        <v>350</v>
      </c>
      <c r="D315" s="62">
        <f>VLOOKUP(C315,基本字段定义!$B$3:$C$3008,2,FALSE)</f>
        <v>1785</v>
      </c>
      <c r="E315" s="63" t="s">
        <v>403</v>
      </c>
      <c r="F315" s="63" t="s">
        <v>152</v>
      </c>
      <c r="G315" s="64" t="s">
        <v>488</v>
      </c>
    </row>
    <row r="316" spans="2:7">
      <c r="B316" s="269"/>
      <c r="C316" s="61" t="s">
        <v>490</v>
      </c>
      <c r="D316" s="62">
        <f>VLOOKUP(C316,基本字段定义!$B$3:$C$3008,2,FALSE)</f>
        <v>901</v>
      </c>
      <c r="E316" s="63" t="s">
        <v>459</v>
      </c>
      <c r="F316" s="63" t="s">
        <v>152</v>
      </c>
      <c r="G316" s="64" t="s">
        <v>491</v>
      </c>
    </row>
    <row r="317" spans="2:7">
      <c r="B317" s="269"/>
      <c r="C317" s="61" t="s">
        <v>494</v>
      </c>
      <c r="D317" s="62">
        <f>VLOOKUP(C317,基本字段定义!$B$3:$C$3008,2,FALSE)</f>
        <v>1909</v>
      </c>
      <c r="E317" s="63" t="s">
        <v>459</v>
      </c>
      <c r="F317" s="63" t="s">
        <v>152</v>
      </c>
      <c r="G317" s="64" t="s">
        <v>495</v>
      </c>
    </row>
    <row r="318" spans="2:7">
      <c r="B318" s="269"/>
      <c r="C318" s="61" t="s">
        <v>470</v>
      </c>
      <c r="D318" s="62">
        <f>VLOOKUP(C318,基本字段定义!$B$3:$C$3008,2,FALSE)</f>
        <v>730</v>
      </c>
      <c r="E318" s="63" t="s">
        <v>471</v>
      </c>
      <c r="F318" s="63" t="s">
        <v>152</v>
      </c>
      <c r="G318" s="64" t="s">
        <v>334</v>
      </c>
    </row>
    <row r="319" spans="2:7">
      <c r="B319" s="269" t="s">
        <v>335</v>
      </c>
      <c r="C319" s="65" t="s">
        <v>336</v>
      </c>
      <c r="D319" s="66">
        <f>VLOOKUP(C319,基本字段定义!$B$3:$C$3008,2,FALSE)</f>
        <v>507</v>
      </c>
      <c r="E319" s="67" t="s">
        <v>337</v>
      </c>
      <c r="F319" s="67"/>
      <c r="G319" s="68"/>
    </row>
    <row r="320" spans="2:7">
      <c r="B320" s="269"/>
      <c r="C320" s="65" t="s">
        <v>338</v>
      </c>
      <c r="D320" s="66">
        <f>VLOOKUP(C320,基本字段定义!$B$3:$C$3008,2,FALSE)</f>
        <v>508</v>
      </c>
      <c r="E320" s="67" t="s">
        <v>339</v>
      </c>
      <c r="F320" s="67"/>
      <c r="G320" s="69"/>
    </row>
    <row r="321" spans="2:7">
      <c r="B321" s="270"/>
      <c r="C321" s="71"/>
      <c r="D321" s="79"/>
      <c r="E321" s="73"/>
      <c r="F321" s="73"/>
      <c r="G321" s="74"/>
    </row>
    <row r="323" spans="2:7">
      <c r="B323" s="53" t="s">
        <v>146</v>
      </c>
      <c r="C323" s="291">
        <v>202006</v>
      </c>
      <c r="D323" s="291"/>
      <c r="E323" s="291"/>
      <c r="F323" s="54" t="s">
        <v>326</v>
      </c>
      <c r="G323" s="55"/>
    </row>
    <row r="324" spans="2:7">
      <c r="B324" s="56" t="s">
        <v>327</v>
      </c>
      <c r="C324" s="290" t="str">
        <f>VLOOKUP(C323,功能索引!$C$3:$D$269,2,FALSE)</f>
        <v>客户提示信息删除</v>
      </c>
      <c r="D324" s="290"/>
      <c r="E324" s="290"/>
      <c r="F324" s="57" t="s">
        <v>148</v>
      </c>
      <c r="G324" s="58">
        <f>VLOOKUP(C323,功能索引!$C$3:$E620,3,FALSE)</f>
        <v>0</v>
      </c>
    </row>
    <row r="325" spans="2:7">
      <c r="B325" s="269" t="s">
        <v>328</v>
      </c>
      <c r="C325" s="282"/>
      <c r="D325" s="282"/>
      <c r="E325" s="282"/>
      <c r="F325" s="282"/>
      <c r="G325" s="283"/>
    </row>
    <row r="326" spans="2:7">
      <c r="B326" s="270"/>
      <c r="C326" s="284"/>
      <c r="D326" s="284"/>
      <c r="E326" s="284"/>
      <c r="F326" s="284"/>
      <c r="G326" s="285"/>
    </row>
    <row r="327" spans="2:7">
      <c r="B327" s="271" t="s">
        <v>329</v>
      </c>
      <c r="C327" s="54" t="s">
        <v>330</v>
      </c>
      <c r="D327" s="54" t="s">
        <v>331</v>
      </c>
      <c r="E327" s="54" t="s">
        <v>332</v>
      </c>
      <c r="F327" s="54" t="s">
        <v>333</v>
      </c>
      <c r="G327" s="60" t="s">
        <v>334</v>
      </c>
    </row>
    <row r="328" spans="2:7">
      <c r="B328" s="269"/>
      <c r="C328" s="61" t="s">
        <v>402</v>
      </c>
      <c r="D328" s="62">
        <f>VLOOKUP(C328,基本字段定义!$B$3:$C$3008,2,FALSE)</f>
        <v>605</v>
      </c>
      <c r="E328" s="63" t="s">
        <v>403</v>
      </c>
      <c r="F328" s="63" t="s">
        <v>152</v>
      </c>
      <c r="G328" s="64" t="s">
        <v>404</v>
      </c>
    </row>
    <row r="329" spans="2:7">
      <c r="B329" s="269"/>
      <c r="C329" s="61" t="s">
        <v>350</v>
      </c>
      <c r="D329" s="62">
        <f>VLOOKUP(C329,基本字段定义!$B$3:$C$3008,2,FALSE)</f>
        <v>1785</v>
      </c>
      <c r="E329" s="63" t="s">
        <v>403</v>
      </c>
      <c r="F329" s="63" t="s">
        <v>152</v>
      </c>
      <c r="G329" s="64" t="s">
        <v>488</v>
      </c>
    </row>
    <row r="330" spans="2:7">
      <c r="B330" s="269"/>
      <c r="C330" s="61" t="s">
        <v>490</v>
      </c>
      <c r="D330" s="62">
        <f>VLOOKUP(C330,基本字段定义!$B$3:$C$3008,2,FALSE)</f>
        <v>901</v>
      </c>
      <c r="E330" s="63" t="s">
        <v>403</v>
      </c>
      <c r="F330" s="63" t="s">
        <v>152</v>
      </c>
      <c r="G330" s="64" t="s">
        <v>491</v>
      </c>
    </row>
    <row r="331" spans="2:7">
      <c r="B331" s="269"/>
      <c r="C331" s="61" t="s">
        <v>470</v>
      </c>
      <c r="D331" s="62">
        <f>VLOOKUP(C331,基本字段定义!$B$3:$C$3008,2,FALSE)</f>
        <v>730</v>
      </c>
      <c r="E331" s="63" t="s">
        <v>471</v>
      </c>
      <c r="F331" s="63" t="s">
        <v>152</v>
      </c>
      <c r="G331" s="64" t="s">
        <v>334</v>
      </c>
    </row>
    <row r="332" spans="2:7">
      <c r="B332" s="269" t="s">
        <v>335</v>
      </c>
      <c r="C332" s="65" t="s">
        <v>336</v>
      </c>
      <c r="D332" s="66">
        <f>VLOOKUP(C332,基本字段定义!$B$3:$C$3008,2,FALSE)</f>
        <v>507</v>
      </c>
      <c r="E332" s="67" t="s">
        <v>337</v>
      </c>
      <c r="F332" s="67"/>
      <c r="G332" s="68"/>
    </row>
    <row r="333" spans="2:7">
      <c r="B333" s="269"/>
      <c r="C333" s="65" t="s">
        <v>338</v>
      </c>
      <c r="D333" s="66">
        <f>VLOOKUP(C333,基本字段定义!$B$3:$C$3008,2,FALSE)</f>
        <v>508</v>
      </c>
      <c r="E333" s="67" t="s">
        <v>339</v>
      </c>
      <c r="F333" s="67"/>
      <c r="G333" s="69"/>
    </row>
    <row r="334" spans="2:7">
      <c r="B334" s="270"/>
      <c r="C334" s="71"/>
      <c r="D334" s="79"/>
      <c r="E334" s="73"/>
      <c r="F334" s="73"/>
      <c r="G334" s="74"/>
    </row>
    <row r="336" spans="2:7">
      <c r="B336" s="53" t="s">
        <v>146</v>
      </c>
      <c r="C336" s="291">
        <v>202022</v>
      </c>
      <c r="D336" s="291"/>
      <c r="E336" s="291"/>
      <c r="F336" s="54" t="s">
        <v>326</v>
      </c>
      <c r="G336" s="55"/>
    </row>
    <row r="337" spans="2:7">
      <c r="B337" s="56" t="s">
        <v>327</v>
      </c>
      <c r="C337" s="290" t="str">
        <f>VLOOKUP(C336,功能索引!$C$3:$D$269,2,FALSE)</f>
        <v>记录资料变更信息</v>
      </c>
      <c r="D337" s="290"/>
      <c r="E337" s="290"/>
      <c r="F337" s="57" t="s">
        <v>148</v>
      </c>
      <c r="G337" s="58">
        <f>VLOOKUP(C336,功能索引!$C$3:$E634,3,FALSE)</f>
        <v>0</v>
      </c>
    </row>
    <row r="338" spans="2:7">
      <c r="B338" s="269" t="s">
        <v>328</v>
      </c>
      <c r="C338" s="282"/>
      <c r="D338" s="282"/>
      <c r="E338" s="282"/>
      <c r="F338" s="282"/>
      <c r="G338" s="283"/>
    </row>
    <row r="339" spans="2:7">
      <c r="B339" s="270"/>
      <c r="C339" s="284"/>
      <c r="D339" s="284"/>
      <c r="E339" s="284"/>
      <c r="F339" s="284"/>
      <c r="G339" s="285"/>
    </row>
    <row r="340" spans="2:7">
      <c r="B340" s="271" t="s">
        <v>329</v>
      </c>
      <c r="C340" s="54" t="s">
        <v>330</v>
      </c>
      <c r="D340" s="54" t="s">
        <v>331</v>
      </c>
      <c r="E340" s="54" t="s">
        <v>332</v>
      </c>
      <c r="F340" s="54" t="s">
        <v>333</v>
      </c>
      <c r="G340" s="60" t="s">
        <v>334</v>
      </c>
    </row>
    <row r="341" spans="2:7">
      <c r="B341" s="269"/>
      <c r="C341" s="61" t="s">
        <v>402</v>
      </c>
      <c r="D341" s="62">
        <f>VLOOKUP(C341,基本字段定义!$B$3:$C$3008,2,FALSE)</f>
        <v>605</v>
      </c>
      <c r="E341" s="63" t="s">
        <v>403</v>
      </c>
      <c r="F341" s="63" t="s">
        <v>152</v>
      </c>
      <c r="G341" s="64" t="s">
        <v>404</v>
      </c>
    </row>
    <row r="342" spans="2:7">
      <c r="B342" s="269"/>
      <c r="C342" s="61" t="s">
        <v>496</v>
      </c>
      <c r="D342" s="62">
        <f>VLOOKUP(C342,基本字段定义!$B$3:$C$3008,2,FALSE)</f>
        <v>694</v>
      </c>
      <c r="E342" s="63" t="s">
        <v>497</v>
      </c>
      <c r="F342" s="63" t="s">
        <v>152</v>
      </c>
      <c r="G342" s="64" t="s">
        <v>498</v>
      </c>
    </row>
    <row r="343" spans="2:7">
      <c r="B343" s="269"/>
      <c r="C343" s="61" t="s">
        <v>499</v>
      </c>
      <c r="D343" s="62">
        <f>VLOOKUP(C343,基本字段定义!$B$3:$C$3008,2,FALSE)</f>
        <v>793</v>
      </c>
      <c r="E343" s="63" t="s">
        <v>500</v>
      </c>
      <c r="F343" s="63" t="s">
        <v>152</v>
      </c>
      <c r="G343" s="64" t="s">
        <v>501</v>
      </c>
    </row>
    <row r="344" spans="2:7">
      <c r="B344" s="269"/>
      <c r="C344" s="61" t="s">
        <v>470</v>
      </c>
      <c r="D344" s="62">
        <f>VLOOKUP(C344,基本字段定义!$B$3:$C$3008,2,FALSE)</f>
        <v>730</v>
      </c>
      <c r="E344" s="63" t="s">
        <v>471</v>
      </c>
      <c r="F344" s="63" t="s">
        <v>152</v>
      </c>
      <c r="G344" s="64" t="s">
        <v>334</v>
      </c>
    </row>
    <row r="345" spans="2:7">
      <c r="B345" s="269" t="s">
        <v>335</v>
      </c>
      <c r="C345" s="65" t="s">
        <v>336</v>
      </c>
      <c r="D345" s="66">
        <f>VLOOKUP(C345,基本字段定义!$B$3:$C$3008,2,FALSE)</f>
        <v>507</v>
      </c>
      <c r="E345" s="67" t="s">
        <v>337</v>
      </c>
      <c r="F345" s="67"/>
      <c r="G345" s="68"/>
    </row>
    <row r="346" spans="2:7">
      <c r="B346" s="269"/>
      <c r="C346" s="65" t="s">
        <v>338</v>
      </c>
      <c r="D346" s="66">
        <f>VLOOKUP(C346,基本字段定义!$B$3:$C$3008,2,FALSE)</f>
        <v>508</v>
      </c>
      <c r="E346" s="67" t="s">
        <v>339</v>
      </c>
      <c r="F346" s="67"/>
      <c r="G346" s="69"/>
    </row>
    <row r="347" spans="2:7">
      <c r="B347" s="270"/>
      <c r="C347" s="71"/>
      <c r="D347" s="79"/>
      <c r="E347" s="73"/>
      <c r="F347" s="73"/>
      <c r="G347" s="74"/>
    </row>
    <row r="349" spans="2:7">
      <c r="B349" s="53" t="s">
        <v>146</v>
      </c>
      <c r="C349" s="291">
        <v>202067</v>
      </c>
      <c r="D349" s="291"/>
      <c r="E349" s="291"/>
      <c r="F349" s="54" t="s">
        <v>326</v>
      </c>
      <c r="G349" s="55"/>
    </row>
    <row r="350" spans="2:7">
      <c r="B350" s="56" t="s">
        <v>327</v>
      </c>
      <c r="C350" s="290" t="str">
        <f>VLOOKUP(C349,功能索引!$C$3:$D$269,2,FALSE)</f>
        <v>交易风险确认</v>
      </c>
      <c r="D350" s="290"/>
      <c r="E350" s="290"/>
      <c r="F350" s="57" t="s">
        <v>148</v>
      </c>
      <c r="G350" s="58">
        <f>VLOOKUP(C349,功能索引!$C$3:$E648,3,FALSE)</f>
        <v>0</v>
      </c>
    </row>
    <row r="351" spans="2:7">
      <c r="B351" s="269" t="s">
        <v>328</v>
      </c>
      <c r="C351" s="282" t="s">
        <v>502</v>
      </c>
      <c r="D351" s="282"/>
      <c r="E351" s="282"/>
      <c r="F351" s="282"/>
      <c r="G351" s="283"/>
    </row>
    <row r="352" spans="2:7">
      <c r="B352" s="270"/>
      <c r="C352" s="284"/>
      <c r="D352" s="284"/>
      <c r="E352" s="284"/>
      <c r="F352" s="284"/>
      <c r="G352" s="285"/>
    </row>
    <row r="353" spans="2:7">
      <c r="B353" s="271" t="s">
        <v>329</v>
      </c>
      <c r="C353" s="54" t="s">
        <v>330</v>
      </c>
      <c r="D353" s="54" t="s">
        <v>331</v>
      </c>
      <c r="E353" s="54" t="s">
        <v>332</v>
      </c>
      <c r="F353" s="54" t="s">
        <v>333</v>
      </c>
      <c r="G353" s="60" t="s">
        <v>334</v>
      </c>
    </row>
    <row r="354" spans="2:7">
      <c r="B354" s="269"/>
      <c r="C354" s="61" t="s">
        <v>402</v>
      </c>
      <c r="D354" s="62">
        <f>VLOOKUP(C354,基本字段定义!$B$3:$C$3008,2,FALSE)</f>
        <v>605</v>
      </c>
      <c r="E354" s="63" t="s">
        <v>403</v>
      </c>
      <c r="F354" s="63" t="s">
        <v>152</v>
      </c>
      <c r="G354" s="64"/>
    </row>
    <row r="355" spans="2:7">
      <c r="B355" s="269"/>
      <c r="C355" s="61" t="s">
        <v>503</v>
      </c>
      <c r="D355" s="62">
        <f>VLOOKUP(C355,基本字段定义!$B$3:$C$3008,2,FALSE)</f>
        <v>1332</v>
      </c>
      <c r="E355" s="63" t="s">
        <v>337</v>
      </c>
      <c r="F355" s="63" t="s">
        <v>152</v>
      </c>
      <c r="G355" s="64" t="s">
        <v>504</v>
      </c>
    </row>
    <row r="356" spans="2:7">
      <c r="B356" s="269" t="s">
        <v>335</v>
      </c>
      <c r="C356" s="65" t="s">
        <v>336</v>
      </c>
      <c r="D356" s="66">
        <f>VLOOKUP(C356,基本字段定义!$B$3:$C$3008,2,FALSE)</f>
        <v>507</v>
      </c>
      <c r="E356" s="67" t="s">
        <v>337</v>
      </c>
      <c r="F356" s="67"/>
      <c r="G356" s="68"/>
    </row>
    <row r="357" spans="2:7">
      <c r="B357" s="269"/>
      <c r="C357" s="65" t="s">
        <v>338</v>
      </c>
      <c r="D357" s="66">
        <f>VLOOKUP(C357,基本字段定义!$B$3:$C$3008,2,FALSE)</f>
        <v>508</v>
      </c>
      <c r="E357" s="67" t="s">
        <v>339</v>
      </c>
      <c r="F357" s="67"/>
      <c r="G357" s="69"/>
    </row>
    <row r="358" spans="2:7">
      <c r="B358" s="270"/>
      <c r="C358" s="71"/>
      <c r="D358" s="79"/>
      <c r="E358" s="73"/>
      <c r="F358" s="73"/>
      <c r="G358" s="74"/>
    </row>
    <row r="360" spans="2:7">
      <c r="B360" s="53" t="s">
        <v>146</v>
      </c>
      <c r="C360" s="291">
        <v>202068</v>
      </c>
      <c r="D360" s="291"/>
      <c r="E360" s="291"/>
      <c r="F360" s="54" t="s">
        <v>326</v>
      </c>
      <c r="G360" s="55"/>
    </row>
    <row r="361" spans="2:7">
      <c r="B361" s="56" t="s">
        <v>327</v>
      </c>
      <c r="C361" s="290" t="str">
        <f>VLOOKUP(C360,功能索引!$C$3:$D$269,2,FALSE)</f>
        <v>交易风险确认结果查询</v>
      </c>
      <c r="D361" s="290"/>
      <c r="E361" s="290"/>
      <c r="F361" s="57" t="s">
        <v>148</v>
      </c>
      <c r="G361" s="58" t="str">
        <f>VLOOKUP(C360,功能索引!$C$3:$E659,3,FALSE)</f>
        <v>Y</v>
      </c>
    </row>
    <row r="362" spans="2:7">
      <c r="B362" s="269" t="s">
        <v>328</v>
      </c>
      <c r="C362" s="282" t="s">
        <v>505</v>
      </c>
      <c r="D362" s="282"/>
      <c r="E362" s="282"/>
      <c r="F362" s="282"/>
      <c r="G362" s="283"/>
    </row>
    <row r="363" spans="2:7">
      <c r="B363" s="270"/>
      <c r="C363" s="284"/>
      <c r="D363" s="284"/>
      <c r="E363" s="284"/>
      <c r="F363" s="284"/>
      <c r="G363" s="285"/>
    </row>
    <row r="364" spans="2:7">
      <c r="B364" s="271" t="s">
        <v>329</v>
      </c>
      <c r="C364" s="54" t="s">
        <v>330</v>
      </c>
      <c r="D364" s="54" t="s">
        <v>331</v>
      </c>
      <c r="E364" s="54" t="s">
        <v>332</v>
      </c>
      <c r="F364" s="54" t="s">
        <v>333</v>
      </c>
      <c r="G364" s="60" t="s">
        <v>334</v>
      </c>
    </row>
    <row r="365" spans="2:7">
      <c r="B365" s="269"/>
      <c r="C365" s="61" t="s">
        <v>402</v>
      </c>
      <c r="D365" s="62">
        <f>VLOOKUP(C365,基本字段定义!$B$3:$C$3008,2,FALSE)</f>
        <v>605</v>
      </c>
      <c r="E365" s="63" t="s">
        <v>403</v>
      </c>
      <c r="F365" s="63" t="s">
        <v>152</v>
      </c>
      <c r="G365" s="64"/>
    </row>
    <row r="366" spans="2:7">
      <c r="B366" s="269"/>
      <c r="C366" s="61" t="s">
        <v>503</v>
      </c>
      <c r="D366" s="62">
        <f>VLOOKUP(C366,基本字段定义!$B$3:$C$3008,2,FALSE)</f>
        <v>1332</v>
      </c>
      <c r="E366" s="63" t="s">
        <v>337</v>
      </c>
      <c r="F366" s="63"/>
      <c r="G366" s="64" t="s">
        <v>506</v>
      </c>
    </row>
    <row r="367" spans="2:7">
      <c r="B367" s="269" t="s">
        <v>335</v>
      </c>
      <c r="C367" s="65" t="s">
        <v>503</v>
      </c>
      <c r="D367" s="66">
        <f>VLOOKUP(C367,基本字段定义!$B$3:$C$3008,2,FALSE)</f>
        <v>1332</v>
      </c>
      <c r="E367" s="67" t="s">
        <v>337</v>
      </c>
      <c r="F367" s="67"/>
      <c r="G367" s="69" t="s">
        <v>506</v>
      </c>
    </row>
    <row r="368" spans="2:7">
      <c r="B368" s="269"/>
      <c r="C368" s="65" t="s">
        <v>507</v>
      </c>
      <c r="D368" s="66">
        <f>VLOOKUP(C368,基本字段定义!$B$3:$C$3008,2,FALSE)</f>
        <v>812</v>
      </c>
      <c r="E368" s="67" t="s">
        <v>337</v>
      </c>
      <c r="F368" s="67"/>
      <c r="G368" s="68" t="s">
        <v>508</v>
      </c>
    </row>
    <row r="369" spans="2:7">
      <c r="B369" s="269"/>
      <c r="C369" s="65" t="s">
        <v>509</v>
      </c>
      <c r="D369" s="66">
        <f>VLOOKUP(C369,基本字段定义!$B$3:$C$3008,2,FALSE)</f>
        <v>1850</v>
      </c>
      <c r="E369" s="67" t="s">
        <v>337</v>
      </c>
      <c r="F369" s="67"/>
      <c r="G369" s="69" t="s">
        <v>510</v>
      </c>
    </row>
    <row r="370" spans="2:7">
      <c r="B370" s="270"/>
      <c r="C370" s="71"/>
      <c r="D370" s="79"/>
      <c r="E370" s="73"/>
      <c r="F370" s="73"/>
      <c r="G370" s="74"/>
    </row>
    <row r="372" spans="2:7">
      <c r="B372" s="53" t="s">
        <v>146</v>
      </c>
      <c r="C372" s="291">
        <v>202039</v>
      </c>
      <c r="D372" s="291"/>
      <c r="E372" s="291"/>
      <c r="F372" s="54" t="s">
        <v>326</v>
      </c>
      <c r="G372" s="55"/>
    </row>
    <row r="373" spans="2:7">
      <c r="B373" s="56" t="s">
        <v>327</v>
      </c>
      <c r="C373" s="290" t="str">
        <f>VLOOKUP(C372,功能索引!$C$3:$D$269,2,FALSE)</f>
        <v>自助登入信息</v>
      </c>
      <c r="D373" s="290"/>
      <c r="E373" s="290"/>
      <c r="F373" s="57" t="s">
        <v>148</v>
      </c>
      <c r="G373" s="58">
        <f>VLOOKUP(C372,功能索引!$C$3:$E670,3,FALSE)</f>
        <v>0</v>
      </c>
    </row>
    <row r="374" spans="2:7">
      <c r="B374" s="269" t="s">
        <v>328</v>
      </c>
      <c r="C374" s="282" t="s">
        <v>511</v>
      </c>
      <c r="D374" s="282"/>
      <c r="E374" s="282"/>
      <c r="F374" s="282"/>
      <c r="G374" s="283"/>
    </row>
    <row r="375" spans="2:7">
      <c r="B375" s="270"/>
      <c r="C375" s="284"/>
      <c r="D375" s="284"/>
      <c r="E375" s="284"/>
      <c r="F375" s="284"/>
      <c r="G375" s="285"/>
    </row>
    <row r="376" spans="2:7">
      <c r="B376" s="287" t="s">
        <v>329</v>
      </c>
      <c r="C376" s="54" t="s">
        <v>330</v>
      </c>
      <c r="D376" s="54" t="s">
        <v>331</v>
      </c>
      <c r="E376" s="54" t="s">
        <v>332</v>
      </c>
      <c r="F376" s="54" t="s">
        <v>333</v>
      </c>
      <c r="G376" s="60" t="s">
        <v>334</v>
      </c>
    </row>
    <row r="377" spans="2:7">
      <c r="B377" s="267"/>
      <c r="C377" s="61" t="s">
        <v>402</v>
      </c>
      <c r="D377" s="62">
        <f>VLOOKUP(C377,基本字段定义!$B$3:$C$3008,2,FALSE)</f>
        <v>605</v>
      </c>
      <c r="E377" s="63" t="s">
        <v>403</v>
      </c>
      <c r="F377" s="63" t="s">
        <v>152</v>
      </c>
      <c r="G377" s="64" t="s">
        <v>404</v>
      </c>
    </row>
    <row r="378" spans="2:7">
      <c r="B378" s="267"/>
      <c r="C378" s="61" t="s">
        <v>470</v>
      </c>
      <c r="D378" s="62">
        <f>VLOOKUP(C378,基本字段定义!$B$3:$C$3008,2,FALSE)</f>
        <v>730</v>
      </c>
      <c r="E378" s="63" t="s">
        <v>471</v>
      </c>
      <c r="F378" s="63" t="s">
        <v>152</v>
      </c>
      <c r="G378" s="64" t="s">
        <v>512</v>
      </c>
    </row>
    <row r="379" spans="2:7">
      <c r="B379" s="267"/>
      <c r="C379" s="61" t="s">
        <v>499</v>
      </c>
      <c r="D379" s="62">
        <f>VLOOKUP(C379,基本字段定义!$B$3:$C$3008,2,FALSE)</f>
        <v>793</v>
      </c>
      <c r="E379" s="63" t="s">
        <v>500</v>
      </c>
      <c r="F379" s="63" t="s">
        <v>152</v>
      </c>
      <c r="G379" s="64" t="s">
        <v>501</v>
      </c>
    </row>
    <row r="380" spans="2:7">
      <c r="B380" s="267"/>
      <c r="C380" s="61" t="s">
        <v>513</v>
      </c>
      <c r="D380" s="62">
        <f>VLOOKUP(C380,基本字段定义!$B$3:$C$3008,2,FALSE)</f>
        <v>1464</v>
      </c>
      <c r="E380" s="63" t="s">
        <v>514</v>
      </c>
      <c r="F380" s="63"/>
      <c r="G380" s="64" t="s">
        <v>515</v>
      </c>
    </row>
    <row r="381" spans="2:7">
      <c r="B381" s="267"/>
      <c r="C381" s="61" t="s">
        <v>516</v>
      </c>
      <c r="D381" s="62">
        <f>VLOOKUP(C381,基本字段定义!$B$3:$C$3008,2,FALSE)</f>
        <v>756</v>
      </c>
      <c r="E381" s="63" t="s">
        <v>337</v>
      </c>
      <c r="F381" s="63"/>
      <c r="G381" s="64" t="s">
        <v>517</v>
      </c>
    </row>
    <row r="382" spans="2:7">
      <c r="B382" s="286"/>
      <c r="C382" s="61" t="s">
        <v>518</v>
      </c>
      <c r="D382" s="62">
        <f>VLOOKUP(C382,基本字段定义!$B$3:$C$3008,2,FALSE)</f>
        <v>1055</v>
      </c>
      <c r="E382" s="63" t="s">
        <v>500</v>
      </c>
      <c r="F382" s="63"/>
      <c r="G382" s="64" t="s">
        <v>519</v>
      </c>
    </row>
    <row r="383" spans="2:7">
      <c r="B383" s="269" t="s">
        <v>335</v>
      </c>
      <c r="C383" s="65" t="s">
        <v>336</v>
      </c>
      <c r="D383" s="66">
        <f>VLOOKUP(C383,基本字段定义!$B$3:$C$3008,2,FALSE)</f>
        <v>507</v>
      </c>
      <c r="E383" s="67" t="s">
        <v>337</v>
      </c>
      <c r="F383" s="67"/>
      <c r="G383" s="68"/>
    </row>
    <row r="384" spans="2:7">
      <c r="B384" s="269"/>
      <c r="C384" s="65" t="s">
        <v>338</v>
      </c>
      <c r="D384" s="66">
        <f>VLOOKUP(C384,基本字段定义!$B$3:$C$3008,2,FALSE)</f>
        <v>508</v>
      </c>
      <c r="E384" s="67" t="s">
        <v>339</v>
      </c>
      <c r="F384" s="67"/>
      <c r="G384" s="69"/>
    </row>
    <row r="385" spans="2:7">
      <c r="B385" s="270"/>
      <c r="C385" s="61"/>
      <c r="D385" s="62"/>
      <c r="E385" s="63"/>
      <c r="F385" s="63"/>
      <c r="G385" s="64"/>
    </row>
    <row r="387" spans="2:7">
      <c r="B387" s="53" t="s">
        <v>146</v>
      </c>
      <c r="C387" s="291">
        <v>203019</v>
      </c>
      <c r="D387" s="291"/>
      <c r="E387" s="291"/>
      <c r="F387" s="54" t="s">
        <v>326</v>
      </c>
      <c r="G387" s="55"/>
    </row>
    <row r="388" spans="2:7">
      <c r="B388" s="56" t="s">
        <v>327</v>
      </c>
      <c r="C388" s="290" t="str">
        <f>VLOOKUP(C387,功能索引!$C$3:$D$269,2,FALSE)</f>
        <v>变更主资金帐户检查</v>
      </c>
      <c r="D388" s="290"/>
      <c r="E388" s="290"/>
      <c r="F388" s="57" t="s">
        <v>148</v>
      </c>
      <c r="G388" s="58">
        <f>VLOOKUP(C387,功能索引!$C$3:$E685,3,FALSE)</f>
        <v>0</v>
      </c>
    </row>
    <row r="389" spans="2:7">
      <c r="B389" s="269" t="s">
        <v>328</v>
      </c>
      <c r="C389" s="282" t="s">
        <v>181</v>
      </c>
      <c r="D389" s="282"/>
      <c r="E389" s="282"/>
      <c r="F389" s="282"/>
      <c r="G389" s="283"/>
    </row>
    <row r="390" spans="2:7">
      <c r="B390" s="270"/>
      <c r="C390" s="284"/>
      <c r="D390" s="284"/>
      <c r="E390" s="284"/>
      <c r="F390" s="284"/>
      <c r="G390" s="285"/>
    </row>
    <row r="391" spans="2:7">
      <c r="B391" s="287" t="s">
        <v>329</v>
      </c>
      <c r="C391" s="54" t="s">
        <v>330</v>
      </c>
      <c r="D391" s="54" t="s">
        <v>331</v>
      </c>
      <c r="E391" s="54" t="s">
        <v>332</v>
      </c>
      <c r="F391" s="54" t="s">
        <v>333</v>
      </c>
      <c r="G391" s="60" t="s">
        <v>334</v>
      </c>
    </row>
    <row r="392" spans="2:7">
      <c r="B392" s="267"/>
      <c r="C392" s="61" t="s">
        <v>520</v>
      </c>
      <c r="D392" s="62">
        <f>VLOOKUP(C392,基本字段定义!$B$3:$C$3008,2,FALSE)</f>
        <v>645</v>
      </c>
      <c r="E392" s="63" t="s">
        <v>403</v>
      </c>
      <c r="F392" s="63" t="s">
        <v>152</v>
      </c>
      <c r="G392" s="64" t="s">
        <v>521</v>
      </c>
    </row>
    <row r="393" spans="2:7">
      <c r="B393" s="267"/>
      <c r="C393" s="61" t="s">
        <v>522</v>
      </c>
      <c r="D393" s="62">
        <f>VLOOKUP(C393,基本字段定义!$B$3:$C$3008,2,FALSE)</f>
        <v>716</v>
      </c>
      <c r="E393" s="63" t="s">
        <v>471</v>
      </c>
      <c r="F393" s="63" t="s">
        <v>152</v>
      </c>
      <c r="G393" s="64" t="s">
        <v>523</v>
      </c>
    </row>
    <row r="394" spans="2:7">
      <c r="B394" s="267"/>
      <c r="C394" s="61" t="s">
        <v>402</v>
      </c>
      <c r="D394" s="62">
        <f>VLOOKUP(C394,基本字段定义!$B$3:$C$3008,2,FALSE)</f>
        <v>605</v>
      </c>
      <c r="E394" s="63" t="s">
        <v>500</v>
      </c>
      <c r="F394" s="63" t="s">
        <v>152</v>
      </c>
      <c r="G394" s="64" t="s">
        <v>404</v>
      </c>
    </row>
    <row r="395" spans="2:7">
      <c r="B395" s="267"/>
      <c r="C395" s="61" t="s">
        <v>524</v>
      </c>
      <c r="D395" s="62">
        <f>VLOOKUP(C395,基本字段定义!$B$3:$C$3008,2,FALSE)</f>
        <v>511</v>
      </c>
      <c r="E395" s="63" t="s">
        <v>514</v>
      </c>
      <c r="F395" s="63"/>
      <c r="G395" s="64" t="s">
        <v>525</v>
      </c>
    </row>
    <row r="396" spans="2:7">
      <c r="B396" s="269" t="s">
        <v>335</v>
      </c>
      <c r="C396" s="65" t="s">
        <v>336</v>
      </c>
      <c r="D396" s="66">
        <f>VLOOKUP(C396,基本字段定义!$B$3:$C$3008,2,FALSE)</f>
        <v>507</v>
      </c>
      <c r="E396" s="67" t="s">
        <v>337</v>
      </c>
      <c r="F396" s="67"/>
      <c r="G396" s="68"/>
    </row>
    <row r="397" spans="2:7">
      <c r="B397" s="269"/>
      <c r="C397" s="65" t="s">
        <v>338</v>
      </c>
      <c r="D397" s="66">
        <f>VLOOKUP(C397,基本字段定义!$B$3:$C$3008,2,FALSE)</f>
        <v>508</v>
      </c>
      <c r="E397" s="67" t="s">
        <v>339</v>
      </c>
      <c r="F397" s="67"/>
      <c r="G397" s="69"/>
    </row>
    <row r="398" spans="2:7">
      <c r="B398" s="270"/>
      <c r="C398" s="61"/>
      <c r="D398" s="62"/>
      <c r="E398" s="63"/>
      <c r="F398" s="63"/>
      <c r="G398" s="64"/>
    </row>
    <row r="400" spans="2:7">
      <c r="B400" s="53" t="s">
        <v>146</v>
      </c>
      <c r="C400" s="295">
        <v>303002</v>
      </c>
      <c r="D400" s="296"/>
      <c r="E400" s="297"/>
      <c r="F400" s="54" t="s">
        <v>326</v>
      </c>
      <c r="G400" s="55"/>
    </row>
    <row r="401" spans="2:7">
      <c r="B401" s="56" t="s">
        <v>327</v>
      </c>
      <c r="C401" s="292" t="str">
        <f>VLOOKUP(C400,功能索引!$C$3:$D$269,2,FALSE)</f>
        <v>资金账户查询</v>
      </c>
      <c r="D401" s="293"/>
      <c r="E401" s="294"/>
      <c r="F401" s="57" t="s">
        <v>148</v>
      </c>
      <c r="G401" s="58" t="str">
        <f>VLOOKUP(C400,功能索引!$C$3:$E671,3,FALSE)</f>
        <v>Y</v>
      </c>
    </row>
    <row r="402" spans="2:7">
      <c r="B402" s="266" t="s">
        <v>328</v>
      </c>
      <c r="C402" s="276"/>
      <c r="D402" s="277"/>
      <c r="E402" s="277"/>
      <c r="F402" s="277"/>
      <c r="G402" s="278"/>
    </row>
    <row r="403" spans="2:7">
      <c r="B403" s="268"/>
      <c r="C403" s="279"/>
      <c r="D403" s="280"/>
      <c r="E403" s="280"/>
      <c r="F403" s="280"/>
      <c r="G403" s="281"/>
    </row>
    <row r="404" spans="2:7">
      <c r="B404" s="287" t="s">
        <v>329</v>
      </c>
      <c r="C404" s="54" t="s">
        <v>330</v>
      </c>
      <c r="D404" s="54" t="s">
        <v>331</v>
      </c>
      <c r="E404" s="54" t="s">
        <v>332</v>
      </c>
      <c r="F404" s="54" t="s">
        <v>333</v>
      </c>
      <c r="G404" s="60" t="s">
        <v>334</v>
      </c>
    </row>
    <row r="405" spans="2:7">
      <c r="B405" s="267"/>
      <c r="C405" s="61" t="s">
        <v>402</v>
      </c>
      <c r="D405" s="62">
        <f>VLOOKUP(C405,基本字段定义!$B$3:$C$3008,2,FALSE)</f>
        <v>605</v>
      </c>
      <c r="E405" s="63" t="s">
        <v>403</v>
      </c>
      <c r="F405" s="63" t="s">
        <v>152</v>
      </c>
      <c r="G405" s="64" t="s">
        <v>404</v>
      </c>
    </row>
    <row r="406" spans="2:7">
      <c r="B406" s="267"/>
      <c r="C406" s="61" t="s">
        <v>432</v>
      </c>
      <c r="D406" s="62">
        <f>VLOOKUP(C406,基本字段定义!$B$3:$C$3008,2,FALSE)</f>
        <v>988</v>
      </c>
      <c r="E406" s="63" t="s">
        <v>337</v>
      </c>
      <c r="F406" s="63"/>
      <c r="G406" s="64" t="s">
        <v>526</v>
      </c>
    </row>
    <row r="407" spans="2:7">
      <c r="B407" s="286"/>
      <c r="C407" s="61" t="s">
        <v>524</v>
      </c>
      <c r="D407" s="62">
        <f>VLOOKUP(C407,基本字段定义!$B$3:$C$3008,2,FALSE)</f>
        <v>511</v>
      </c>
      <c r="E407" s="63" t="s">
        <v>527</v>
      </c>
      <c r="F407" s="63"/>
      <c r="G407" s="64" t="s">
        <v>528</v>
      </c>
    </row>
    <row r="408" spans="2:7">
      <c r="B408" s="269" t="s">
        <v>335</v>
      </c>
      <c r="C408" s="65" t="s">
        <v>522</v>
      </c>
      <c r="D408" s="66">
        <f>VLOOKUP(C408,基本字段定义!$B$3:$C$3008,2,FALSE)</f>
        <v>716</v>
      </c>
      <c r="E408" s="67" t="s">
        <v>339</v>
      </c>
      <c r="F408" s="67"/>
      <c r="G408" s="68" t="s">
        <v>529</v>
      </c>
    </row>
    <row r="409" spans="2:7">
      <c r="B409" s="269"/>
      <c r="C409" s="65" t="s">
        <v>524</v>
      </c>
      <c r="D409" s="66">
        <f>VLOOKUP(C409,基本字段定义!$B$3:$C$3008,2,FALSE)</f>
        <v>511</v>
      </c>
      <c r="E409" s="67" t="s">
        <v>339</v>
      </c>
      <c r="F409" s="67"/>
      <c r="G409" s="69" t="s">
        <v>525</v>
      </c>
    </row>
    <row r="410" spans="2:7">
      <c r="B410" s="269"/>
      <c r="C410" s="65" t="s">
        <v>530</v>
      </c>
      <c r="D410" s="66">
        <f>VLOOKUP(C410,基本字段定义!$B$3:$C$3008,2,FALSE)</f>
        <v>727</v>
      </c>
      <c r="E410" s="67" t="s">
        <v>337</v>
      </c>
      <c r="F410" s="67"/>
      <c r="G410" s="69" t="s">
        <v>531</v>
      </c>
    </row>
    <row r="411" spans="2:7">
      <c r="B411" s="269"/>
      <c r="C411" s="65" t="s">
        <v>532</v>
      </c>
      <c r="D411" s="66">
        <f>VLOOKUP(C411,基本字段定义!$B$3:$C$3008,2,FALSE)</f>
        <v>929</v>
      </c>
      <c r="E411" s="67" t="s">
        <v>337</v>
      </c>
      <c r="F411" s="67"/>
      <c r="G411" s="69" t="s">
        <v>533</v>
      </c>
    </row>
    <row r="412" spans="2:7">
      <c r="B412" s="269"/>
      <c r="C412" s="65" t="s">
        <v>534</v>
      </c>
      <c r="D412" s="66">
        <f>VLOOKUP(C412,基本字段定义!$B$3:$C$3008,2,FALSE)</f>
        <v>710</v>
      </c>
      <c r="E412" s="67" t="s">
        <v>337</v>
      </c>
      <c r="F412" s="67"/>
      <c r="G412" s="69" t="s">
        <v>535</v>
      </c>
    </row>
    <row r="413" spans="2:7">
      <c r="B413" s="269"/>
      <c r="C413" s="65" t="s">
        <v>536</v>
      </c>
      <c r="D413" s="66">
        <f>VLOOKUP(C413,基本字段定义!$B$3:$C$3008,2,FALSE)</f>
        <v>709</v>
      </c>
      <c r="E413" s="67" t="s">
        <v>537</v>
      </c>
      <c r="F413" s="67"/>
      <c r="G413" s="69" t="s">
        <v>538</v>
      </c>
    </row>
    <row r="414" spans="2:7">
      <c r="B414" s="269"/>
      <c r="C414" s="65" t="s">
        <v>539</v>
      </c>
      <c r="D414" s="66">
        <f>VLOOKUP(C414,基本字段定义!$B$3:$C$3008,2,FALSE)</f>
        <v>826</v>
      </c>
      <c r="E414" s="67" t="s">
        <v>537</v>
      </c>
      <c r="F414" s="67"/>
      <c r="G414" s="69" t="s">
        <v>540</v>
      </c>
    </row>
    <row r="415" spans="2:7">
      <c r="B415" s="269"/>
      <c r="C415" s="65" t="s">
        <v>541</v>
      </c>
      <c r="D415" s="66">
        <f>VLOOKUP(C415,基本字段定义!$B$3:$C$3008,2,FALSE)</f>
        <v>619</v>
      </c>
      <c r="E415" s="67" t="s">
        <v>537</v>
      </c>
      <c r="F415" s="67"/>
      <c r="G415" s="69" t="s">
        <v>542</v>
      </c>
    </row>
    <row r="416" spans="2:7">
      <c r="B416" s="269"/>
      <c r="C416" s="65" t="s">
        <v>543</v>
      </c>
      <c r="D416" s="66">
        <f>VLOOKUP(C416,基本字段定义!$B$3:$C$3008,2,FALSE)</f>
        <v>617</v>
      </c>
      <c r="E416" s="67" t="s">
        <v>537</v>
      </c>
      <c r="F416" s="67"/>
      <c r="G416" s="69" t="s">
        <v>544</v>
      </c>
    </row>
    <row r="417" spans="2:7">
      <c r="B417" s="269"/>
      <c r="C417" s="65" t="s">
        <v>545</v>
      </c>
      <c r="D417" s="66">
        <f>VLOOKUP(C417,基本字段定义!$B$3:$C$3008,2,FALSE)</f>
        <v>2100</v>
      </c>
      <c r="E417" s="67" t="s">
        <v>537</v>
      </c>
      <c r="F417" s="67"/>
      <c r="G417" s="69" t="s">
        <v>546</v>
      </c>
    </row>
    <row r="418" spans="2:7">
      <c r="B418" s="269"/>
      <c r="C418" s="65" t="s">
        <v>547</v>
      </c>
      <c r="D418" s="66">
        <f>VLOOKUP(C418,基本字段定义!$B$3:$C$3008,2,FALSE)</f>
        <v>760</v>
      </c>
      <c r="E418" s="67" t="s">
        <v>537</v>
      </c>
      <c r="F418" s="67"/>
      <c r="G418" s="69" t="s">
        <v>548</v>
      </c>
    </row>
    <row r="419" spans="2:7">
      <c r="B419" s="269"/>
      <c r="C419" s="65" t="s">
        <v>549</v>
      </c>
      <c r="D419" s="66">
        <f>VLOOKUP(C419,基本字段定义!$B$3:$C$3008,2,FALSE)</f>
        <v>1254</v>
      </c>
      <c r="E419" s="67" t="s">
        <v>537</v>
      </c>
      <c r="F419" s="67"/>
      <c r="G419" s="69" t="s">
        <v>550</v>
      </c>
    </row>
    <row r="420" spans="2:7">
      <c r="B420" s="269"/>
      <c r="C420" s="65" t="s">
        <v>551</v>
      </c>
      <c r="D420" s="66">
        <f>VLOOKUP(C420,基本字段定义!$B$3:$C$3008,2,FALSE)</f>
        <v>1255</v>
      </c>
      <c r="E420" s="67" t="s">
        <v>537</v>
      </c>
      <c r="F420" s="67"/>
      <c r="G420" s="69" t="s">
        <v>552</v>
      </c>
    </row>
    <row r="421" spans="2:7">
      <c r="B421" s="270"/>
      <c r="C421" s="71"/>
      <c r="D421" s="79"/>
      <c r="E421" s="73"/>
      <c r="F421" s="73"/>
      <c r="G421" s="74"/>
    </row>
    <row r="423" spans="2:7">
      <c r="B423" s="53" t="s">
        <v>146</v>
      </c>
      <c r="C423" s="291">
        <v>303001</v>
      </c>
      <c r="D423" s="291"/>
      <c r="E423" s="291"/>
      <c r="F423" s="54" t="s">
        <v>326</v>
      </c>
      <c r="G423" s="55"/>
    </row>
    <row r="424" spans="2:7">
      <c r="B424" s="56" t="s">
        <v>327</v>
      </c>
      <c r="C424" s="290" t="str">
        <f>VLOOKUP(C423,功能索引!$C$3:$D$269,2,FALSE)</f>
        <v>指定资金账户信息查询</v>
      </c>
      <c r="D424" s="290"/>
      <c r="E424" s="290"/>
      <c r="F424" s="57" t="s">
        <v>148</v>
      </c>
      <c r="G424" s="58">
        <f>VLOOKUP(C423,功能索引!$C$3:$E707,3,FALSE)</f>
        <v>0</v>
      </c>
    </row>
    <row r="425" spans="2:7">
      <c r="B425" s="269" t="s">
        <v>328</v>
      </c>
      <c r="C425" s="276"/>
      <c r="D425" s="277"/>
      <c r="E425" s="277"/>
      <c r="F425" s="277"/>
      <c r="G425" s="278"/>
    </row>
    <row r="426" spans="2:7">
      <c r="B426" s="270"/>
      <c r="C426" s="279"/>
      <c r="D426" s="280"/>
      <c r="E426" s="280"/>
      <c r="F426" s="280"/>
      <c r="G426" s="281"/>
    </row>
    <row r="427" spans="2:7">
      <c r="B427" s="271" t="s">
        <v>329</v>
      </c>
      <c r="C427" s="54" t="s">
        <v>330</v>
      </c>
      <c r="D427" s="54" t="s">
        <v>331</v>
      </c>
      <c r="E427" s="54" t="s">
        <v>332</v>
      </c>
      <c r="F427" s="54" t="s">
        <v>333</v>
      </c>
      <c r="G427" s="60" t="s">
        <v>334</v>
      </c>
    </row>
    <row r="428" spans="2:7">
      <c r="B428" s="269"/>
      <c r="C428" s="61" t="s">
        <v>522</v>
      </c>
      <c r="D428" s="62">
        <f>VLOOKUP(C428,基本字段定义!$B$3:$C$3008,2,FALSE)</f>
        <v>716</v>
      </c>
      <c r="E428" s="63" t="s">
        <v>553</v>
      </c>
      <c r="F428" s="63" t="s">
        <v>152</v>
      </c>
      <c r="G428" s="64"/>
    </row>
    <row r="429" spans="2:7">
      <c r="B429" s="269"/>
      <c r="C429" s="61" t="s">
        <v>432</v>
      </c>
      <c r="D429" s="62">
        <f>VLOOKUP(C429,基本字段定义!$B$3:$C$3008,2,FALSE)</f>
        <v>988</v>
      </c>
      <c r="E429" s="63" t="s">
        <v>337</v>
      </c>
      <c r="F429" s="63"/>
      <c r="G429" s="64" t="s">
        <v>554</v>
      </c>
    </row>
    <row r="430" spans="2:7">
      <c r="B430" s="269" t="s">
        <v>335</v>
      </c>
      <c r="C430" s="65" t="s">
        <v>336</v>
      </c>
      <c r="D430" s="66">
        <f>VLOOKUP(C430,基本字段定义!$B$3:$C$3008,2,FALSE)</f>
        <v>507</v>
      </c>
      <c r="E430" s="67" t="s">
        <v>337</v>
      </c>
      <c r="F430" s="67"/>
      <c r="G430" s="69"/>
    </row>
    <row r="431" spans="2:7">
      <c r="B431" s="269"/>
      <c r="C431" s="65" t="s">
        <v>338</v>
      </c>
      <c r="D431" s="66">
        <f>VLOOKUP(C431,基本字段定义!$B$3:$C$3008,2,FALSE)</f>
        <v>508</v>
      </c>
      <c r="E431" s="67" t="s">
        <v>339</v>
      </c>
      <c r="F431" s="67"/>
      <c r="G431" s="69"/>
    </row>
    <row r="432" spans="2:7">
      <c r="B432" s="269"/>
      <c r="C432" s="65" t="s">
        <v>524</v>
      </c>
      <c r="D432" s="66">
        <f>VLOOKUP(C432,基本字段定义!$B$3:$C$3008,2,FALSE)</f>
        <v>511</v>
      </c>
      <c r="E432" s="67" t="s">
        <v>339</v>
      </c>
      <c r="F432" s="67"/>
      <c r="G432" s="69" t="s">
        <v>525</v>
      </c>
    </row>
    <row r="433" spans="2:7">
      <c r="B433" s="269"/>
      <c r="C433" s="65" t="s">
        <v>530</v>
      </c>
      <c r="D433" s="66">
        <f>VLOOKUP(C433,基本字段定义!$B$3:$C$3008,2,FALSE)</f>
        <v>727</v>
      </c>
      <c r="E433" s="67" t="s">
        <v>337</v>
      </c>
      <c r="F433" s="67"/>
      <c r="G433" s="69" t="s">
        <v>531</v>
      </c>
    </row>
    <row r="434" spans="2:7">
      <c r="B434" s="269"/>
      <c r="C434" s="65" t="s">
        <v>532</v>
      </c>
      <c r="D434" s="66">
        <f>VLOOKUP(C434,基本字段定义!$B$3:$C$3008,2,FALSE)</f>
        <v>929</v>
      </c>
      <c r="E434" s="67" t="s">
        <v>337</v>
      </c>
      <c r="F434" s="67"/>
      <c r="G434" s="69" t="s">
        <v>533</v>
      </c>
    </row>
    <row r="435" spans="2:7">
      <c r="B435" s="269"/>
      <c r="C435" s="65" t="s">
        <v>534</v>
      </c>
      <c r="D435" s="66">
        <f>VLOOKUP(C435,基本字段定义!$B$3:$C$3008,2,FALSE)</f>
        <v>710</v>
      </c>
      <c r="E435" s="67" t="s">
        <v>337</v>
      </c>
      <c r="F435" s="67"/>
      <c r="G435" s="69" t="s">
        <v>535</v>
      </c>
    </row>
    <row r="436" spans="2:7">
      <c r="B436" s="269"/>
      <c r="C436" s="65" t="s">
        <v>536</v>
      </c>
      <c r="D436" s="66">
        <f>VLOOKUP(C436,基本字段定义!$B$3:$C$3008,2,FALSE)</f>
        <v>709</v>
      </c>
      <c r="E436" s="67" t="s">
        <v>537</v>
      </c>
      <c r="F436" s="67"/>
      <c r="G436" s="69" t="s">
        <v>538</v>
      </c>
    </row>
    <row r="437" spans="2:7">
      <c r="B437" s="269"/>
      <c r="C437" s="65" t="s">
        <v>539</v>
      </c>
      <c r="D437" s="66">
        <f>VLOOKUP(C437,基本字段定义!$B$3:$C$3008,2,FALSE)</f>
        <v>826</v>
      </c>
      <c r="E437" s="67" t="s">
        <v>537</v>
      </c>
      <c r="F437" s="67"/>
      <c r="G437" s="69" t="s">
        <v>540</v>
      </c>
    </row>
    <row r="438" spans="2:7">
      <c r="B438" s="269"/>
      <c r="C438" s="65" t="s">
        <v>541</v>
      </c>
      <c r="D438" s="66">
        <f>VLOOKUP(C438,基本字段定义!$B$3:$C$3008,2,FALSE)</f>
        <v>619</v>
      </c>
      <c r="E438" s="67" t="s">
        <v>537</v>
      </c>
      <c r="F438" s="67"/>
      <c r="G438" s="69" t="s">
        <v>542</v>
      </c>
    </row>
    <row r="439" spans="2:7">
      <c r="B439" s="269"/>
      <c r="C439" s="65" t="s">
        <v>543</v>
      </c>
      <c r="D439" s="66">
        <f>VLOOKUP(C439,基本字段定义!$B$3:$C$3008,2,FALSE)</f>
        <v>617</v>
      </c>
      <c r="E439" s="67" t="s">
        <v>537</v>
      </c>
      <c r="F439" s="67"/>
      <c r="G439" s="69" t="s">
        <v>544</v>
      </c>
    </row>
    <row r="440" spans="2:7">
      <c r="B440" s="269"/>
      <c r="C440" s="65" t="s">
        <v>545</v>
      </c>
      <c r="D440" s="66">
        <f>VLOOKUP(C440,基本字段定义!$B$3:$C$3008,2,FALSE)</f>
        <v>2100</v>
      </c>
      <c r="E440" s="67" t="s">
        <v>537</v>
      </c>
      <c r="F440" s="67"/>
      <c r="G440" s="69" t="s">
        <v>546</v>
      </c>
    </row>
    <row r="441" spans="2:7">
      <c r="B441" s="269"/>
      <c r="C441" s="65" t="s">
        <v>547</v>
      </c>
      <c r="D441" s="66">
        <f>VLOOKUP(C441,基本字段定义!$B$3:$C$3008,2,FALSE)</f>
        <v>760</v>
      </c>
      <c r="E441" s="67" t="s">
        <v>537</v>
      </c>
      <c r="F441" s="67"/>
      <c r="G441" s="69" t="s">
        <v>548</v>
      </c>
    </row>
    <row r="442" spans="2:7">
      <c r="B442" s="269"/>
      <c r="C442" s="65" t="s">
        <v>549</v>
      </c>
      <c r="D442" s="66">
        <f>VLOOKUP(C442,基本字段定义!$B$3:$C$3008,2,FALSE)</f>
        <v>1254</v>
      </c>
      <c r="E442" s="67" t="s">
        <v>537</v>
      </c>
      <c r="F442" s="67"/>
      <c r="G442" s="69" t="s">
        <v>550</v>
      </c>
    </row>
    <row r="443" spans="2:7">
      <c r="B443" s="269"/>
      <c r="C443" s="65" t="s">
        <v>551</v>
      </c>
      <c r="D443" s="66">
        <f>VLOOKUP(C443,基本字段定义!$B$3:$C$3008,2,FALSE)</f>
        <v>1255</v>
      </c>
      <c r="E443" s="67" t="s">
        <v>537</v>
      </c>
      <c r="F443" s="67"/>
      <c r="G443" s="69" t="s">
        <v>552</v>
      </c>
    </row>
    <row r="444" spans="2:7">
      <c r="B444" s="270"/>
      <c r="C444" s="71"/>
      <c r="D444" s="79"/>
      <c r="E444" s="73"/>
      <c r="F444" s="73"/>
      <c r="G444" s="74"/>
    </row>
    <row r="446" spans="2:7">
      <c r="B446" s="53" t="s">
        <v>146</v>
      </c>
      <c r="C446" s="291">
        <v>203525</v>
      </c>
      <c r="D446" s="291"/>
      <c r="E446" s="291"/>
      <c r="F446" s="54" t="s">
        <v>326</v>
      </c>
      <c r="G446" s="55"/>
    </row>
    <row r="447" spans="2:7">
      <c r="B447" s="56" t="s">
        <v>327</v>
      </c>
      <c r="C447" s="290" t="str">
        <f>VLOOKUP(C446,功能索引!$C$3:$D$269,2,FALSE)</f>
        <v>实际可取资金查询</v>
      </c>
      <c r="D447" s="290"/>
      <c r="E447" s="290"/>
      <c r="F447" s="57" t="s">
        <v>148</v>
      </c>
      <c r="G447" s="58">
        <f>VLOOKUP(C446,功能索引!$C$3:$E745,3,FALSE)</f>
        <v>0</v>
      </c>
    </row>
    <row r="448" spans="2:7" ht="13.5" customHeight="1">
      <c r="B448" s="269" t="s">
        <v>328</v>
      </c>
      <c r="C448" s="276" t="s">
        <v>555</v>
      </c>
      <c r="D448" s="277"/>
      <c r="E448" s="277"/>
      <c r="F448" s="277"/>
      <c r="G448" s="278"/>
    </row>
    <row r="449" spans="2:7">
      <c r="B449" s="270"/>
      <c r="C449" s="279"/>
      <c r="D449" s="280"/>
      <c r="E449" s="280"/>
      <c r="F449" s="280"/>
      <c r="G449" s="281"/>
    </row>
    <row r="450" spans="2:7">
      <c r="B450" s="271" t="s">
        <v>329</v>
      </c>
      <c r="C450" s="54" t="s">
        <v>330</v>
      </c>
      <c r="D450" s="54" t="s">
        <v>331</v>
      </c>
      <c r="E450" s="54" t="s">
        <v>332</v>
      </c>
      <c r="F450" s="54" t="s">
        <v>333</v>
      </c>
      <c r="G450" s="60" t="s">
        <v>334</v>
      </c>
    </row>
    <row r="451" spans="2:7">
      <c r="B451" s="269"/>
      <c r="C451" s="61" t="s">
        <v>402</v>
      </c>
      <c r="D451" s="62">
        <f>VLOOKUP(C451,基本字段定义!$B$3:$C$3008,2,FALSE)</f>
        <v>605</v>
      </c>
      <c r="E451" s="63" t="s">
        <v>403</v>
      </c>
      <c r="F451" s="63" t="s">
        <v>152</v>
      </c>
      <c r="G451" s="64"/>
    </row>
    <row r="452" spans="2:7">
      <c r="B452" s="269"/>
      <c r="C452" s="61" t="s">
        <v>522</v>
      </c>
      <c r="D452" s="62">
        <f>VLOOKUP(C452,基本字段定义!$B$3:$C$3008,2,FALSE)</f>
        <v>716</v>
      </c>
      <c r="E452" s="63" t="s">
        <v>553</v>
      </c>
      <c r="F452" s="63" t="s">
        <v>152</v>
      </c>
      <c r="G452" s="64"/>
    </row>
    <row r="453" spans="2:7">
      <c r="B453" s="269"/>
      <c r="C453" s="61" t="s">
        <v>524</v>
      </c>
      <c r="D453" s="62">
        <f>VLOOKUP(C453,基本字段定义!$B$3:$C$3008,2,FALSE)</f>
        <v>511</v>
      </c>
      <c r="E453" s="63" t="s">
        <v>527</v>
      </c>
      <c r="F453" s="63" t="s">
        <v>152</v>
      </c>
      <c r="G453" s="64"/>
    </row>
    <row r="454" spans="2:7">
      <c r="B454" s="269"/>
      <c r="C454" s="61" t="s">
        <v>556</v>
      </c>
      <c r="D454" s="62">
        <f>VLOOKUP(C454,基本字段定义!$B$3:$C$3008,2,FALSE)</f>
        <v>692</v>
      </c>
      <c r="E454" s="63" t="s">
        <v>345</v>
      </c>
      <c r="F454" s="63" t="s">
        <v>152</v>
      </c>
      <c r="G454" s="64" t="s">
        <v>557</v>
      </c>
    </row>
    <row r="455" spans="2:7">
      <c r="B455" s="269"/>
      <c r="C455" s="61" t="s">
        <v>503</v>
      </c>
      <c r="D455" s="62">
        <f>VLOOKUP(C455,基本字段定义!$B$3:$C$3008,2,FALSE)</f>
        <v>1332</v>
      </c>
      <c r="E455" s="63" t="s">
        <v>337</v>
      </c>
      <c r="F455" s="63" t="s">
        <v>152</v>
      </c>
      <c r="G455" s="64" t="s">
        <v>558</v>
      </c>
    </row>
    <row r="456" spans="2:7">
      <c r="B456" s="269"/>
      <c r="C456" s="61" t="s">
        <v>559</v>
      </c>
      <c r="D456" s="62">
        <f>VLOOKUP(C456,基本字段定义!$B$3:$C$3008,2,FALSE)</f>
        <v>9020</v>
      </c>
      <c r="E456" s="63" t="s">
        <v>337</v>
      </c>
      <c r="F456" s="63"/>
      <c r="G456" s="64" t="s">
        <v>560</v>
      </c>
    </row>
    <row r="457" spans="2:7">
      <c r="B457" s="269" t="s">
        <v>335</v>
      </c>
      <c r="C457" s="65" t="s">
        <v>336</v>
      </c>
      <c r="D457" s="66">
        <f>VLOOKUP(C457,基本字段定义!$B$3:$C$3008,2,FALSE)</f>
        <v>507</v>
      </c>
      <c r="E457" s="67" t="s">
        <v>337</v>
      </c>
      <c r="F457" s="67"/>
      <c r="G457" s="68" t="s">
        <v>561</v>
      </c>
    </row>
    <row r="458" spans="2:7">
      <c r="B458" s="269"/>
      <c r="C458" s="65" t="s">
        <v>338</v>
      </c>
      <c r="D458" s="66">
        <f>VLOOKUP(C458,基本字段定义!$B$3:$C$3008,2,FALSE)</f>
        <v>508</v>
      </c>
      <c r="E458" s="67" t="s">
        <v>339</v>
      </c>
      <c r="F458" s="67"/>
      <c r="G458" s="69"/>
    </row>
    <row r="459" spans="2:7">
      <c r="B459" s="269"/>
      <c r="C459" s="65" t="s">
        <v>543</v>
      </c>
      <c r="D459" s="66">
        <f>VLOOKUP(C459,基本字段定义!$B$3:$C$3008,2,FALSE)</f>
        <v>617</v>
      </c>
      <c r="E459" s="67" t="s">
        <v>537</v>
      </c>
      <c r="F459" s="67"/>
      <c r="G459" s="69"/>
    </row>
    <row r="460" spans="2:7">
      <c r="B460" s="270"/>
      <c r="C460" s="71"/>
      <c r="D460" s="79"/>
      <c r="E460" s="73"/>
      <c r="F460" s="73"/>
      <c r="G460" s="74"/>
    </row>
    <row r="462" spans="2:7">
      <c r="B462" s="53" t="s">
        <v>146</v>
      </c>
      <c r="C462" s="291">
        <v>203515</v>
      </c>
      <c r="D462" s="291"/>
      <c r="E462" s="291"/>
      <c r="F462" s="54" t="s">
        <v>326</v>
      </c>
      <c r="G462" s="55"/>
    </row>
    <row r="463" spans="2:7">
      <c r="B463" s="56" t="s">
        <v>327</v>
      </c>
      <c r="C463" s="290" t="str">
        <f>VLOOKUP(C462,功能索引!$C$3:$D$269,2,FALSE)</f>
        <v>取款预约</v>
      </c>
      <c r="D463" s="290"/>
      <c r="E463" s="290"/>
      <c r="F463" s="57" t="s">
        <v>148</v>
      </c>
      <c r="G463" s="58">
        <f>VLOOKUP(C462,功能索引!$C$3:$E761,3,FALSE)</f>
        <v>0</v>
      </c>
    </row>
    <row r="464" spans="2:7">
      <c r="B464" s="269" t="s">
        <v>328</v>
      </c>
      <c r="C464" s="276" t="s">
        <v>562</v>
      </c>
      <c r="D464" s="277"/>
      <c r="E464" s="277"/>
      <c r="F464" s="277"/>
      <c r="G464" s="278"/>
    </row>
    <row r="465" spans="2:7">
      <c r="B465" s="270"/>
      <c r="C465" s="279"/>
      <c r="D465" s="280"/>
      <c r="E465" s="280"/>
      <c r="F465" s="280"/>
      <c r="G465" s="281"/>
    </row>
    <row r="466" spans="2:7">
      <c r="B466" s="271" t="s">
        <v>329</v>
      </c>
      <c r="C466" s="54" t="s">
        <v>330</v>
      </c>
      <c r="D466" s="54" t="s">
        <v>331</v>
      </c>
      <c r="E466" s="54" t="s">
        <v>332</v>
      </c>
      <c r="F466" s="54" t="s">
        <v>333</v>
      </c>
      <c r="G466" s="60" t="s">
        <v>334</v>
      </c>
    </row>
    <row r="467" spans="2:7">
      <c r="B467" s="269"/>
      <c r="C467" s="61" t="s">
        <v>402</v>
      </c>
      <c r="D467" s="62">
        <f>VLOOKUP(C467,基本字段定义!$B$3:$C$3008,2,FALSE)</f>
        <v>605</v>
      </c>
      <c r="E467" s="63" t="s">
        <v>403</v>
      </c>
      <c r="F467" s="63" t="s">
        <v>152</v>
      </c>
      <c r="G467" s="64" t="s">
        <v>404</v>
      </c>
    </row>
    <row r="468" spans="2:7">
      <c r="B468" s="269"/>
      <c r="C468" s="61" t="s">
        <v>522</v>
      </c>
      <c r="D468" s="62">
        <f>VLOOKUP(C468,基本字段定义!$B$3:$C$3008,2,FALSE)</f>
        <v>716</v>
      </c>
      <c r="E468" s="63" t="s">
        <v>553</v>
      </c>
      <c r="F468" s="63" t="s">
        <v>152</v>
      </c>
      <c r="G468" s="64"/>
    </row>
    <row r="469" spans="2:7">
      <c r="B469" s="269"/>
      <c r="C469" s="61" t="s">
        <v>563</v>
      </c>
      <c r="D469" s="62">
        <f>VLOOKUP(C469,基本字段定义!$B$3:$C$3008,2,FALSE)</f>
        <v>1991</v>
      </c>
      <c r="E469" s="63" t="s">
        <v>345</v>
      </c>
      <c r="F469" s="63" t="s">
        <v>152</v>
      </c>
      <c r="G469" s="64" t="s">
        <v>564</v>
      </c>
    </row>
    <row r="470" spans="2:7">
      <c r="B470" s="269"/>
      <c r="C470" s="61" t="s">
        <v>417</v>
      </c>
      <c r="D470" s="62">
        <f>VLOOKUP(C470,基本字段定义!$B$3:$C$3008,2,FALSE)</f>
        <v>610</v>
      </c>
      <c r="E470" s="63" t="s">
        <v>362</v>
      </c>
      <c r="F470" s="63" t="s">
        <v>152</v>
      </c>
      <c r="G470" s="64" t="s">
        <v>565</v>
      </c>
    </row>
    <row r="471" spans="2:7">
      <c r="B471" s="269"/>
      <c r="C471" s="61" t="s">
        <v>556</v>
      </c>
      <c r="D471" s="62">
        <f>VLOOKUP(C471,基本字段定义!$B$3:$C$3008,2,FALSE)</f>
        <v>692</v>
      </c>
      <c r="E471" s="63" t="s">
        <v>345</v>
      </c>
      <c r="F471" s="63" t="s">
        <v>152</v>
      </c>
      <c r="G471" s="64" t="s">
        <v>566</v>
      </c>
    </row>
    <row r="472" spans="2:7">
      <c r="B472" s="269"/>
      <c r="C472" s="61" t="s">
        <v>524</v>
      </c>
      <c r="D472" s="62">
        <f>VLOOKUP(C472,基本字段定义!$B$3:$C$3008,2,FALSE)</f>
        <v>511</v>
      </c>
      <c r="E472" s="63" t="s">
        <v>527</v>
      </c>
      <c r="F472" s="63" t="s">
        <v>152</v>
      </c>
      <c r="G472" s="64" t="s">
        <v>525</v>
      </c>
    </row>
    <row r="473" spans="2:7">
      <c r="B473" s="269"/>
      <c r="C473" s="61" t="s">
        <v>567</v>
      </c>
      <c r="D473" s="62">
        <f>VLOOKUP(C473,基本字段定义!$B$3:$C$3008,2,FALSE)</f>
        <v>746</v>
      </c>
      <c r="E473" s="63" t="s">
        <v>537</v>
      </c>
      <c r="F473" s="63" t="s">
        <v>152</v>
      </c>
      <c r="G473" s="64" t="s">
        <v>568</v>
      </c>
    </row>
    <row r="474" spans="2:7">
      <c r="B474" s="269"/>
      <c r="C474" s="61" t="s">
        <v>569</v>
      </c>
      <c r="D474" s="62">
        <f>VLOOKUP(C474,基本字段定义!$B$3:$C$3008,2,FALSE)</f>
        <v>1458</v>
      </c>
      <c r="E474" s="63" t="s">
        <v>337</v>
      </c>
      <c r="F474" s="63" t="s">
        <v>152</v>
      </c>
      <c r="G474" s="64" t="s">
        <v>570</v>
      </c>
    </row>
    <row r="475" spans="2:7">
      <c r="B475" s="288" t="s">
        <v>335</v>
      </c>
      <c r="C475" s="65" t="s">
        <v>336</v>
      </c>
      <c r="D475" s="66">
        <f>VLOOKUP(C475,基本字段定义!$B$3:$C$3008,2,FALSE)</f>
        <v>507</v>
      </c>
      <c r="E475" s="67" t="s">
        <v>337</v>
      </c>
      <c r="F475" s="67"/>
      <c r="G475" s="68" t="s">
        <v>571</v>
      </c>
    </row>
    <row r="476" spans="2:7">
      <c r="B476" s="289"/>
      <c r="C476" s="65" t="s">
        <v>338</v>
      </c>
      <c r="D476" s="66">
        <f>VLOOKUP(C476,基本字段定义!$B$3:$C$3008,2,FALSE)</f>
        <v>508</v>
      </c>
      <c r="E476" s="67" t="s">
        <v>339</v>
      </c>
      <c r="F476" s="67"/>
      <c r="G476" s="69" t="s">
        <v>572</v>
      </c>
    </row>
    <row r="477" spans="2:7">
      <c r="B477" s="289"/>
      <c r="C477" s="87" t="s">
        <v>573</v>
      </c>
      <c r="D477" s="66">
        <v>1682</v>
      </c>
      <c r="E477" s="67" t="s">
        <v>398</v>
      </c>
      <c r="F477" s="88"/>
      <c r="G477" s="69" t="s">
        <v>574</v>
      </c>
    </row>
    <row r="478" spans="2:7">
      <c r="B478" s="289"/>
      <c r="C478" s="71" t="s">
        <v>575</v>
      </c>
      <c r="D478" s="66">
        <f>VLOOKUP(C478,基本字段定义!$B$3:$C$3008,2,FALSE)</f>
        <v>797</v>
      </c>
      <c r="E478" s="67" t="s">
        <v>339</v>
      </c>
      <c r="F478" s="73"/>
      <c r="G478" s="69" t="s">
        <v>576</v>
      </c>
    </row>
    <row r="479" spans="2:7">
      <c r="B479" s="103"/>
      <c r="C479" s="103"/>
      <c r="D479" s="104"/>
      <c r="E479" s="105"/>
      <c r="F479" s="105"/>
      <c r="G479" s="106"/>
    </row>
    <row r="480" spans="2:7">
      <c r="B480" s="53" t="s">
        <v>146</v>
      </c>
      <c r="C480" s="80">
        <v>203501</v>
      </c>
      <c r="D480" s="81"/>
      <c r="E480" s="82"/>
      <c r="F480" s="54" t="s">
        <v>326</v>
      </c>
      <c r="G480" s="55"/>
    </row>
    <row r="481" spans="2:7">
      <c r="B481" s="56" t="s">
        <v>327</v>
      </c>
      <c r="C481" s="83" t="str">
        <f>VLOOKUP(C480,功能索引!$C$3:$D$269,2,FALSE)</f>
        <v>资金收费</v>
      </c>
      <c r="D481" s="84"/>
      <c r="E481" s="85"/>
      <c r="F481" s="57" t="s">
        <v>148</v>
      </c>
      <c r="G481" s="58">
        <f>VLOOKUP(C480,功能索引!$C$3:$E783,3,FALSE)</f>
        <v>0</v>
      </c>
    </row>
    <row r="482" spans="2:7">
      <c r="B482" s="269" t="s">
        <v>328</v>
      </c>
      <c r="C482" s="95"/>
      <c r="D482" s="96"/>
      <c r="E482" s="96"/>
      <c r="F482" s="96"/>
      <c r="G482" s="97"/>
    </row>
    <row r="483" spans="2:7">
      <c r="B483" s="270"/>
      <c r="C483" s="98"/>
      <c r="D483" s="99"/>
      <c r="E483" s="99"/>
      <c r="F483" s="99"/>
      <c r="G483" s="100"/>
    </row>
    <row r="484" spans="2:7">
      <c r="B484" s="271" t="s">
        <v>329</v>
      </c>
      <c r="C484" s="54" t="s">
        <v>330</v>
      </c>
      <c r="D484" s="54" t="s">
        <v>331</v>
      </c>
      <c r="E484" s="54" t="s">
        <v>332</v>
      </c>
      <c r="F484" s="54" t="s">
        <v>333</v>
      </c>
      <c r="G484" s="60" t="s">
        <v>334</v>
      </c>
    </row>
    <row r="485" spans="2:7">
      <c r="B485" s="269"/>
      <c r="C485" s="61" t="s">
        <v>402</v>
      </c>
      <c r="D485" s="62">
        <f>VLOOKUP(C485,基本字段定义!$B$3:$C$3008,2,FALSE)</f>
        <v>605</v>
      </c>
      <c r="E485" s="63" t="s">
        <v>403</v>
      </c>
      <c r="F485" s="63" t="s">
        <v>152</v>
      </c>
      <c r="G485" s="64" t="s">
        <v>404</v>
      </c>
    </row>
    <row r="486" spans="2:7">
      <c r="B486" s="269"/>
      <c r="C486" s="61" t="s">
        <v>522</v>
      </c>
      <c r="D486" s="62">
        <f>VLOOKUP(C486,基本字段定义!$B$3:$C$3008,2,FALSE)</f>
        <v>716</v>
      </c>
      <c r="E486" s="63" t="s">
        <v>553</v>
      </c>
      <c r="F486" s="63" t="s">
        <v>152</v>
      </c>
      <c r="G486" s="64" t="s">
        <v>529</v>
      </c>
    </row>
    <row r="487" spans="2:7">
      <c r="B487" s="269"/>
      <c r="C487" s="61" t="s">
        <v>524</v>
      </c>
      <c r="D487" s="62">
        <f>VLOOKUP(C487,基本字段定义!$B$3:$C$3008,2,FALSE)</f>
        <v>511</v>
      </c>
      <c r="E487" s="63" t="s">
        <v>527</v>
      </c>
      <c r="F487" s="63" t="s">
        <v>152</v>
      </c>
      <c r="G487" s="64" t="s">
        <v>525</v>
      </c>
    </row>
    <row r="488" spans="2:7">
      <c r="B488" s="269"/>
      <c r="C488" s="61" t="s">
        <v>577</v>
      </c>
      <c r="D488" s="62">
        <f>VLOOKUP(C488,基本字段定义!$B$3:$C$3008,2,FALSE)</f>
        <v>806</v>
      </c>
      <c r="E488" s="63" t="s">
        <v>578</v>
      </c>
      <c r="F488" s="63" t="s">
        <v>152</v>
      </c>
      <c r="G488" s="64" t="s">
        <v>579</v>
      </c>
    </row>
    <row r="489" spans="2:7">
      <c r="B489" s="269"/>
      <c r="C489" s="61" t="s">
        <v>556</v>
      </c>
      <c r="D489" s="62">
        <f>VLOOKUP(C489,基本字段定义!$B$3:$C$3008,2,FALSE)</f>
        <v>692</v>
      </c>
      <c r="E489" s="63" t="s">
        <v>345</v>
      </c>
      <c r="F489" s="63" t="s">
        <v>152</v>
      </c>
      <c r="G489" s="64" t="s">
        <v>580</v>
      </c>
    </row>
    <row r="490" spans="2:7">
      <c r="B490" s="269"/>
      <c r="C490" s="61" t="s">
        <v>496</v>
      </c>
      <c r="D490" s="62">
        <f>VLOOKUP(C490,基本字段定义!$B$3:$C$3008,2,FALSE)</f>
        <v>694</v>
      </c>
      <c r="E490" s="63" t="s">
        <v>497</v>
      </c>
      <c r="F490" s="63" t="s">
        <v>152</v>
      </c>
      <c r="G490" s="64" t="s">
        <v>581</v>
      </c>
    </row>
    <row r="491" spans="2:7">
      <c r="B491" s="269"/>
      <c r="C491" s="61" t="s">
        <v>582</v>
      </c>
      <c r="D491" s="62">
        <f>VLOOKUP(C491,基本字段定义!$B$3:$C$3008,2,FALSE)</f>
        <v>808</v>
      </c>
      <c r="E491" s="63" t="s">
        <v>537</v>
      </c>
      <c r="F491" s="63" t="s">
        <v>152</v>
      </c>
      <c r="G491" s="64" t="s">
        <v>583</v>
      </c>
    </row>
    <row r="492" spans="2:7">
      <c r="B492" s="269"/>
      <c r="C492" s="61" t="s">
        <v>470</v>
      </c>
      <c r="D492" s="62">
        <f>VLOOKUP(C492,基本字段定义!$B$3:$C$3008,2,FALSE)</f>
        <v>730</v>
      </c>
      <c r="E492" s="63" t="s">
        <v>471</v>
      </c>
      <c r="F492" s="63" t="s">
        <v>152</v>
      </c>
      <c r="G492" s="64" t="s">
        <v>584</v>
      </c>
    </row>
    <row r="493" spans="2:7">
      <c r="B493" s="269" t="s">
        <v>335</v>
      </c>
      <c r="C493" s="65" t="s">
        <v>336</v>
      </c>
      <c r="D493" s="66">
        <f>VLOOKUP(C493,基本字段定义!$B$3:$C$3008,2,FALSE)</f>
        <v>507</v>
      </c>
      <c r="E493" s="67" t="s">
        <v>337</v>
      </c>
      <c r="F493" s="67"/>
      <c r="G493" s="68"/>
    </row>
    <row r="494" spans="2:7">
      <c r="B494" s="269"/>
      <c r="C494" s="65" t="s">
        <v>338</v>
      </c>
      <c r="D494" s="66">
        <f>VLOOKUP(C494,基本字段定义!$B$3:$C$3008,2,FALSE)</f>
        <v>508</v>
      </c>
      <c r="E494" s="67" t="s">
        <v>339</v>
      </c>
      <c r="F494" s="67"/>
      <c r="G494" s="69"/>
    </row>
    <row r="495" spans="2:7">
      <c r="B495" s="270"/>
      <c r="C495" s="71"/>
      <c r="D495" s="79"/>
      <c r="E495" s="73"/>
      <c r="F495" s="73"/>
      <c r="G495" s="74"/>
    </row>
    <row r="497" spans="2:7">
      <c r="B497" s="53" t="s">
        <v>146</v>
      </c>
      <c r="C497" s="80">
        <v>303010</v>
      </c>
      <c r="D497" s="81"/>
      <c r="E497" s="82"/>
      <c r="F497" s="54" t="s">
        <v>326</v>
      </c>
      <c r="G497" s="55"/>
    </row>
    <row r="498" spans="2:7">
      <c r="B498" s="56" t="s">
        <v>327</v>
      </c>
      <c r="C498" s="83" t="str">
        <f>VLOOKUP(C497,功能索引!$C$3:$D$269,2,FALSE)</f>
        <v>资金明细查询</v>
      </c>
      <c r="D498" s="84"/>
      <c r="E498" s="85"/>
      <c r="F498" s="57" t="s">
        <v>148</v>
      </c>
      <c r="G498" s="58" t="str">
        <f>VLOOKUP(C497,功能索引!$C$3:$E805,3,FALSE)</f>
        <v>Y</v>
      </c>
    </row>
    <row r="499" spans="2:7">
      <c r="B499" s="269" t="s">
        <v>328</v>
      </c>
      <c r="C499" s="95" t="s">
        <v>585</v>
      </c>
      <c r="D499" s="96"/>
      <c r="E499" s="96"/>
      <c r="F499" s="96"/>
      <c r="G499" s="97"/>
    </row>
    <row r="500" spans="2:7">
      <c r="B500" s="270"/>
      <c r="C500" s="98"/>
      <c r="D500" s="99"/>
      <c r="E500" s="99"/>
      <c r="F500" s="99"/>
      <c r="G500" s="100"/>
    </row>
    <row r="501" spans="2:7">
      <c r="B501" s="271" t="s">
        <v>329</v>
      </c>
      <c r="C501" s="54" t="s">
        <v>330</v>
      </c>
      <c r="D501" s="54" t="s">
        <v>331</v>
      </c>
      <c r="E501" s="54" t="s">
        <v>332</v>
      </c>
      <c r="F501" s="54" t="s">
        <v>333</v>
      </c>
      <c r="G501" s="60" t="s">
        <v>334</v>
      </c>
    </row>
    <row r="502" spans="2:7">
      <c r="B502" s="269"/>
      <c r="C502" s="61" t="s">
        <v>402</v>
      </c>
      <c r="D502" s="62">
        <f>VLOOKUP(C502,基本字段定义!$B$3:$C$3008,2,FALSE)</f>
        <v>605</v>
      </c>
      <c r="E502" s="63" t="s">
        <v>403</v>
      </c>
      <c r="F502" s="63" t="s">
        <v>152</v>
      </c>
      <c r="G502" s="64" t="s">
        <v>404</v>
      </c>
    </row>
    <row r="503" spans="2:7">
      <c r="B503" s="269"/>
      <c r="C503" s="61" t="s">
        <v>586</v>
      </c>
      <c r="D503" s="62">
        <f>VLOOKUP(C503,基本字段定义!$B$3:$C$3008,2,FALSE)</f>
        <v>9109</v>
      </c>
      <c r="E503" s="63" t="s">
        <v>337</v>
      </c>
      <c r="F503" s="63"/>
      <c r="G503" s="64" t="s">
        <v>587</v>
      </c>
    </row>
    <row r="504" spans="2:7">
      <c r="B504" s="269"/>
      <c r="C504" s="61" t="s">
        <v>524</v>
      </c>
      <c r="D504" s="62">
        <f>VLOOKUP(C504,基本字段定义!$B$3:$C$3008,2,FALSE)</f>
        <v>511</v>
      </c>
      <c r="E504" s="63" t="s">
        <v>527</v>
      </c>
      <c r="F504" s="63"/>
      <c r="G504" s="64" t="s">
        <v>525</v>
      </c>
    </row>
    <row r="505" spans="2:7">
      <c r="B505" s="269"/>
      <c r="C505" s="61" t="s">
        <v>588</v>
      </c>
      <c r="D505" s="62">
        <f>VLOOKUP(C505,基本字段定义!$B$3:$C$3008,2,FALSE)</f>
        <v>763</v>
      </c>
      <c r="E505" s="63" t="s">
        <v>471</v>
      </c>
      <c r="F505" s="63"/>
      <c r="G505" s="64" t="s">
        <v>589</v>
      </c>
    </row>
    <row r="506" spans="2:7">
      <c r="B506" s="269"/>
      <c r="C506" s="61" t="s">
        <v>590</v>
      </c>
      <c r="D506" s="62">
        <f>VLOOKUP(C506,基本字段定义!$B$3:$C$3008,2,FALSE)</f>
        <v>9110</v>
      </c>
      <c r="E506" s="63" t="s">
        <v>337</v>
      </c>
      <c r="F506" s="63"/>
      <c r="G506" s="64" t="s">
        <v>591</v>
      </c>
    </row>
    <row r="507" spans="2:7">
      <c r="B507" s="269" t="s">
        <v>335</v>
      </c>
      <c r="C507" s="65" t="s">
        <v>588</v>
      </c>
      <c r="D507" s="66">
        <f>VLOOKUP(C507,基本字段定义!$B$3:$C$3008,2,FALSE)</f>
        <v>763</v>
      </c>
      <c r="E507" s="67" t="s">
        <v>339</v>
      </c>
      <c r="F507" s="67"/>
      <c r="G507" s="69" t="s">
        <v>592</v>
      </c>
    </row>
    <row r="508" spans="2:7">
      <c r="B508" s="269"/>
      <c r="C508" s="65" t="s">
        <v>575</v>
      </c>
      <c r="D508" s="66">
        <f>VLOOKUP(C508,基本字段定义!$B$3:$C$3008,2,FALSE)</f>
        <v>797</v>
      </c>
      <c r="E508" s="67" t="s">
        <v>339</v>
      </c>
      <c r="F508" s="67"/>
      <c r="G508" s="69" t="s">
        <v>576</v>
      </c>
    </row>
    <row r="509" spans="2:7">
      <c r="B509" s="269"/>
      <c r="C509" s="65" t="s">
        <v>367</v>
      </c>
      <c r="D509" s="66">
        <f>VLOOKUP(C509,基本字段定义!$B$3:$C$3008,2,FALSE)</f>
        <v>651</v>
      </c>
      <c r="E509" s="67" t="s">
        <v>337</v>
      </c>
      <c r="F509" s="67"/>
      <c r="G509" s="69" t="s">
        <v>593</v>
      </c>
    </row>
    <row r="510" spans="2:7">
      <c r="B510" s="269"/>
      <c r="C510" s="65" t="s">
        <v>594</v>
      </c>
      <c r="D510" s="66">
        <f>VLOOKUP(C510,基本字段定义!$B$3:$C$3008,2,FALSE)</f>
        <v>865</v>
      </c>
      <c r="E510" s="67" t="s">
        <v>339</v>
      </c>
      <c r="F510" s="67"/>
      <c r="G510" s="69" t="s">
        <v>595</v>
      </c>
    </row>
    <row r="511" spans="2:7">
      <c r="B511" s="269"/>
      <c r="C511" s="65" t="s">
        <v>522</v>
      </c>
      <c r="D511" s="66">
        <f>VLOOKUP(C511,基本字段定义!$B$3:$C$3008,2,FALSE)</f>
        <v>716</v>
      </c>
      <c r="E511" s="67" t="s">
        <v>339</v>
      </c>
      <c r="F511" s="67"/>
      <c r="G511" s="69" t="s">
        <v>529</v>
      </c>
    </row>
    <row r="512" spans="2:7">
      <c r="B512" s="269"/>
      <c r="C512" s="65" t="s">
        <v>496</v>
      </c>
      <c r="D512" s="66">
        <f>VLOOKUP(C512,基本字段定义!$B$3:$C$3008,2,FALSE)</f>
        <v>694</v>
      </c>
      <c r="E512" s="67" t="s">
        <v>339</v>
      </c>
      <c r="F512" s="67"/>
      <c r="G512" s="69" t="s">
        <v>596</v>
      </c>
    </row>
    <row r="513" spans="2:7">
      <c r="B513" s="269"/>
      <c r="C513" s="65" t="s">
        <v>524</v>
      </c>
      <c r="D513" s="66">
        <f>VLOOKUP(C513,基本字段定义!$B$3:$C$3008,2,FALSE)</f>
        <v>511</v>
      </c>
      <c r="E513" s="67" t="s">
        <v>339</v>
      </c>
      <c r="F513" s="67"/>
      <c r="G513" s="69" t="s">
        <v>525</v>
      </c>
    </row>
    <row r="514" spans="2:7">
      <c r="B514" s="269"/>
      <c r="C514" s="65" t="s">
        <v>597</v>
      </c>
      <c r="D514" s="66">
        <f>VLOOKUP(C514,基本字段定义!$B$3:$C$3008,2,FALSE)</f>
        <v>9115</v>
      </c>
      <c r="E514" s="67" t="s">
        <v>537</v>
      </c>
      <c r="F514" s="67"/>
      <c r="G514" s="69" t="s">
        <v>598</v>
      </c>
    </row>
    <row r="515" spans="2:7">
      <c r="B515" s="269"/>
      <c r="C515" s="65" t="s">
        <v>599</v>
      </c>
      <c r="D515" s="66">
        <f>VLOOKUP(C515,基本字段定义!$B$3:$C$3008,2,FALSE)</f>
        <v>9116</v>
      </c>
      <c r="E515" s="67" t="s">
        <v>537</v>
      </c>
      <c r="F515" s="67"/>
      <c r="G515" s="69" t="s">
        <v>600</v>
      </c>
    </row>
    <row r="516" spans="2:7">
      <c r="B516" s="269"/>
      <c r="C516" s="65" t="s">
        <v>601</v>
      </c>
      <c r="D516" s="66">
        <f>VLOOKUP(C516,基本字段定义!$B$3:$C$3008,2,FALSE)</f>
        <v>501</v>
      </c>
      <c r="E516" s="67" t="s">
        <v>537</v>
      </c>
      <c r="F516" s="67"/>
      <c r="G516" s="69" t="s">
        <v>602</v>
      </c>
    </row>
    <row r="517" spans="2:7">
      <c r="B517" s="269"/>
      <c r="C517" s="65" t="s">
        <v>470</v>
      </c>
      <c r="D517" s="66">
        <f>VLOOKUP(C517,基本字段定义!$B$3:$C$3008,2,FALSE)</f>
        <v>730</v>
      </c>
      <c r="E517" s="67" t="s">
        <v>339</v>
      </c>
      <c r="F517" s="67"/>
      <c r="G517" s="69" t="s">
        <v>334</v>
      </c>
    </row>
    <row r="518" spans="2:7">
      <c r="B518" s="269"/>
      <c r="C518" s="65" t="s">
        <v>582</v>
      </c>
      <c r="D518" s="66">
        <f>VLOOKUP(C518,基本字段定义!$B$3:$C$3008,2,FALSE)</f>
        <v>808</v>
      </c>
      <c r="E518" s="67" t="s">
        <v>537</v>
      </c>
      <c r="F518" s="67"/>
      <c r="G518" s="69" t="s">
        <v>603</v>
      </c>
    </row>
    <row r="519" spans="2:7">
      <c r="B519" s="270"/>
      <c r="C519" s="71"/>
      <c r="D519" s="79"/>
      <c r="E519" s="73"/>
      <c r="F519" s="73"/>
      <c r="G519" s="74"/>
    </row>
    <row r="521" spans="2:7">
      <c r="B521" s="53" t="s">
        <v>146</v>
      </c>
      <c r="C521" s="80">
        <v>303103</v>
      </c>
      <c r="D521" s="81"/>
      <c r="E521" s="82"/>
      <c r="F521" s="54" t="s">
        <v>326</v>
      </c>
      <c r="G521" s="55"/>
    </row>
    <row r="522" spans="2:7">
      <c r="B522" s="56" t="s">
        <v>327</v>
      </c>
      <c r="C522" s="83" t="str">
        <f>VLOOKUP(C521,功能索引!$C$3:$D$269,2,FALSE)</f>
        <v>银证转帐对应关系查询</v>
      </c>
      <c r="D522" s="84"/>
      <c r="E522" s="85"/>
      <c r="F522" s="57" t="s">
        <v>148</v>
      </c>
      <c r="G522" s="58" t="str">
        <f>VLOOKUP(C521,功能索引!$C$3:$E842,3,FALSE)</f>
        <v>Y</v>
      </c>
    </row>
    <row r="523" spans="2:7">
      <c r="B523" s="269" t="s">
        <v>328</v>
      </c>
      <c r="C523" s="95"/>
      <c r="D523" s="96"/>
      <c r="E523" s="96"/>
      <c r="F523" s="96"/>
      <c r="G523" s="97"/>
    </row>
    <row r="524" spans="2:7">
      <c r="B524" s="270"/>
      <c r="C524" s="98"/>
      <c r="D524" s="99"/>
      <c r="E524" s="99"/>
      <c r="F524" s="99"/>
      <c r="G524" s="100"/>
    </row>
    <row r="525" spans="2:7">
      <c r="B525" s="271" t="s">
        <v>329</v>
      </c>
      <c r="C525" s="54" t="s">
        <v>330</v>
      </c>
      <c r="D525" s="54" t="s">
        <v>331</v>
      </c>
      <c r="E525" s="54" t="s">
        <v>332</v>
      </c>
      <c r="F525" s="54" t="s">
        <v>333</v>
      </c>
      <c r="G525" s="60" t="s">
        <v>334</v>
      </c>
    </row>
    <row r="526" spans="2:7">
      <c r="B526" s="269"/>
      <c r="C526" s="61" t="s">
        <v>402</v>
      </c>
      <c r="D526" s="62">
        <f>VLOOKUP(C526,基本字段定义!$B$3:$C$3008,2,FALSE)</f>
        <v>605</v>
      </c>
      <c r="E526" s="63" t="s">
        <v>403</v>
      </c>
      <c r="F526" s="63" t="s">
        <v>152</v>
      </c>
      <c r="G526" s="64" t="s">
        <v>404</v>
      </c>
    </row>
    <row r="527" spans="2:7">
      <c r="B527" s="269"/>
      <c r="C527" s="61" t="s">
        <v>556</v>
      </c>
      <c r="D527" s="62">
        <f>VLOOKUP(C527,基本字段定义!$B$3:$C$3008,2,FALSE)</f>
        <v>692</v>
      </c>
      <c r="E527" s="63" t="s">
        <v>345</v>
      </c>
      <c r="F527" s="63"/>
      <c r="G527" s="64" t="s">
        <v>604</v>
      </c>
    </row>
    <row r="528" spans="2:7">
      <c r="B528" s="269"/>
      <c r="C528" s="61" t="s">
        <v>524</v>
      </c>
      <c r="D528" s="62">
        <f>VLOOKUP(C528,基本字段定义!$B$3:$C$3008,2,FALSE)</f>
        <v>511</v>
      </c>
      <c r="E528" s="63" t="s">
        <v>527</v>
      </c>
      <c r="F528" s="63"/>
      <c r="G528" s="64" t="s">
        <v>525</v>
      </c>
    </row>
    <row r="529" spans="2:7">
      <c r="B529" s="269" t="s">
        <v>335</v>
      </c>
      <c r="C529" s="65" t="s">
        <v>605</v>
      </c>
      <c r="D529" s="66">
        <f>VLOOKUP(C529,基本字段定义!$B$3:$C$3008,2,FALSE)</f>
        <v>693</v>
      </c>
      <c r="E529" s="67" t="s">
        <v>339</v>
      </c>
      <c r="F529" s="67"/>
      <c r="G529" s="69" t="s">
        <v>606</v>
      </c>
    </row>
    <row r="530" spans="2:7">
      <c r="B530" s="269"/>
      <c r="C530" s="65" t="s">
        <v>524</v>
      </c>
      <c r="D530" s="66">
        <f>VLOOKUP(C530,基本字段定义!$B$3:$C$3008,2,FALSE)</f>
        <v>511</v>
      </c>
      <c r="E530" s="67" t="s">
        <v>339</v>
      </c>
      <c r="F530" s="67"/>
      <c r="G530" s="69" t="s">
        <v>525</v>
      </c>
    </row>
    <row r="531" spans="2:7">
      <c r="B531" s="269"/>
      <c r="C531" s="65" t="s">
        <v>522</v>
      </c>
      <c r="D531" s="66">
        <f>VLOOKUP(C531,基本字段定义!$B$3:$C$3008,2,FALSE)</f>
        <v>716</v>
      </c>
      <c r="E531" s="67" t="s">
        <v>339</v>
      </c>
      <c r="F531" s="67"/>
      <c r="G531" s="69" t="s">
        <v>607</v>
      </c>
    </row>
    <row r="532" spans="2:7">
      <c r="B532" s="269"/>
      <c r="C532" s="65" t="s">
        <v>556</v>
      </c>
      <c r="D532" s="66">
        <f>VLOOKUP(C532,基本字段定义!$B$3:$C$3008,2,FALSE)</f>
        <v>692</v>
      </c>
      <c r="E532" s="67" t="s">
        <v>339</v>
      </c>
      <c r="F532" s="67"/>
      <c r="G532" s="69" t="s">
        <v>604</v>
      </c>
    </row>
    <row r="533" spans="2:7">
      <c r="B533" s="270"/>
      <c r="C533" s="71"/>
      <c r="D533" s="79"/>
      <c r="E533" s="73"/>
      <c r="F533" s="73"/>
      <c r="G533" s="74"/>
    </row>
    <row r="535" spans="2:7">
      <c r="B535" s="53" t="s">
        <v>146</v>
      </c>
      <c r="C535" s="80">
        <v>203111</v>
      </c>
      <c r="D535" s="81"/>
      <c r="E535" s="82"/>
      <c r="F535" s="54" t="s">
        <v>326</v>
      </c>
      <c r="G535" s="55"/>
    </row>
    <row r="536" spans="2:7">
      <c r="B536" s="56" t="s">
        <v>327</v>
      </c>
      <c r="C536" s="83" t="str">
        <f>VLOOKUP(C535,功能索引!$C$3:$D$269,2,FALSE)</f>
        <v>银行转证券</v>
      </c>
      <c r="D536" s="84"/>
      <c r="E536" s="85"/>
      <c r="F536" s="57" t="s">
        <v>148</v>
      </c>
      <c r="G536" s="58">
        <f>VLOOKUP(C535,功能索引!$C$3:$E863,3,FALSE)</f>
        <v>0</v>
      </c>
    </row>
    <row r="537" spans="2:7" ht="13.5" customHeight="1">
      <c r="B537" s="269" t="s">
        <v>328</v>
      </c>
      <c r="C537" s="95" t="s">
        <v>608</v>
      </c>
      <c r="D537" s="96"/>
      <c r="E537" s="96"/>
      <c r="F537" s="96"/>
      <c r="G537" s="97"/>
    </row>
    <row r="538" spans="2:7">
      <c r="B538" s="270"/>
      <c r="C538" s="98"/>
      <c r="D538" s="99"/>
      <c r="E538" s="99"/>
      <c r="F538" s="99"/>
      <c r="G538" s="100"/>
    </row>
    <row r="539" spans="2:7">
      <c r="B539" s="271" t="s">
        <v>329</v>
      </c>
      <c r="C539" s="54" t="s">
        <v>330</v>
      </c>
      <c r="D539" s="54" t="s">
        <v>331</v>
      </c>
      <c r="E539" s="54" t="s">
        <v>332</v>
      </c>
      <c r="F539" s="54" t="s">
        <v>333</v>
      </c>
      <c r="G539" s="60" t="s">
        <v>334</v>
      </c>
    </row>
    <row r="540" spans="2:7">
      <c r="B540" s="269"/>
      <c r="C540" s="61" t="s">
        <v>402</v>
      </c>
      <c r="D540" s="62">
        <f>VLOOKUP(C540,基本字段定义!$B$3:$C$3008,2,FALSE)</f>
        <v>605</v>
      </c>
      <c r="E540" s="63" t="s">
        <v>403</v>
      </c>
      <c r="F540" s="63" t="s">
        <v>152</v>
      </c>
      <c r="G540" s="64" t="s">
        <v>404</v>
      </c>
    </row>
    <row r="541" spans="2:7">
      <c r="B541" s="269"/>
      <c r="C541" s="61" t="s">
        <v>522</v>
      </c>
      <c r="D541" s="62">
        <f>VLOOKUP(C541,基本字段定义!$B$3:$C$3008,2,FALSE)</f>
        <v>716</v>
      </c>
      <c r="E541" s="63" t="s">
        <v>553</v>
      </c>
      <c r="F541" s="63" t="s">
        <v>152</v>
      </c>
      <c r="G541" s="64" t="s">
        <v>529</v>
      </c>
    </row>
    <row r="542" spans="2:7">
      <c r="B542" s="269"/>
      <c r="C542" s="61" t="s">
        <v>524</v>
      </c>
      <c r="D542" s="62">
        <f>VLOOKUP(C542,基本字段定义!$B$3:$C$3008,2,FALSE)</f>
        <v>511</v>
      </c>
      <c r="E542" s="63" t="s">
        <v>527</v>
      </c>
      <c r="F542" s="63" t="s">
        <v>152</v>
      </c>
      <c r="G542" s="64" t="s">
        <v>525</v>
      </c>
    </row>
    <row r="543" spans="2:7">
      <c r="B543" s="269"/>
      <c r="C543" s="61" t="s">
        <v>605</v>
      </c>
      <c r="D543" s="62">
        <f>VLOOKUP(C543,基本字段定义!$B$3:$C$3008,2,FALSE)</f>
        <v>693</v>
      </c>
      <c r="E543" s="63" t="s">
        <v>609</v>
      </c>
      <c r="F543" s="63" t="s">
        <v>152</v>
      </c>
      <c r="G543" s="64" t="s">
        <v>606</v>
      </c>
    </row>
    <row r="544" spans="2:7">
      <c r="B544" s="269"/>
      <c r="C544" s="61" t="s">
        <v>556</v>
      </c>
      <c r="D544" s="62">
        <f>VLOOKUP(C544,基本字段定义!$B$3:$C$3008,2,FALSE)</f>
        <v>692</v>
      </c>
      <c r="E544" s="63" t="s">
        <v>345</v>
      </c>
      <c r="F544" s="63" t="s">
        <v>152</v>
      </c>
      <c r="G544" s="64" t="s">
        <v>604</v>
      </c>
    </row>
    <row r="545" spans="2:7">
      <c r="B545" s="269"/>
      <c r="C545" s="61" t="s">
        <v>610</v>
      </c>
      <c r="D545" s="62">
        <f>VLOOKUP(C545,基本字段定义!$B$3:$C$3008,2,FALSE)</f>
        <v>733</v>
      </c>
      <c r="E545" s="63" t="s">
        <v>537</v>
      </c>
      <c r="F545" s="63" t="s">
        <v>152</v>
      </c>
      <c r="G545" s="64" t="s">
        <v>611</v>
      </c>
    </row>
    <row r="546" spans="2:7">
      <c r="B546" s="269"/>
      <c r="C546" s="61" t="s">
        <v>612</v>
      </c>
      <c r="D546" s="62">
        <f>VLOOKUP(C546,基本字段定义!$B$3:$C$3008,2,FALSE)</f>
        <v>910</v>
      </c>
      <c r="E546" s="63" t="s">
        <v>412</v>
      </c>
      <c r="F546" s="63" t="s">
        <v>152</v>
      </c>
      <c r="G546" s="64" t="s">
        <v>613</v>
      </c>
    </row>
    <row r="547" spans="2:7">
      <c r="B547" s="269"/>
      <c r="C547" s="61" t="s">
        <v>414</v>
      </c>
      <c r="D547" s="62">
        <f>VLOOKUP(C547,基本字段定义!$B$3:$C$3008,2,FALSE)</f>
        <v>781</v>
      </c>
      <c r="E547" s="63" t="s">
        <v>337</v>
      </c>
      <c r="F547" s="63" t="s">
        <v>152</v>
      </c>
      <c r="G547" s="64" t="s">
        <v>415</v>
      </c>
    </row>
    <row r="548" spans="2:7">
      <c r="B548" s="269" t="s">
        <v>335</v>
      </c>
      <c r="C548" s="65" t="s">
        <v>336</v>
      </c>
      <c r="D548" s="66">
        <f>VLOOKUP(C548,基本字段定义!$B$3:$C$3008,2,FALSE)</f>
        <v>507</v>
      </c>
      <c r="E548" s="67" t="s">
        <v>337</v>
      </c>
      <c r="F548" s="67"/>
      <c r="G548" s="68"/>
    </row>
    <row r="549" spans="2:7">
      <c r="B549" s="269"/>
      <c r="C549" s="65" t="s">
        <v>338</v>
      </c>
      <c r="D549" s="66">
        <f>VLOOKUP(C549,基本字段定义!$B$3:$C$3008,2,FALSE)</f>
        <v>508</v>
      </c>
      <c r="E549" s="67" t="s">
        <v>339</v>
      </c>
      <c r="F549" s="67"/>
      <c r="G549" s="69"/>
    </row>
    <row r="550" spans="2:7">
      <c r="B550" s="269"/>
      <c r="C550" s="65" t="s">
        <v>614</v>
      </c>
      <c r="D550" s="66">
        <f>VLOOKUP(C550,基本字段定义!$B$3:$C$3008,2,FALSE)</f>
        <v>912</v>
      </c>
      <c r="E550" s="67" t="s">
        <v>339</v>
      </c>
      <c r="F550" s="67"/>
      <c r="G550" s="69" t="s">
        <v>615</v>
      </c>
    </row>
    <row r="551" spans="2:7">
      <c r="B551" s="270"/>
      <c r="C551" s="71"/>
      <c r="D551" s="79"/>
      <c r="E551" s="73"/>
      <c r="F551" s="73"/>
      <c r="G551" s="74"/>
    </row>
    <row r="553" spans="2:7">
      <c r="B553" s="53" t="s">
        <v>146</v>
      </c>
      <c r="C553" s="80">
        <v>203113</v>
      </c>
      <c r="D553" s="81"/>
      <c r="E553" s="82"/>
      <c r="F553" s="54" t="s">
        <v>326</v>
      </c>
      <c r="G553" s="55"/>
    </row>
    <row r="554" spans="2:7">
      <c r="B554" s="56" t="s">
        <v>327</v>
      </c>
      <c r="C554" s="83" t="str">
        <f>VLOOKUP(C553,功能索引!$C$3:$D$269,2,FALSE)</f>
        <v>证券转银行</v>
      </c>
      <c r="D554" s="84"/>
      <c r="E554" s="85"/>
      <c r="F554" s="57" t="s">
        <v>148</v>
      </c>
      <c r="G554" s="58">
        <f>VLOOKUP(C553,功能索引!$C$3:$E885,3,FALSE)</f>
        <v>0</v>
      </c>
    </row>
    <row r="555" spans="2:7" ht="13.5" customHeight="1">
      <c r="B555" s="269" t="s">
        <v>328</v>
      </c>
      <c r="C555" s="95" t="s">
        <v>608</v>
      </c>
      <c r="D555" s="96"/>
      <c r="E555" s="96"/>
      <c r="F555" s="96"/>
      <c r="G555" s="97"/>
    </row>
    <row r="556" spans="2:7">
      <c r="B556" s="270"/>
      <c r="C556" s="98"/>
      <c r="D556" s="99"/>
      <c r="E556" s="99"/>
      <c r="F556" s="99"/>
      <c r="G556" s="100"/>
    </row>
    <row r="557" spans="2:7">
      <c r="B557" s="271" t="s">
        <v>329</v>
      </c>
      <c r="C557" s="54" t="s">
        <v>330</v>
      </c>
      <c r="D557" s="54" t="s">
        <v>331</v>
      </c>
      <c r="E557" s="54" t="s">
        <v>332</v>
      </c>
      <c r="F557" s="54" t="s">
        <v>333</v>
      </c>
      <c r="G557" s="60" t="s">
        <v>334</v>
      </c>
    </row>
    <row r="558" spans="2:7">
      <c r="B558" s="269"/>
      <c r="C558" s="61" t="s">
        <v>402</v>
      </c>
      <c r="D558" s="62">
        <f>VLOOKUP(C558,基本字段定义!$B$3:$C$3008,2,FALSE)</f>
        <v>605</v>
      </c>
      <c r="E558" s="63" t="s">
        <v>403</v>
      </c>
      <c r="F558" s="63" t="s">
        <v>152</v>
      </c>
      <c r="G558" s="64" t="s">
        <v>404</v>
      </c>
    </row>
    <row r="559" spans="2:7">
      <c r="B559" s="269"/>
      <c r="C559" s="61" t="s">
        <v>522</v>
      </c>
      <c r="D559" s="62">
        <f>VLOOKUP(C559,基本字段定义!$B$3:$C$3008,2,FALSE)</f>
        <v>716</v>
      </c>
      <c r="E559" s="63" t="s">
        <v>553</v>
      </c>
      <c r="F559" s="63" t="s">
        <v>152</v>
      </c>
      <c r="G559" s="64" t="s">
        <v>529</v>
      </c>
    </row>
    <row r="560" spans="2:7">
      <c r="B560" s="269"/>
      <c r="C560" s="61" t="s">
        <v>524</v>
      </c>
      <c r="D560" s="62">
        <f>VLOOKUP(C560,基本字段定义!$B$3:$C$3008,2,FALSE)</f>
        <v>511</v>
      </c>
      <c r="E560" s="63" t="s">
        <v>527</v>
      </c>
      <c r="F560" s="63" t="s">
        <v>152</v>
      </c>
      <c r="G560" s="64" t="s">
        <v>525</v>
      </c>
    </row>
    <row r="561" spans="2:7">
      <c r="B561" s="269"/>
      <c r="C561" s="61" t="s">
        <v>605</v>
      </c>
      <c r="D561" s="62">
        <f>VLOOKUP(C561,基本字段定义!$B$3:$C$3008,2,FALSE)</f>
        <v>693</v>
      </c>
      <c r="E561" s="63" t="s">
        <v>609</v>
      </c>
      <c r="F561" s="63" t="s">
        <v>152</v>
      </c>
      <c r="G561" s="64" t="s">
        <v>606</v>
      </c>
    </row>
    <row r="562" spans="2:7">
      <c r="B562" s="269"/>
      <c r="C562" s="61" t="s">
        <v>556</v>
      </c>
      <c r="D562" s="62">
        <f>VLOOKUP(C562,基本字段定义!$B$3:$C$3008,2,FALSE)</f>
        <v>692</v>
      </c>
      <c r="E562" s="63" t="s">
        <v>345</v>
      </c>
      <c r="F562" s="63" t="s">
        <v>152</v>
      </c>
      <c r="G562" s="64" t="s">
        <v>604</v>
      </c>
    </row>
    <row r="563" spans="2:7">
      <c r="B563" s="269"/>
      <c r="C563" s="61" t="s">
        <v>610</v>
      </c>
      <c r="D563" s="62">
        <f>VLOOKUP(C563,基本字段定义!$B$3:$C$3008,2,FALSE)</f>
        <v>733</v>
      </c>
      <c r="E563" s="63" t="s">
        <v>537</v>
      </c>
      <c r="F563" s="63" t="s">
        <v>152</v>
      </c>
      <c r="G563" s="64" t="s">
        <v>616</v>
      </c>
    </row>
    <row r="564" spans="2:7">
      <c r="B564" s="269"/>
      <c r="C564" s="61" t="s">
        <v>426</v>
      </c>
      <c r="D564" s="62">
        <f>VLOOKUP(C564,基本字段定义!$B$3:$C$3008,2,FALSE)</f>
        <v>714</v>
      </c>
      <c r="E564" s="63" t="s">
        <v>412</v>
      </c>
      <c r="F564" s="63" t="s">
        <v>152</v>
      </c>
      <c r="G564" s="64" t="s">
        <v>617</v>
      </c>
    </row>
    <row r="565" spans="2:7">
      <c r="B565" s="269"/>
      <c r="C565" s="61" t="s">
        <v>414</v>
      </c>
      <c r="D565" s="62">
        <f>VLOOKUP(C565,基本字段定义!$B$3:$C$3008,2,FALSE)</f>
        <v>781</v>
      </c>
      <c r="E565" s="63" t="s">
        <v>337</v>
      </c>
      <c r="F565" s="63" t="s">
        <v>152</v>
      </c>
      <c r="G565" s="64" t="s">
        <v>415</v>
      </c>
    </row>
    <row r="566" spans="2:7">
      <c r="B566" s="269" t="s">
        <v>335</v>
      </c>
      <c r="C566" s="65" t="s">
        <v>336</v>
      </c>
      <c r="D566" s="66">
        <f>VLOOKUP(C566,基本字段定义!$B$3:$C$3008,2,FALSE)</f>
        <v>507</v>
      </c>
      <c r="E566" s="67" t="s">
        <v>337</v>
      </c>
      <c r="F566" s="67"/>
      <c r="G566" s="68"/>
    </row>
    <row r="567" spans="2:7">
      <c r="B567" s="269"/>
      <c r="C567" s="65" t="s">
        <v>338</v>
      </c>
      <c r="D567" s="66">
        <f>VLOOKUP(C567,基本字段定义!$B$3:$C$3008,2,FALSE)</f>
        <v>508</v>
      </c>
      <c r="E567" s="67" t="s">
        <v>339</v>
      </c>
      <c r="F567" s="67"/>
      <c r="G567" s="69"/>
    </row>
    <row r="568" spans="2:7">
      <c r="B568" s="269"/>
      <c r="C568" s="65" t="s">
        <v>614</v>
      </c>
      <c r="D568" s="66">
        <f>VLOOKUP(C568,基本字段定义!$B$3:$C$3008,2,FALSE)</f>
        <v>912</v>
      </c>
      <c r="E568" s="67" t="s">
        <v>339</v>
      </c>
      <c r="F568" s="67"/>
      <c r="G568" s="69" t="s">
        <v>615</v>
      </c>
    </row>
    <row r="569" spans="2:7">
      <c r="B569" s="270"/>
      <c r="C569" s="71"/>
      <c r="D569" s="79"/>
      <c r="E569" s="73"/>
      <c r="F569" s="73"/>
      <c r="G569" s="74"/>
    </row>
    <row r="571" spans="2:7">
      <c r="B571" s="53" t="s">
        <v>146</v>
      </c>
      <c r="C571" s="80">
        <v>203119</v>
      </c>
      <c r="D571" s="81"/>
      <c r="E571" s="82"/>
      <c r="F571" s="54" t="s">
        <v>326</v>
      </c>
      <c r="G571" s="55"/>
    </row>
    <row r="572" spans="2:7">
      <c r="B572" s="56" t="s">
        <v>327</v>
      </c>
      <c r="C572" s="83" t="str">
        <f>VLOOKUP(C571,功能索引!$C$3:$D$269,2,FALSE)</f>
        <v>银行账户余额查询申请</v>
      </c>
      <c r="D572" s="84"/>
      <c r="E572" s="85"/>
      <c r="F572" s="57" t="s">
        <v>148</v>
      </c>
      <c r="G572" s="58">
        <f>VLOOKUP(C571,功能索引!$C$3:$E908,3,FALSE)</f>
        <v>0</v>
      </c>
    </row>
    <row r="573" spans="2:7" ht="13.5" customHeight="1">
      <c r="B573" s="269" t="s">
        <v>328</v>
      </c>
      <c r="C573" s="95" t="s">
        <v>618</v>
      </c>
      <c r="D573" s="96"/>
      <c r="E573" s="96"/>
      <c r="F573" s="96"/>
      <c r="G573" s="97"/>
    </row>
    <row r="574" spans="2:7">
      <c r="B574" s="270"/>
      <c r="C574" s="98"/>
      <c r="D574" s="99"/>
      <c r="E574" s="99"/>
      <c r="F574" s="99"/>
      <c r="G574" s="100"/>
    </row>
    <row r="575" spans="2:7">
      <c r="B575" s="271" t="s">
        <v>329</v>
      </c>
      <c r="C575" s="54" t="s">
        <v>330</v>
      </c>
      <c r="D575" s="54" t="s">
        <v>331</v>
      </c>
      <c r="E575" s="54" t="s">
        <v>332</v>
      </c>
      <c r="F575" s="54" t="s">
        <v>333</v>
      </c>
      <c r="G575" s="60" t="s">
        <v>334</v>
      </c>
    </row>
    <row r="576" spans="2:7">
      <c r="B576" s="269"/>
      <c r="C576" s="61" t="s">
        <v>402</v>
      </c>
      <c r="D576" s="62">
        <f>VLOOKUP(C576,基本字段定义!$B$3:$C$3008,2,FALSE)</f>
        <v>605</v>
      </c>
      <c r="E576" s="63" t="s">
        <v>403</v>
      </c>
      <c r="F576" s="63" t="s">
        <v>152</v>
      </c>
      <c r="G576" s="64" t="s">
        <v>404</v>
      </c>
    </row>
    <row r="577" spans="2:7">
      <c r="B577" s="269"/>
      <c r="C577" s="61" t="s">
        <v>522</v>
      </c>
      <c r="D577" s="62">
        <f>VLOOKUP(C577,基本字段定义!$B$3:$C$3008,2,FALSE)</f>
        <v>716</v>
      </c>
      <c r="E577" s="63" t="s">
        <v>553</v>
      </c>
      <c r="F577" s="63" t="s">
        <v>152</v>
      </c>
      <c r="G577" s="64" t="s">
        <v>529</v>
      </c>
    </row>
    <row r="578" spans="2:7">
      <c r="B578" s="269"/>
      <c r="C578" s="61" t="s">
        <v>524</v>
      </c>
      <c r="D578" s="62">
        <f>VLOOKUP(C578,基本字段定义!$B$3:$C$3008,2,FALSE)</f>
        <v>511</v>
      </c>
      <c r="E578" s="63" t="s">
        <v>527</v>
      </c>
      <c r="F578" s="63" t="s">
        <v>152</v>
      </c>
      <c r="G578" s="64" t="s">
        <v>525</v>
      </c>
    </row>
    <row r="579" spans="2:7">
      <c r="B579" s="269"/>
      <c r="C579" s="61" t="s">
        <v>556</v>
      </c>
      <c r="D579" s="62">
        <f>VLOOKUP(C579,基本字段定义!$B$3:$C$3008,2,FALSE)</f>
        <v>692</v>
      </c>
      <c r="E579" s="63" t="s">
        <v>345</v>
      </c>
      <c r="F579" s="63" t="s">
        <v>152</v>
      </c>
      <c r="G579" s="64" t="s">
        <v>604</v>
      </c>
    </row>
    <row r="580" spans="2:7">
      <c r="B580" s="269"/>
      <c r="C580" s="61" t="s">
        <v>605</v>
      </c>
      <c r="D580" s="62">
        <f>VLOOKUP(C580,基本字段定义!$B$3:$C$3008,2,FALSE)</f>
        <v>693</v>
      </c>
      <c r="E580" s="63" t="s">
        <v>609</v>
      </c>
      <c r="F580" s="63" t="s">
        <v>152</v>
      </c>
      <c r="G580" s="64" t="s">
        <v>606</v>
      </c>
    </row>
    <row r="581" spans="2:7">
      <c r="B581" s="269"/>
      <c r="C581" s="61" t="s">
        <v>612</v>
      </c>
      <c r="D581" s="62">
        <f>VLOOKUP(C581,基本字段定义!$B$3:$C$3008,2,FALSE)</f>
        <v>910</v>
      </c>
      <c r="E581" s="63" t="s">
        <v>412</v>
      </c>
      <c r="F581" s="63" t="s">
        <v>152</v>
      </c>
      <c r="G581" s="64" t="s">
        <v>613</v>
      </c>
    </row>
    <row r="582" spans="2:7">
      <c r="B582" s="269"/>
      <c r="C582" s="61" t="s">
        <v>414</v>
      </c>
      <c r="D582" s="62">
        <f>VLOOKUP(C582,基本字段定义!$B$3:$C$3008,2,FALSE)</f>
        <v>781</v>
      </c>
      <c r="E582" s="63" t="s">
        <v>337</v>
      </c>
      <c r="F582" s="63" t="s">
        <v>152</v>
      </c>
      <c r="G582" s="64" t="s">
        <v>415</v>
      </c>
    </row>
    <row r="583" spans="2:7" ht="16.5" customHeight="1">
      <c r="B583" s="269" t="s">
        <v>335</v>
      </c>
      <c r="C583" s="65" t="s">
        <v>336</v>
      </c>
      <c r="D583" s="66">
        <f>VLOOKUP(C583,基本字段定义!$B$3:$C$3008,2,FALSE)</f>
        <v>507</v>
      </c>
      <c r="E583" s="67" t="s">
        <v>337</v>
      </c>
      <c r="F583" s="67"/>
      <c r="G583" s="68"/>
    </row>
    <row r="584" spans="2:7">
      <c r="B584" s="269"/>
      <c r="C584" s="65" t="s">
        <v>338</v>
      </c>
      <c r="D584" s="66">
        <f>VLOOKUP(C584,基本字段定义!$B$3:$C$3008,2,FALSE)</f>
        <v>508</v>
      </c>
      <c r="E584" s="67" t="s">
        <v>339</v>
      </c>
      <c r="F584" s="67"/>
      <c r="G584" s="69"/>
    </row>
    <row r="585" spans="2:7">
      <c r="B585" s="269"/>
      <c r="C585" s="65" t="s">
        <v>614</v>
      </c>
      <c r="D585" s="66">
        <f>VLOOKUP(C585,基本字段定义!$B$3:$C$3008,2,FALSE)</f>
        <v>912</v>
      </c>
      <c r="E585" s="67" t="s">
        <v>339</v>
      </c>
      <c r="F585" s="67"/>
      <c r="G585" s="69"/>
    </row>
    <row r="586" spans="2:7">
      <c r="B586" s="270"/>
      <c r="C586" s="71"/>
      <c r="D586" s="79"/>
      <c r="E586" s="73"/>
      <c r="F586" s="73"/>
      <c r="G586" s="74"/>
    </row>
    <row r="588" spans="2:7">
      <c r="B588" s="53" t="s">
        <v>146</v>
      </c>
      <c r="C588" s="80">
        <v>203526</v>
      </c>
      <c r="D588" s="81"/>
      <c r="E588" s="82"/>
      <c r="F588" s="54" t="s">
        <v>326</v>
      </c>
      <c r="G588" s="55"/>
    </row>
    <row r="589" spans="2:7">
      <c r="B589" s="56" t="s">
        <v>327</v>
      </c>
      <c r="C589" s="83" t="str">
        <f>VLOOKUP(C588,功能索引!$C$3:$D$269,2,FALSE)</f>
        <v>多银行存管转账</v>
      </c>
      <c r="D589" s="84"/>
      <c r="E589" s="85"/>
      <c r="F589" s="57" t="s">
        <v>148</v>
      </c>
      <c r="G589" s="58">
        <f>VLOOKUP(C588,功能索引!$C$3:$E928,3,FALSE)</f>
        <v>0</v>
      </c>
    </row>
    <row r="590" spans="2:7">
      <c r="B590" s="269" t="s">
        <v>328</v>
      </c>
      <c r="C590" s="95"/>
      <c r="D590" s="96"/>
      <c r="E590" s="96"/>
      <c r="F590" s="96"/>
      <c r="G590" s="97"/>
    </row>
    <row r="591" spans="2:7">
      <c r="B591" s="270"/>
      <c r="C591" s="98"/>
      <c r="D591" s="99"/>
      <c r="E591" s="99"/>
      <c r="F591" s="99"/>
      <c r="G591" s="100"/>
    </row>
    <row r="592" spans="2:7">
      <c r="B592" s="271" t="s">
        <v>329</v>
      </c>
      <c r="C592" s="54" t="s">
        <v>330</v>
      </c>
      <c r="D592" s="54" t="s">
        <v>331</v>
      </c>
      <c r="E592" s="54" t="s">
        <v>332</v>
      </c>
      <c r="F592" s="54" t="s">
        <v>333</v>
      </c>
      <c r="G592" s="60" t="s">
        <v>334</v>
      </c>
    </row>
    <row r="593" spans="2:7">
      <c r="B593" s="269"/>
      <c r="C593" s="61" t="s">
        <v>402</v>
      </c>
      <c r="D593" s="62">
        <f>VLOOKUP(C593,基本字段定义!$B$3:$C$3008,2,FALSE)</f>
        <v>605</v>
      </c>
      <c r="E593" s="63" t="s">
        <v>403</v>
      </c>
      <c r="F593" s="63" t="s">
        <v>152</v>
      </c>
      <c r="G593" s="64" t="s">
        <v>404</v>
      </c>
    </row>
    <row r="594" spans="2:7">
      <c r="B594" s="269"/>
      <c r="C594" s="61" t="s">
        <v>522</v>
      </c>
      <c r="D594" s="62">
        <f>VLOOKUP(C594,基本字段定义!$B$3:$C$3008,2,FALSE)</f>
        <v>716</v>
      </c>
      <c r="E594" s="63" t="s">
        <v>553</v>
      </c>
      <c r="F594" s="63" t="s">
        <v>152</v>
      </c>
      <c r="G594" s="64" t="s">
        <v>619</v>
      </c>
    </row>
    <row r="595" spans="2:7">
      <c r="B595" s="269"/>
      <c r="C595" s="61" t="s">
        <v>524</v>
      </c>
      <c r="D595" s="62">
        <f>VLOOKUP(C595,基本字段定义!$B$3:$C$3008,2,FALSE)</f>
        <v>511</v>
      </c>
      <c r="E595" s="63" t="s">
        <v>527</v>
      </c>
      <c r="F595" s="63" t="s">
        <v>152</v>
      </c>
      <c r="G595" s="64" t="s">
        <v>525</v>
      </c>
    </row>
    <row r="596" spans="2:7">
      <c r="B596" s="269"/>
      <c r="C596" s="61" t="s">
        <v>520</v>
      </c>
      <c r="D596" s="62">
        <f>VLOOKUP(C596,基本字段定义!$B$3:$C$3008,2,FALSE)</f>
        <v>645</v>
      </c>
      <c r="E596" s="63" t="s">
        <v>553</v>
      </c>
      <c r="F596" s="63" t="s">
        <v>152</v>
      </c>
      <c r="G596" s="64" t="s">
        <v>620</v>
      </c>
    </row>
    <row r="597" spans="2:7">
      <c r="B597" s="269"/>
      <c r="C597" s="61" t="s">
        <v>582</v>
      </c>
      <c r="D597" s="62">
        <f>VLOOKUP(C597,基本字段定义!$B$3:$C$3008,2,FALSE)</f>
        <v>808</v>
      </c>
      <c r="E597" s="63" t="s">
        <v>537</v>
      </c>
      <c r="F597" s="63" t="s">
        <v>152</v>
      </c>
      <c r="G597" s="64" t="s">
        <v>616</v>
      </c>
    </row>
    <row r="598" spans="2:7">
      <c r="B598" s="269"/>
      <c r="C598" s="61" t="s">
        <v>470</v>
      </c>
      <c r="D598" s="62">
        <f>VLOOKUP(C598,基本字段定义!$B$3:$C$3008,2,FALSE)</f>
        <v>730</v>
      </c>
      <c r="E598" s="63" t="s">
        <v>471</v>
      </c>
      <c r="F598" s="63" t="s">
        <v>152</v>
      </c>
      <c r="G598" s="64" t="s">
        <v>621</v>
      </c>
    </row>
    <row r="599" spans="2:7">
      <c r="B599" s="269"/>
      <c r="C599" s="61" t="s">
        <v>622</v>
      </c>
      <c r="D599" s="62">
        <f>VLOOKUP(C599,基本字段定义!$B$3:$C$3008,2,FALSE)</f>
        <v>1480</v>
      </c>
      <c r="E599" s="63" t="s">
        <v>337</v>
      </c>
      <c r="F599" s="63" t="s">
        <v>152</v>
      </c>
      <c r="G599" s="64" t="s">
        <v>623</v>
      </c>
    </row>
    <row r="600" spans="2:7">
      <c r="B600" s="269"/>
      <c r="C600" s="61" t="s">
        <v>426</v>
      </c>
      <c r="D600" s="62">
        <f>VLOOKUP(C600,基本字段定义!$B$3:$C$3008,2,FALSE)</f>
        <v>714</v>
      </c>
      <c r="E600" s="63" t="s">
        <v>412</v>
      </c>
      <c r="F600" s="63" t="s">
        <v>152</v>
      </c>
      <c r="G600" s="64" t="s">
        <v>617</v>
      </c>
    </row>
    <row r="601" spans="2:7">
      <c r="B601" s="269"/>
      <c r="C601" s="61" t="s">
        <v>414</v>
      </c>
      <c r="D601" s="62">
        <f>VLOOKUP(C601,基本字段定义!$B$3:$C$3008,2,FALSE)</f>
        <v>781</v>
      </c>
      <c r="E601" s="63" t="s">
        <v>337</v>
      </c>
      <c r="F601" s="63" t="s">
        <v>152</v>
      </c>
      <c r="G601" s="64" t="s">
        <v>415</v>
      </c>
    </row>
    <row r="602" spans="2:7">
      <c r="B602" s="269" t="s">
        <v>335</v>
      </c>
      <c r="C602" s="65" t="s">
        <v>336</v>
      </c>
      <c r="D602" s="66">
        <f>VLOOKUP(C602,基本字段定义!$B$3:$C$3008,2,FALSE)</f>
        <v>507</v>
      </c>
      <c r="E602" s="67" t="s">
        <v>337</v>
      </c>
      <c r="F602" s="67"/>
      <c r="G602" s="68" t="s">
        <v>624</v>
      </c>
    </row>
    <row r="603" spans="2:7">
      <c r="B603" s="269"/>
      <c r="C603" s="65" t="s">
        <v>338</v>
      </c>
      <c r="D603" s="66">
        <f>VLOOKUP(C603,基本字段定义!$B$3:$C$3008,2,FALSE)</f>
        <v>508</v>
      </c>
      <c r="E603" s="67" t="s">
        <v>339</v>
      </c>
      <c r="F603" s="67"/>
      <c r="G603" s="69"/>
    </row>
    <row r="604" spans="2:7">
      <c r="B604" s="270"/>
      <c r="C604" s="71"/>
      <c r="D604" s="79"/>
      <c r="E604" s="73"/>
      <c r="F604" s="73"/>
      <c r="G604" s="74"/>
    </row>
    <row r="606" spans="2:7">
      <c r="B606" s="53" t="s">
        <v>146</v>
      </c>
      <c r="C606" s="80">
        <v>203529</v>
      </c>
      <c r="D606" s="81"/>
      <c r="E606" s="82"/>
      <c r="F606" s="54" t="s">
        <v>326</v>
      </c>
      <c r="G606" s="55">
        <v>20120517</v>
      </c>
    </row>
    <row r="607" spans="2:7">
      <c r="B607" s="56" t="s">
        <v>327</v>
      </c>
      <c r="C607" s="83" t="str">
        <f>VLOOKUP(C606,功能索引!$C$3:$D$269,2,FALSE)</f>
        <v>银行存管预约转账</v>
      </c>
      <c r="D607" s="84"/>
      <c r="E607" s="85"/>
      <c r="F607" s="57" t="s">
        <v>148</v>
      </c>
      <c r="G607" s="58">
        <v>0</v>
      </c>
    </row>
    <row r="608" spans="2:7">
      <c r="B608" s="269" t="s">
        <v>328</v>
      </c>
      <c r="C608" s="95"/>
      <c r="D608" s="96"/>
      <c r="E608" s="96"/>
      <c r="F608" s="96"/>
      <c r="G608" s="97"/>
    </row>
    <row r="609" spans="2:7">
      <c r="B609" s="270"/>
      <c r="C609" s="98"/>
      <c r="D609" s="99"/>
      <c r="E609" s="99"/>
      <c r="F609" s="99"/>
      <c r="G609" s="100"/>
    </row>
    <row r="610" spans="2:7">
      <c r="B610" s="271" t="s">
        <v>329</v>
      </c>
      <c r="C610" s="54" t="s">
        <v>330</v>
      </c>
      <c r="D610" s="54" t="s">
        <v>331</v>
      </c>
      <c r="E610" s="54" t="s">
        <v>332</v>
      </c>
      <c r="F610" s="54" t="s">
        <v>333</v>
      </c>
      <c r="G610" s="60" t="s">
        <v>334</v>
      </c>
    </row>
    <row r="611" spans="2:7">
      <c r="B611" s="269"/>
      <c r="C611" s="61" t="s">
        <v>402</v>
      </c>
      <c r="D611" s="62">
        <f>VLOOKUP(C611,基本字段定义!$B$3:$C$3008,2,FALSE)</f>
        <v>605</v>
      </c>
      <c r="E611" s="63" t="s">
        <v>403</v>
      </c>
      <c r="F611" s="63" t="s">
        <v>152</v>
      </c>
      <c r="G611" s="64" t="s">
        <v>404</v>
      </c>
    </row>
    <row r="612" spans="2:7">
      <c r="B612" s="269"/>
      <c r="C612" s="61" t="s">
        <v>522</v>
      </c>
      <c r="D612" s="62">
        <f>VLOOKUP(C612,基本字段定义!$B$3:$C$3008,2,FALSE)</f>
        <v>716</v>
      </c>
      <c r="E612" s="63" t="s">
        <v>553</v>
      </c>
      <c r="F612" s="63" t="s">
        <v>152</v>
      </c>
      <c r="G612" s="64" t="s">
        <v>619</v>
      </c>
    </row>
    <row r="613" spans="2:7">
      <c r="B613" s="269"/>
      <c r="C613" s="61" t="s">
        <v>524</v>
      </c>
      <c r="D613" s="62">
        <f>VLOOKUP(C613,基本字段定义!$B$3:$C$3008,2,FALSE)</f>
        <v>511</v>
      </c>
      <c r="E613" s="63" t="s">
        <v>527</v>
      </c>
      <c r="F613" s="63" t="s">
        <v>152</v>
      </c>
      <c r="G613" s="64" t="s">
        <v>525</v>
      </c>
    </row>
    <row r="614" spans="2:7">
      <c r="B614" s="269"/>
      <c r="C614" s="61" t="s">
        <v>625</v>
      </c>
      <c r="D614" s="62">
        <f>VLOOKUP(C614,基本字段定义!$B$3:$C$3008,2,FALSE)</f>
        <v>9227</v>
      </c>
      <c r="E614" s="63" t="s">
        <v>337</v>
      </c>
      <c r="F614" s="63" t="s">
        <v>152</v>
      </c>
      <c r="G614" s="64" t="s">
        <v>626</v>
      </c>
    </row>
    <row r="615" spans="2:7">
      <c r="B615" s="269"/>
      <c r="C615" s="61" t="s">
        <v>582</v>
      </c>
      <c r="D615" s="62">
        <f>VLOOKUP(C615,基本字段定义!$B$3:$C$3008,2,FALSE)</f>
        <v>808</v>
      </c>
      <c r="E615" s="63" t="s">
        <v>537</v>
      </c>
      <c r="F615" s="63" t="s">
        <v>152</v>
      </c>
      <c r="G615" s="64" t="s">
        <v>616</v>
      </c>
    </row>
    <row r="616" spans="2:7">
      <c r="B616" s="269"/>
      <c r="C616" s="61" t="s">
        <v>470</v>
      </c>
      <c r="D616" s="62">
        <f>VLOOKUP(C616,基本字段定义!$B$3:$C$3008,2,FALSE)</f>
        <v>730</v>
      </c>
      <c r="E616" s="63" t="s">
        <v>471</v>
      </c>
      <c r="F616" s="63"/>
      <c r="G616" s="64" t="s">
        <v>621</v>
      </c>
    </row>
    <row r="617" spans="2:7">
      <c r="B617" s="269"/>
      <c r="C617" s="61" t="s">
        <v>426</v>
      </c>
      <c r="D617" s="62">
        <f>VLOOKUP(C617,基本字段定义!$B$3:$C$3008,2,FALSE)</f>
        <v>714</v>
      </c>
      <c r="E617" s="63" t="s">
        <v>412</v>
      </c>
      <c r="F617" s="63" t="s">
        <v>152</v>
      </c>
      <c r="G617" s="64" t="s">
        <v>617</v>
      </c>
    </row>
    <row r="618" spans="2:7">
      <c r="B618" s="269"/>
      <c r="C618" s="61" t="s">
        <v>414</v>
      </c>
      <c r="D618" s="62">
        <f>VLOOKUP(C618,基本字段定义!$B$3:$C$3008,2,FALSE)</f>
        <v>781</v>
      </c>
      <c r="E618" s="63" t="s">
        <v>337</v>
      </c>
      <c r="F618" s="63" t="s">
        <v>152</v>
      </c>
      <c r="G618" s="64" t="s">
        <v>415</v>
      </c>
    </row>
    <row r="619" spans="2:7">
      <c r="B619" s="269" t="s">
        <v>335</v>
      </c>
      <c r="C619" s="65" t="s">
        <v>336</v>
      </c>
      <c r="D619" s="66">
        <f>VLOOKUP(C619,基本字段定义!$B$3:$C$3008,2,FALSE)</f>
        <v>507</v>
      </c>
      <c r="E619" s="67" t="s">
        <v>337</v>
      </c>
      <c r="F619" s="67"/>
      <c r="G619" s="68" t="s">
        <v>624</v>
      </c>
    </row>
    <row r="620" spans="2:7">
      <c r="B620" s="269"/>
      <c r="C620" s="65" t="s">
        <v>338</v>
      </c>
      <c r="D620" s="66">
        <f>VLOOKUP(C620,基本字段定义!$B$3:$C$3008,2,FALSE)</f>
        <v>508</v>
      </c>
      <c r="E620" s="67" t="s">
        <v>339</v>
      </c>
      <c r="F620" s="67"/>
      <c r="G620" s="69"/>
    </row>
    <row r="621" spans="2:7">
      <c r="B621" s="270"/>
      <c r="C621" s="71"/>
      <c r="D621" s="79"/>
      <c r="E621" s="73"/>
      <c r="F621" s="73"/>
      <c r="G621" s="74"/>
    </row>
    <row r="623" spans="2:7">
      <c r="B623" s="53" t="s">
        <v>146</v>
      </c>
      <c r="C623" s="80">
        <v>303111</v>
      </c>
      <c r="D623" s="81"/>
      <c r="E623" s="82"/>
      <c r="F623" s="54" t="s">
        <v>326</v>
      </c>
      <c r="G623" s="55"/>
    </row>
    <row r="624" spans="2:7">
      <c r="B624" s="56" t="s">
        <v>327</v>
      </c>
      <c r="C624" s="83" t="str">
        <f>VLOOKUP(C623,功能索引!$C$3:$D$269,2,FALSE)</f>
        <v>证券发起银证业务查询</v>
      </c>
      <c r="D624" s="84"/>
      <c r="E624" s="85"/>
      <c r="F624" s="57" t="s">
        <v>148</v>
      </c>
      <c r="G624" s="58" t="str">
        <f>VLOOKUP(C623,功能索引!$C$3:$E947,3,FALSE)</f>
        <v>Y</v>
      </c>
    </row>
    <row r="625" spans="2:7">
      <c r="B625" s="269" t="s">
        <v>328</v>
      </c>
      <c r="C625" s="95"/>
      <c r="D625" s="96"/>
      <c r="E625" s="96"/>
      <c r="F625" s="96"/>
      <c r="G625" s="97"/>
    </row>
    <row r="626" spans="2:7">
      <c r="B626" s="270"/>
      <c r="C626" s="98"/>
      <c r="D626" s="99"/>
      <c r="E626" s="99"/>
      <c r="F626" s="99"/>
      <c r="G626" s="100"/>
    </row>
    <row r="627" spans="2:7">
      <c r="B627" s="271" t="s">
        <v>329</v>
      </c>
      <c r="C627" s="54" t="s">
        <v>330</v>
      </c>
      <c r="D627" s="54" t="s">
        <v>331</v>
      </c>
      <c r="E627" s="54" t="s">
        <v>332</v>
      </c>
      <c r="F627" s="54" t="s">
        <v>333</v>
      </c>
      <c r="G627" s="60" t="s">
        <v>334</v>
      </c>
    </row>
    <row r="628" spans="2:7">
      <c r="B628" s="269"/>
      <c r="C628" s="61" t="s">
        <v>402</v>
      </c>
      <c r="D628" s="62">
        <f>VLOOKUP(C628,基本字段定义!$B$3:$C$3008,2,FALSE)</f>
        <v>605</v>
      </c>
      <c r="E628" s="63" t="s">
        <v>403</v>
      </c>
      <c r="F628" s="63" t="s">
        <v>152</v>
      </c>
      <c r="G628" s="64" t="s">
        <v>404</v>
      </c>
    </row>
    <row r="629" spans="2:7">
      <c r="B629" s="269"/>
      <c r="C629" s="61" t="s">
        <v>614</v>
      </c>
      <c r="D629" s="62">
        <f>VLOOKUP(C629,基本字段定义!$B$3:$C$3008,2,FALSE)</f>
        <v>912</v>
      </c>
      <c r="E629" s="63" t="s">
        <v>337</v>
      </c>
      <c r="F629" s="63"/>
      <c r="G629" s="64" t="s">
        <v>615</v>
      </c>
    </row>
    <row r="630" spans="2:7">
      <c r="B630" s="269" t="s">
        <v>335</v>
      </c>
      <c r="C630" s="65" t="s">
        <v>614</v>
      </c>
      <c r="D630" s="66">
        <f>VLOOKUP(C630,基本字段定义!$B$3:$C$3008,2,FALSE)</f>
        <v>912</v>
      </c>
      <c r="E630" s="67" t="s">
        <v>339</v>
      </c>
      <c r="F630" s="67"/>
      <c r="G630" s="68" t="s">
        <v>615</v>
      </c>
    </row>
    <row r="631" spans="2:7">
      <c r="B631" s="269"/>
      <c r="C631" s="65" t="s">
        <v>522</v>
      </c>
      <c r="D631" s="66">
        <f>VLOOKUP(C631,基本字段定义!$B$3:$C$3008,2,FALSE)</f>
        <v>716</v>
      </c>
      <c r="E631" s="67" t="s">
        <v>339</v>
      </c>
      <c r="F631" s="67"/>
      <c r="G631" s="69" t="s">
        <v>529</v>
      </c>
    </row>
    <row r="632" spans="2:7">
      <c r="B632" s="269"/>
      <c r="C632" s="65" t="s">
        <v>356</v>
      </c>
      <c r="D632" s="66">
        <f>VLOOKUP(C632,基本字段定义!$B$3:$C$3008,2,FALSE)</f>
        <v>1257</v>
      </c>
      <c r="E632" s="67" t="s">
        <v>339</v>
      </c>
      <c r="F632" s="67"/>
      <c r="G632" s="69" t="s">
        <v>604</v>
      </c>
    </row>
    <row r="633" spans="2:7">
      <c r="B633" s="269"/>
      <c r="C633" s="65" t="s">
        <v>627</v>
      </c>
      <c r="D633" s="66">
        <f>VLOOKUP(C633,基本字段定义!$B$3:$C$3008,2,FALSE)</f>
        <v>1159</v>
      </c>
      <c r="E633" s="67" t="s">
        <v>339</v>
      </c>
      <c r="F633" s="67"/>
      <c r="G633" s="69" t="s">
        <v>606</v>
      </c>
    </row>
    <row r="634" spans="2:7">
      <c r="B634" s="269"/>
      <c r="C634" s="65" t="s">
        <v>524</v>
      </c>
      <c r="D634" s="66">
        <f>VLOOKUP(C634,基本字段定义!$B$3:$C$3008,2,FALSE)</f>
        <v>511</v>
      </c>
      <c r="E634" s="67" t="s">
        <v>339</v>
      </c>
      <c r="F634" s="67"/>
      <c r="G634" s="69" t="s">
        <v>525</v>
      </c>
    </row>
    <row r="635" spans="2:7" ht="25.5">
      <c r="B635" s="269"/>
      <c r="C635" s="65" t="s">
        <v>628</v>
      </c>
      <c r="D635" s="66">
        <f>VLOOKUP(C635,基本字段定义!$B$3:$C$3008,2,FALSE)</f>
        <v>695</v>
      </c>
      <c r="E635" s="67" t="s">
        <v>337</v>
      </c>
      <c r="F635" s="67"/>
      <c r="G635" s="70" t="s">
        <v>629</v>
      </c>
    </row>
    <row r="636" spans="2:7">
      <c r="B636" s="269"/>
      <c r="C636" s="65" t="s">
        <v>582</v>
      </c>
      <c r="D636" s="66">
        <f>VLOOKUP(C636,基本字段定义!$B$3:$C$3008,2,FALSE)</f>
        <v>808</v>
      </c>
      <c r="E636" s="67" t="s">
        <v>537</v>
      </c>
      <c r="F636" s="67"/>
      <c r="G636" s="69" t="s">
        <v>616</v>
      </c>
    </row>
    <row r="637" spans="2:7">
      <c r="B637" s="269"/>
      <c r="C637" s="65" t="s">
        <v>601</v>
      </c>
      <c r="D637" s="66">
        <f>VLOOKUP(C637,基本字段定义!$B$3:$C$3008,2,FALSE)</f>
        <v>501</v>
      </c>
      <c r="E637" s="67" t="s">
        <v>537</v>
      </c>
      <c r="F637" s="67"/>
      <c r="G637" s="69" t="s">
        <v>630</v>
      </c>
    </row>
    <row r="638" spans="2:7">
      <c r="B638" s="269"/>
      <c r="C638" s="65" t="s">
        <v>631</v>
      </c>
      <c r="D638" s="66">
        <f>VLOOKUP(C638,基本字段定义!$B$3:$C$3008,2,FALSE)</f>
        <v>1981</v>
      </c>
      <c r="E638" s="67" t="s">
        <v>339</v>
      </c>
      <c r="F638" s="67"/>
      <c r="G638" s="69" t="s">
        <v>632</v>
      </c>
    </row>
    <row r="639" spans="2:7">
      <c r="B639" s="269"/>
      <c r="C639" s="65" t="s">
        <v>633</v>
      </c>
      <c r="D639" s="66">
        <f>VLOOKUP(C639,基本字段定义!$B$3:$C$3008,2,FALSE)</f>
        <v>880</v>
      </c>
      <c r="E639" s="67" t="s">
        <v>337</v>
      </c>
      <c r="F639" s="67"/>
      <c r="G639" s="69" t="s">
        <v>634</v>
      </c>
    </row>
    <row r="640" spans="2:7">
      <c r="B640" s="269"/>
      <c r="C640" s="65" t="s">
        <v>635</v>
      </c>
      <c r="D640" s="66">
        <f>VLOOKUP(C640,基本字段定义!$B$3:$C$3008,2,FALSE)</f>
        <v>830</v>
      </c>
      <c r="E640" s="67" t="s">
        <v>339</v>
      </c>
      <c r="F640" s="67"/>
      <c r="G640" s="69" t="s">
        <v>636</v>
      </c>
    </row>
    <row r="641" spans="2:7">
      <c r="B641" s="269"/>
      <c r="C641" s="65" t="s">
        <v>637</v>
      </c>
      <c r="D641" s="66">
        <f>VLOOKUP(C641,基本字段定义!$B$3:$C$3008,2,FALSE)</f>
        <v>926</v>
      </c>
      <c r="E641" s="67" t="s">
        <v>337</v>
      </c>
      <c r="F641" s="67"/>
      <c r="G641" s="69" t="s">
        <v>638</v>
      </c>
    </row>
    <row r="642" spans="2:7">
      <c r="B642" s="270"/>
      <c r="C642" s="71"/>
      <c r="D642" s="79"/>
      <c r="E642" s="73"/>
      <c r="F642" s="73"/>
      <c r="G642" s="74"/>
    </row>
    <row r="644" spans="2:7">
      <c r="B644" s="53" t="s">
        <v>146</v>
      </c>
      <c r="C644" s="80">
        <v>303112</v>
      </c>
      <c r="D644" s="81"/>
      <c r="E644" s="82"/>
      <c r="F644" s="54" t="s">
        <v>326</v>
      </c>
      <c r="G644" s="55"/>
    </row>
    <row r="645" spans="2:7">
      <c r="B645" s="56" t="s">
        <v>327</v>
      </c>
      <c r="C645" s="83" t="str">
        <f>VLOOKUP(C644,功能索引!$C$3:$D$269,2,FALSE)</f>
        <v>银行发起银证业务查询</v>
      </c>
      <c r="D645" s="84"/>
      <c r="E645" s="85"/>
      <c r="F645" s="57" t="s">
        <v>148</v>
      </c>
      <c r="G645" s="58" t="str">
        <f>VLOOKUP(C644,功能索引!$C$3:$E1012,3,FALSE)</f>
        <v>Y</v>
      </c>
    </row>
    <row r="646" spans="2:7" ht="25.5">
      <c r="B646" s="269" t="s">
        <v>328</v>
      </c>
      <c r="C646" s="95" t="s">
        <v>639</v>
      </c>
      <c r="D646" s="96"/>
      <c r="E646" s="96"/>
      <c r="F646" s="96"/>
      <c r="G646" s="97"/>
    </row>
    <row r="647" spans="2:7" ht="13.5" customHeight="1">
      <c r="B647" s="270"/>
      <c r="C647" s="107"/>
      <c r="D647" s="108"/>
      <c r="E647" s="108"/>
      <c r="F647" s="108"/>
      <c r="G647" s="109"/>
    </row>
    <row r="648" spans="2:7">
      <c r="B648" s="53" t="s">
        <v>329</v>
      </c>
      <c r="C648" s="54" t="s">
        <v>330</v>
      </c>
      <c r="D648" s="54" t="s">
        <v>331</v>
      </c>
      <c r="E648" s="54" t="s">
        <v>332</v>
      </c>
      <c r="F648" s="54" t="s">
        <v>333</v>
      </c>
      <c r="G648" s="60" t="s">
        <v>334</v>
      </c>
    </row>
    <row r="649" spans="2:7">
      <c r="B649" s="56"/>
      <c r="C649" s="61" t="s">
        <v>402</v>
      </c>
      <c r="D649" s="62">
        <f>VLOOKUP(C649,基本字段定义!$B$3:$C$3008,2,FALSE)</f>
        <v>605</v>
      </c>
      <c r="E649" s="63" t="s">
        <v>403</v>
      </c>
      <c r="F649" s="63" t="s">
        <v>152</v>
      </c>
      <c r="G649" s="64" t="s">
        <v>404</v>
      </c>
    </row>
    <row r="650" spans="2:7">
      <c r="B650" s="56" t="s">
        <v>335</v>
      </c>
      <c r="C650" s="65" t="s">
        <v>361</v>
      </c>
      <c r="D650" s="66">
        <f>VLOOKUP(C650,基本字段定义!$B$3:$C$3008,2,FALSE)</f>
        <v>599</v>
      </c>
      <c r="E650" s="67" t="s">
        <v>339</v>
      </c>
      <c r="F650" s="67"/>
      <c r="G650" s="68" t="s">
        <v>363</v>
      </c>
    </row>
    <row r="651" spans="2:7">
      <c r="B651" s="56"/>
      <c r="C651" s="65" t="s">
        <v>640</v>
      </c>
      <c r="D651" s="66">
        <f>VLOOKUP(C651,基本字段定义!$B$3:$C$3008,2,FALSE)</f>
        <v>719</v>
      </c>
      <c r="E651" s="67" t="s">
        <v>339</v>
      </c>
      <c r="F651" s="67"/>
      <c r="G651" s="69" t="s">
        <v>641</v>
      </c>
    </row>
    <row r="652" spans="2:7">
      <c r="B652" s="56"/>
      <c r="C652" s="65" t="s">
        <v>642</v>
      </c>
      <c r="D652" s="66">
        <f>VLOOKUP(C652,基本字段定义!$B$3:$C$3008,2,FALSE)</f>
        <v>1516</v>
      </c>
      <c r="E652" s="67" t="s">
        <v>537</v>
      </c>
      <c r="F652" s="67"/>
      <c r="G652" s="69" t="s">
        <v>643</v>
      </c>
    </row>
    <row r="653" spans="2:7">
      <c r="B653" s="56"/>
      <c r="C653" s="65" t="s">
        <v>644</v>
      </c>
      <c r="D653" s="66">
        <f>VLOOKUP(C653,基本字段定义!$B$3:$C$3008,2,FALSE)</f>
        <v>1504</v>
      </c>
      <c r="E653" s="67" t="s">
        <v>537</v>
      </c>
      <c r="F653" s="67"/>
      <c r="G653" s="69" t="s">
        <v>645</v>
      </c>
    </row>
    <row r="654" spans="2:7">
      <c r="B654" s="56"/>
      <c r="C654" s="65" t="s">
        <v>646</v>
      </c>
      <c r="D654" s="66">
        <f>VLOOKUP(C654,基本字段定义!$B$3:$C$3008,2,FALSE)</f>
        <v>1514</v>
      </c>
      <c r="E654" s="67" t="s">
        <v>339</v>
      </c>
      <c r="F654" s="67"/>
      <c r="G654" s="69" t="s">
        <v>647</v>
      </c>
    </row>
    <row r="655" spans="2:7">
      <c r="B655" s="56"/>
      <c r="C655" s="65" t="s">
        <v>648</v>
      </c>
      <c r="D655" s="66">
        <f>VLOOKUP(C655,基本字段定义!$B$3:$C$3008,2,FALSE)</f>
        <v>1502</v>
      </c>
      <c r="E655" s="67" t="s">
        <v>339</v>
      </c>
      <c r="F655" s="67"/>
      <c r="G655" s="69" t="s">
        <v>649</v>
      </c>
    </row>
    <row r="656" spans="2:7">
      <c r="B656" s="59"/>
      <c r="C656" s="71"/>
      <c r="D656" s="79"/>
      <c r="E656" s="73"/>
      <c r="F656" s="73"/>
      <c r="G656" s="74"/>
    </row>
    <row r="658" spans="1:7">
      <c r="B658" s="53" t="s">
        <v>146</v>
      </c>
      <c r="C658" s="80">
        <v>303016</v>
      </c>
      <c r="D658" s="81"/>
      <c r="E658" s="82"/>
      <c r="F658" s="54" t="s">
        <v>326</v>
      </c>
      <c r="G658" s="55"/>
    </row>
    <row r="659" spans="1:7">
      <c r="B659" s="56" t="s">
        <v>327</v>
      </c>
      <c r="C659" s="83" t="str">
        <f>VLOOKUP(C658,功能索引!$C$3:$D$269,2,FALSE)</f>
        <v>查询客户存取授权流水</v>
      </c>
      <c r="D659" s="84"/>
      <c r="E659" s="85"/>
      <c r="F659" s="57" t="s">
        <v>148</v>
      </c>
      <c r="G659" s="58" t="str">
        <f>VLOOKUP(C658,功能索引!$C$3:$E1024,3,FALSE)</f>
        <v>Y</v>
      </c>
    </row>
    <row r="660" spans="1:7">
      <c r="B660" s="269" t="s">
        <v>328</v>
      </c>
      <c r="C660" s="95"/>
      <c r="D660" s="96"/>
      <c r="E660" s="96"/>
      <c r="F660" s="96"/>
      <c r="G660" s="97"/>
    </row>
    <row r="661" spans="1:7">
      <c r="B661" s="270"/>
      <c r="C661" s="98"/>
      <c r="D661" s="99"/>
      <c r="E661" s="99"/>
      <c r="F661" s="99"/>
      <c r="G661" s="100"/>
    </row>
    <row r="662" spans="1:7">
      <c r="B662" s="271" t="s">
        <v>329</v>
      </c>
      <c r="C662" s="54" t="s">
        <v>330</v>
      </c>
      <c r="D662" s="54" t="s">
        <v>331</v>
      </c>
      <c r="E662" s="54" t="s">
        <v>332</v>
      </c>
      <c r="F662" s="54" t="s">
        <v>333</v>
      </c>
      <c r="G662" s="60" t="s">
        <v>334</v>
      </c>
    </row>
    <row r="663" spans="1:7">
      <c r="B663" s="286"/>
      <c r="C663" s="61" t="s">
        <v>522</v>
      </c>
      <c r="D663" s="62">
        <f>VLOOKUP(C663,基本字段定义!$B$3:$C$3008,2,FALSE)</f>
        <v>716</v>
      </c>
      <c r="E663" s="63" t="s">
        <v>553</v>
      </c>
      <c r="F663" s="63"/>
      <c r="G663" s="64" t="s">
        <v>650</v>
      </c>
    </row>
    <row r="664" spans="1:7">
      <c r="A664" s="110"/>
      <c r="B664" s="286"/>
      <c r="C664" s="61" t="s">
        <v>402</v>
      </c>
      <c r="D664" s="62">
        <f>VLOOKUP(C664,基本字段定义!$B$3:$C$3008,2,FALSE)</f>
        <v>605</v>
      </c>
      <c r="E664" s="63" t="s">
        <v>403</v>
      </c>
      <c r="F664" s="63" t="s">
        <v>152</v>
      </c>
      <c r="G664" s="64" t="s">
        <v>404</v>
      </c>
    </row>
    <row r="665" spans="1:7">
      <c r="A665" s="110"/>
      <c r="B665" s="286"/>
      <c r="C665" s="61" t="s">
        <v>524</v>
      </c>
      <c r="D665" s="62">
        <f>VLOOKUP(C665,基本字段定义!$B$3:$C$3008,2,FALSE)</f>
        <v>511</v>
      </c>
      <c r="E665" s="63" t="s">
        <v>527</v>
      </c>
      <c r="F665" s="63"/>
      <c r="G665" s="64" t="s">
        <v>525</v>
      </c>
    </row>
    <row r="666" spans="1:7">
      <c r="B666" s="269"/>
      <c r="C666" s="61" t="s">
        <v>569</v>
      </c>
      <c r="D666" s="62">
        <f>VLOOKUP(C666,基本字段定义!$B$3:$C$3008,2,FALSE)</f>
        <v>1458</v>
      </c>
      <c r="E666" s="63" t="s">
        <v>398</v>
      </c>
      <c r="F666" s="63"/>
      <c r="G666" s="64" t="s">
        <v>651</v>
      </c>
    </row>
    <row r="667" spans="1:7">
      <c r="B667" s="269" t="s">
        <v>335</v>
      </c>
      <c r="C667" s="65" t="s">
        <v>522</v>
      </c>
      <c r="D667" s="66">
        <f>VLOOKUP(C667,基本字段定义!$B$3:$C$3008,2,FALSE)</f>
        <v>716</v>
      </c>
      <c r="E667" s="67" t="s">
        <v>339</v>
      </c>
      <c r="F667" s="67"/>
      <c r="G667" s="68" t="s">
        <v>650</v>
      </c>
    </row>
    <row r="668" spans="1:7">
      <c r="B668" s="269"/>
      <c r="C668" s="65" t="s">
        <v>524</v>
      </c>
      <c r="D668" s="66">
        <f>VLOOKUP(C668,基本字段定义!$B$3:$C$3008,2,FALSE)</f>
        <v>511</v>
      </c>
      <c r="E668" s="67" t="s">
        <v>339</v>
      </c>
      <c r="F668" s="67"/>
      <c r="G668" s="69" t="s">
        <v>525</v>
      </c>
    </row>
    <row r="669" spans="1:7">
      <c r="B669" s="269"/>
      <c r="C669" s="65" t="s">
        <v>652</v>
      </c>
      <c r="D669" s="66">
        <f>VLOOKUP(C669,基本字段定义!$B$3:$C$3008,2,FALSE)</f>
        <v>1980</v>
      </c>
      <c r="E669" s="67" t="s">
        <v>398</v>
      </c>
      <c r="F669" s="67"/>
      <c r="G669" s="69" t="s">
        <v>653</v>
      </c>
    </row>
    <row r="670" spans="1:7">
      <c r="B670" s="269"/>
      <c r="C670" s="65" t="s">
        <v>569</v>
      </c>
      <c r="D670" s="66">
        <f>VLOOKUP(C670,基本字段定义!$B$3:$C$3008,2,FALSE)</f>
        <v>1458</v>
      </c>
      <c r="E670" s="67" t="s">
        <v>398</v>
      </c>
      <c r="F670" s="67"/>
      <c r="G670" s="69" t="s">
        <v>651</v>
      </c>
    </row>
    <row r="671" spans="1:7">
      <c r="B671" s="269"/>
      <c r="C671" s="65" t="s">
        <v>654</v>
      </c>
      <c r="D671" s="66">
        <f>VLOOKUP(C671,基本字段定义!$B$3:$C$3008,2,FALSE)</f>
        <v>743</v>
      </c>
      <c r="E671" s="67" t="s">
        <v>339</v>
      </c>
      <c r="F671" s="67"/>
      <c r="G671" s="69" t="s">
        <v>655</v>
      </c>
    </row>
    <row r="672" spans="1:7">
      <c r="B672" s="269"/>
      <c r="C672" s="65" t="s">
        <v>567</v>
      </c>
      <c r="D672" s="66">
        <f>VLOOKUP(C672,基本字段定义!$B$3:$C$3008,2,FALSE)</f>
        <v>746</v>
      </c>
      <c r="E672" s="67" t="s">
        <v>339</v>
      </c>
      <c r="F672" s="67"/>
      <c r="G672" s="69" t="s">
        <v>656</v>
      </c>
    </row>
    <row r="673" spans="2:7">
      <c r="B673" s="269"/>
      <c r="C673" s="65" t="s">
        <v>556</v>
      </c>
      <c r="D673" s="66">
        <f>VLOOKUP(C673,基本字段定义!$B$3:$C$3008,2,FALSE)</f>
        <v>692</v>
      </c>
      <c r="E673" s="67" t="s">
        <v>339</v>
      </c>
      <c r="F673" s="67"/>
      <c r="G673" s="69" t="s">
        <v>604</v>
      </c>
    </row>
    <row r="674" spans="2:7">
      <c r="B674" s="270"/>
      <c r="C674" s="71"/>
      <c r="D674" s="79"/>
      <c r="E674" s="73"/>
      <c r="F674" s="73"/>
      <c r="G674" s="74" t="s">
        <v>604</v>
      </c>
    </row>
    <row r="676" spans="2:7">
      <c r="B676" s="53" t="s">
        <v>146</v>
      </c>
      <c r="C676" s="80">
        <v>104101</v>
      </c>
      <c r="D676" s="81"/>
      <c r="E676" s="82"/>
      <c r="F676" s="54" t="s">
        <v>326</v>
      </c>
      <c r="G676" s="55"/>
    </row>
    <row r="677" spans="2:7">
      <c r="B677" s="56" t="s">
        <v>327</v>
      </c>
      <c r="C677" s="83" t="str">
        <f>VLOOKUP(C676,功能索引!$C$3:$D$269,2,FALSE)</f>
        <v>证券行情查询</v>
      </c>
      <c r="D677" s="84"/>
      <c r="E677" s="85"/>
      <c r="F677" s="57" t="s">
        <v>148</v>
      </c>
      <c r="G677" s="58">
        <f>VLOOKUP(C676,功能索引!$C$3:$E1030,3,FALSE)</f>
        <v>0</v>
      </c>
    </row>
    <row r="678" spans="2:7">
      <c r="B678" s="269" t="s">
        <v>328</v>
      </c>
      <c r="C678" s="95"/>
      <c r="D678" s="96"/>
      <c r="E678" s="96"/>
      <c r="F678" s="96"/>
      <c r="G678" s="97"/>
    </row>
    <row r="679" spans="2:7">
      <c r="B679" s="270"/>
      <c r="C679" s="98"/>
      <c r="D679" s="99"/>
      <c r="E679" s="99"/>
      <c r="F679" s="99"/>
      <c r="G679" s="100"/>
    </row>
    <row r="680" spans="2:7">
      <c r="B680" s="271" t="s">
        <v>329</v>
      </c>
      <c r="C680" s="54" t="s">
        <v>330</v>
      </c>
      <c r="D680" s="54" t="s">
        <v>331</v>
      </c>
      <c r="E680" s="54" t="s">
        <v>332</v>
      </c>
      <c r="F680" s="54" t="s">
        <v>333</v>
      </c>
      <c r="G680" s="60" t="s">
        <v>334</v>
      </c>
    </row>
    <row r="681" spans="2:7">
      <c r="B681" s="269"/>
      <c r="C681" s="61" t="s">
        <v>640</v>
      </c>
      <c r="D681" s="62">
        <f>VLOOKUP(C681,基本字段定义!$B$3:$C$3008,2,FALSE)</f>
        <v>719</v>
      </c>
      <c r="E681" s="63" t="s">
        <v>480</v>
      </c>
      <c r="F681" s="63" t="s">
        <v>152</v>
      </c>
      <c r="G681" s="64" t="s">
        <v>657</v>
      </c>
    </row>
    <row r="682" spans="2:7">
      <c r="B682" s="269"/>
      <c r="C682" s="61" t="s">
        <v>361</v>
      </c>
      <c r="D682" s="62">
        <f>VLOOKUP(C682,基本字段定义!$B$3:$C$3008,2,FALSE)</f>
        <v>599</v>
      </c>
      <c r="E682" s="63" t="s">
        <v>362</v>
      </c>
      <c r="F682" s="63"/>
      <c r="G682" s="64" t="s">
        <v>658</v>
      </c>
    </row>
    <row r="683" spans="2:7">
      <c r="B683" s="266" t="s">
        <v>335</v>
      </c>
      <c r="C683" s="65" t="s">
        <v>361</v>
      </c>
      <c r="D683" s="66">
        <f>VLOOKUP(C683,基本字段定义!$B$3:$C$3008,2,FALSE)</f>
        <v>599</v>
      </c>
      <c r="E683" s="67" t="s">
        <v>339</v>
      </c>
      <c r="F683" s="67"/>
      <c r="G683" s="69" t="s">
        <v>363</v>
      </c>
    </row>
    <row r="684" spans="2:7">
      <c r="B684" s="267"/>
      <c r="C684" s="65" t="s">
        <v>659</v>
      </c>
      <c r="D684" s="66">
        <f>VLOOKUP(C684,基本字段定义!$B$3:$C$3008,2,FALSE)</f>
        <v>722</v>
      </c>
      <c r="E684" s="67" t="s">
        <v>339</v>
      </c>
      <c r="F684" s="67"/>
      <c r="G684" s="69" t="s">
        <v>660</v>
      </c>
    </row>
    <row r="685" spans="2:7">
      <c r="B685" s="267"/>
      <c r="C685" s="65" t="s">
        <v>524</v>
      </c>
      <c r="D685" s="66">
        <f>VLOOKUP(C685,基本字段定义!$B$3:$C$3008,2,FALSE)</f>
        <v>511</v>
      </c>
      <c r="E685" s="67" t="s">
        <v>339</v>
      </c>
      <c r="F685" s="67"/>
      <c r="G685" s="69" t="s">
        <v>525</v>
      </c>
    </row>
    <row r="686" spans="2:7">
      <c r="B686" s="267"/>
      <c r="C686" s="65" t="s">
        <v>661</v>
      </c>
      <c r="D686" s="66">
        <f>VLOOKUP(C686,基本字段定义!$B$3:$C$3008,2,FALSE)</f>
        <v>591</v>
      </c>
      <c r="E686" s="67" t="s">
        <v>337</v>
      </c>
      <c r="F686" s="67"/>
      <c r="G686" s="69" t="s">
        <v>662</v>
      </c>
    </row>
    <row r="687" spans="2:7">
      <c r="B687" s="267"/>
      <c r="C687" s="65" t="s">
        <v>663</v>
      </c>
      <c r="D687" s="66">
        <f>VLOOKUP(C687,基本字段定义!$B$3:$C$3008,2,FALSE)</f>
        <v>860</v>
      </c>
      <c r="E687" s="67" t="s">
        <v>474</v>
      </c>
      <c r="F687" s="67"/>
      <c r="G687" s="68" t="s">
        <v>664</v>
      </c>
    </row>
    <row r="688" spans="2:7">
      <c r="B688" s="267"/>
      <c r="C688" s="65" t="s">
        <v>665</v>
      </c>
      <c r="D688" s="66">
        <f>VLOOKUP(C688,基本字段定义!$B$3:$C$3008,2,FALSE)</f>
        <v>729</v>
      </c>
      <c r="E688" s="67" t="s">
        <v>537</v>
      </c>
      <c r="F688" s="67"/>
      <c r="G688" s="69" t="s">
        <v>666</v>
      </c>
    </row>
    <row r="689" spans="2:7">
      <c r="B689" s="267"/>
      <c r="C689" s="65" t="s">
        <v>667</v>
      </c>
      <c r="D689" s="66">
        <f>VLOOKUP(C689,基本字段定义!$B$3:$C$3008,2,FALSE)</f>
        <v>726</v>
      </c>
      <c r="E689" s="67" t="s">
        <v>537</v>
      </c>
      <c r="F689" s="67"/>
      <c r="G689" s="69" t="s">
        <v>668</v>
      </c>
    </row>
    <row r="690" spans="2:7">
      <c r="B690" s="267"/>
      <c r="C690" s="65" t="s">
        <v>669</v>
      </c>
      <c r="D690" s="66">
        <f>VLOOKUP(C690,基本字段定义!$B$3:$C$3008,2,FALSE)</f>
        <v>587</v>
      </c>
      <c r="E690" s="67" t="s">
        <v>537</v>
      </c>
      <c r="F690" s="67"/>
      <c r="G690" s="69" t="s">
        <v>670</v>
      </c>
    </row>
    <row r="691" spans="2:7">
      <c r="B691" s="267"/>
      <c r="C691" s="65" t="s">
        <v>671</v>
      </c>
      <c r="D691" s="66">
        <f>VLOOKUP(C691,基本字段定义!$B$3:$C$3008,2,FALSE)</f>
        <v>594</v>
      </c>
      <c r="E691" s="67" t="s">
        <v>337</v>
      </c>
      <c r="F691" s="67"/>
      <c r="G691" s="69" t="s">
        <v>672</v>
      </c>
    </row>
    <row r="692" spans="2:7">
      <c r="B692" s="267"/>
      <c r="C692" s="65" t="s">
        <v>673</v>
      </c>
      <c r="D692" s="66">
        <f>VLOOKUP(C692,基本字段定义!$B$3:$C$3008,2,FALSE)</f>
        <v>1693</v>
      </c>
      <c r="E692" s="67" t="s">
        <v>337</v>
      </c>
      <c r="F692" s="67"/>
      <c r="G692" s="69" t="s">
        <v>674</v>
      </c>
    </row>
    <row r="693" spans="2:7">
      <c r="B693" s="267"/>
      <c r="C693" s="65" t="s">
        <v>675</v>
      </c>
      <c r="D693" s="66">
        <f>VLOOKUP(C693,基本字段定义!$B$3:$C$3008,2,FALSE)</f>
        <v>961</v>
      </c>
      <c r="E693" s="67" t="s">
        <v>537</v>
      </c>
      <c r="F693" s="67"/>
      <c r="G693" s="69" t="s">
        <v>676</v>
      </c>
    </row>
    <row r="694" spans="2:7">
      <c r="B694" s="267"/>
      <c r="C694" s="65" t="s">
        <v>677</v>
      </c>
      <c r="D694" s="66">
        <f>VLOOKUP(C694,基本字段定义!$B$3:$C$3008,2,FALSE)</f>
        <v>703</v>
      </c>
      <c r="E694" s="67" t="s">
        <v>537</v>
      </c>
      <c r="F694" s="67"/>
      <c r="G694" s="69" t="s">
        <v>678</v>
      </c>
    </row>
    <row r="695" spans="2:7">
      <c r="B695" s="267"/>
      <c r="C695" s="65" t="s">
        <v>679</v>
      </c>
      <c r="D695" s="66">
        <f>VLOOKUP(C695,基本字段定义!$B$3:$C$3008,2,FALSE)</f>
        <v>706</v>
      </c>
      <c r="E695" s="67" t="s">
        <v>537</v>
      </c>
      <c r="F695" s="67"/>
      <c r="G695" s="69" t="s">
        <v>680</v>
      </c>
    </row>
    <row r="696" spans="2:7">
      <c r="B696" s="267"/>
      <c r="C696" s="65" t="s">
        <v>681</v>
      </c>
      <c r="D696" s="66">
        <f>VLOOKUP(C696,基本字段定义!$B$3:$C$3008,2,FALSE)</f>
        <v>528</v>
      </c>
      <c r="E696" s="67" t="s">
        <v>337</v>
      </c>
      <c r="F696" s="67"/>
      <c r="G696" s="69" t="s">
        <v>682</v>
      </c>
    </row>
    <row r="697" spans="2:7">
      <c r="B697" s="267"/>
      <c r="C697" s="65" t="s">
        <v>683</v>
      </c>
      <c r="D697" s="66">
        <f>VLOOKUP(C697,基本字段定义!$B$3:$C$3008,2,FALSE)</f>
        <v>524</v>
      </c>
      <c r="E697" s="67" t="s">
        <v>537</v>
      </c>
      <c r="F697" s="67"/>
      <c r="G697" s="69" t="s">
        <v>684</v>
      </c>
    </row>
    <row r="698" spans="2:7">
      <c r="B698" s="267"/>
      <c r="C698" s="65" t="s">
        <v>685</v>
      </c>
      <c r="D698" s="66">
        <f>VLOOKUP(C698,基本字段定义!$B$3:$C$3008,2,FALSE)</f>
        <v>1031</v>
      </c>
      <c r="E698" s="67" t="s">
        <v>537</v>
      </c>
      <c r="F698" s="67"/>
      <c r="G698" s="69" t="s">
        <v>686</v>
      </c>
    </row>
    <row r="699" spans="2:7">
      <c r="B699" s="267"/>
      <c r="C699" s="65" t="s">
        <v>687</v>
      </c>
      <c r="D699" s="66">
        <f>VLOOKUP(C699,基本字段定义!$B$3:$C$3008,2,FALSE)</f>
        <v>842</v>
      </c>
      <c r="E699" s="67" t="s">
        <v>537</v>
      </c>
      <c r="F699" s="67"/>
      <c r="G699" s="69" t="s">
        <v>688</v>
      </c>
    </row>
    <row r="700" spans="2:7">
      <c r="B700" s="267"/>
      <c r="C700" s="65" t="s">
        <v>689</v>
      </c>
      <c r="D700" s="66">
        <f>VLOOKUP(C700,基本字段定义!$B$3:$C$3008,2,FALSE)</f>
        <v>844</v>
      </c>
      <c r="E700" s="67" t="s">
        <v>537</v>
      </c>
      <c r="F700" s="67"/>
      <c r="G700" s="69" t="s">
        <v>690</v>
      </c>
    </row>
    <row r="701" spans="2:7">
      <c r="B701" s="267"/>
      <c r="C701" s="65" t="s">
        <v>691</v>
      </c>
      <c r="D701" s="66">
        <f>VLOOKUP(C701,基本字段定义!$B$3:$C$3008,2,FALSE)</f>
        <v>846</v>
      </c>
      <c r="E701" s="67" t="s">
        <v>537</v>
      </c>
      <c r="F701" s="67"/>
      <c r="G701" s="69" t="s">
        <v>692</v>
      </c>
    </row>
    <row r="702" spans="2:7">
      <c r="B702" s="267"/>
      <c r="C702" s="65" t="s">
        <v>693</v>
      </c>
      <c r="D702" s="66">
        <f>VLOOKUP(C702,基本字段定义!$B$3:$C$3008,2,FALSE)</f>
        <v>848</v>
      </c>
      <c r="E702" s="67" t="s">
        <v>537</v>
      </c>
      <c r="F702" s="67"/>
      <c r="G702" s="69" t="s">
        <v>694</v>
      </c>
    </row>
    <row r="703" spans="2:7">
      <c r="B703" s="267"/>
      <c r="C703" s="65" t="s">
        <v>695</v>
      </c>
      <c r="D703" s="66">
        <f>VLOOKUP(C703,基本字段定义!$B$3:$C$3008,2,FALSE)</f>
        <v>1357</v>
      </c>
      <c r="E703" s="67" t="s">
        <v>537</v>
      </c>
      <c r="F703" s="67"/>
      <c r="G703" s="69" t="s">
        <v>696</v>
      </c>
    </row>
    <row r="704" spans="2:7">
      <c r="B704" s="267"/>
      <c r="C704" s="65" t="s">
        <v>697</v>
      </c>
      <c r="D704" s="66">
        <f>VLOOKUP(C704,基本字段定义!$B$3:$C$3008,2,FALSE)</f>
        <v>850</v>
      </c>
      <c r="E704" s="67" t="s">
        <v>537</v>
      </c>
      <c r="F704" s="67"/>
      <c r="G704" s="69" t="s">
        <v>698</v>
      </c>
    </row>
    <row r="705" spans="2:7">
      <c r="B705" s="267"/>
      <c r="C705" s="65" t="s">
        <v>699</v>
      </c>
      <c r="D705" s="66">
        <f>VLOOKUP(C705,基本字段定义!$B$3:$C$3008,2,FALSE)</f>
        <v>852</v>
      </c>
      <c r="E705" s="67" t="s">
        <v>537</v>
      </c>
      <c r="F705" s="67"/>
      <c r="G705" s="69" t="s">
        <v>700</v>
      </c>
    </row>
    <row r="706" spans="2:7">
      <c r="B706" s="267"/>
      <c r="C706" s="65" t="s">
        <v>701</v>
      </c>
      <c r="D706" s="66">
        <f>VLOOKUP(C706,基本字段定义!$B$3:$C$3008,2,FALSE)</f>
        <v>854</v>
      </c>
      <c r="E706" s="67" t="s">
        <v>537</v>
      </c>
      <c r="F706" s="67"/>
      <c r="G706" s="69" t="s">
        <v>702</v>
      </c>
    </row>
    <row r="707" spans="2:7">
      <c r="B707" s="267"/>
      <c r="C707" s="65" t="s">
        <v>703</v>
      </c>
      <c r="D707" s="66">
        <f>VLOOKUP(C707,基本字段定义!$B$3:$C$3008,2,FALSE)</f>
        <v>856</v>
      </c>
      <c r="E707" s="67" t="s">
        <v>537</v>
      </c>
      <c r="F707" s="67"/>
      <c r="G707" s="69" t="s">
        <v>704</v>
      </c>
    </row>
    <row r="708" spans="2:7">
      <c r="B708" s="267"/>
      <c r="C708" s="65" t="s">
        <v>705</v>
      </c>
      <c r="D708" s="66">
        <f>VLOOKUP(C708,基本字段定义!$B$3:$C$3008,2,FALSE)</f>
        <v>1359</v>
      </c>
      <c r="E708" s="67" t="s">
        <v>537</v>
      </c>
      <c r="F708" s="67"/>
      <c r="G708" s="69" t="s">
        <v>706</v>
      </c>
    </row>
    <row r="709" spans="2:7">
      <c r="B709" s="267"/>
      <c r="C709" s="65" t="s">
        <v>707</v>
      </c>
      <c r="D709" s="66">
        <f>VLOOKUP(C709,基本字段定义!$B$3:$C$3008,2,FALSE)</f>
        <v>843</v>
      </c>
      <c r="E709" s="67" t="s">
        <v>337</v>
      </c>
      <c r="F709" s="67"/>
      <c r="G709" s="69" t="s">
        <v>708</v>
      </c>
    </row>
    <row r="710" spans="2:7">
      <c r="B710" s="267"/>
      <c r="C710" s="65" t="s">
        <v>709</v>
      </c>
      <c r="D710" s="66">
        <f>VLOOKUP(C710,基本字段定义!$B$3:$C$3008,2,FALSE)</f>
        <v>845</v>
      </c>
      <c r="E710" s="67" t="s">
        <v>337</v>
      </c>
      <c r="F710" s="67"/>
      <c r="G710" s="69" t="s">
        <v>710</v>
      </c>
    </row>
    <row r="711" spans="2:7">
      <c r="B711" s="267"/>
      <c r="C711" s="65" t="s">
        <v>711</v>
      </c>
      <c r="D711" s="66">
        <f>VLOOKUP(C711,基本字段定义!$B$3:$C$3008,2,FALSE)</f>
        <v>847</v>
      </c>
      <c r="E711" s="67" t="s">
        <v>337</v>
      </c>
      <c r="F711" s="67"/>
      <c r="G711" s="69" t="s">
        <v>712</v>
      </c>
    </row>
    <row r="712" spans="2:7">
      <c r="B712" s="267"/>
      <c r="C712" s="65" t="s">
        <v>713</v>
      </c>
      <c r="D712" s="66">
        <f>VLOOKUP(C712,基本字段定义!$B$3:$C$3008,2,FALSE)</f>
        <v>849</v>
      </c>
      <c r="E712" s="67" t="s">
        <v>337</v>
      </c>
      <c r="F712" s="67"/>
      <c r="G712" s="69" t="s">
        <v>714</v>
      </c>
    </row>
    <row r="713" spans="2:7">
      <c r="B713" s="267"/>
      <c r="C713" s="65" t="s">
        <v>715</v>
      </c>
      <c r="D713" s="66">
        <f>VLOOKUP(C713,基本字段定义!$B$3:$C$3008,2,FALSE)</f>
        <v>1358</v>
      </c>
      <c r="E713" s="67" t="s">
        <v>337</v>
      </c>
      <c r="F713" s="67"/>
      <c r="G713" s="69" t="s">
        <v>716</v>
      </c>
    </row>
    <row r="714" spans="2:7">
      <c r="B714" s="267"/>
      <c r="C714" s="65" t="s">
        <v>717</v>
      </c>
      <c r="D714" s="66">
        <f>VLOOKUP(C714,基本字段定义!$B$3:$C$3008,2,FALSE)</f>
        <v>851</v>
      </c>
      <c r="E714" s="67" t="s">
        <v>337</v>
      </c>
      <c r="F714" s="67"/>
      <c r="G714" s="69" t="s">
        <v>718</v>
      </c>
    </row>
    <row r="715" spans="2:7">
      <c r="B715" s="267"/>
      <c r="C715" s="65" t="s">
        <v>719</v>
      </c>
      <c r="D715" s="66">
        <f>VLOOKUP(C715,基本字段定义!$B$3:$C$3008,2,FALSE)</f>
        <v>853</v>
      </c>
      <c r="E715" s="67" t="s">
        <v>337</v>
      </c>
      <c r="F715" s="67"/>
      <c r="G715" s="69" t="s">
        <v>720</v>
      </c>
    </row>
    <row r="716" spans="2:7">
      <c r="B716" s="267"/>
      <c r="C716" s="65" t="s">
        <v>721</v>
      </c>
      <c r="D716" s="66">
        <f>VLOOKUP(C716,基本字段定义!$B$3:$C$3008,2,FALSE)</f>
        <v>855</v>
      </c>
      <c r="E716" s="67" t="s">
        <v>337</v>
      </c>
      <c r="F716" s="67"/>
      <c r="G716" s="69" t="s">
        <v>722</v>
      </c>
    </row>
    <row r="717" spans="2:7">
      <c r="B717" s="267"/>
      <c r="C717" s="65" t="s">
        <v>723</v>
      </c>
      <c r="D717" s="66">
        <f>VLOOKUP(C717,基本字段定义!$B$3:$C$3008,2,FALSE)</f>
        <v>857</v>
      </c>
      <c r="E717" s="67" t="s">
        <v>337</v>
      </c>
      <c r="F717" s="67"/>
      <c r="G717" s="69" t="s">
        <v>724</v>
      </c>
    </row>
    <row r="718" spans="2:7">
      <c r="B718" s="267"/>
      <c r="C718" s="65" t="s">
        <v>725</v>
      </c>
      <c r="D718" s="66">
        <f>VLOOKUP(C718,基本字段定义!$B$3:$C$3008,2,FALSE)</f>
        <v>1360</v>
      </c>
      <c r="E718" s="67" t="s">
        <v>337</v>
      </c>
      <c r="F718" s="67"/>
      <c r="G718" s="69" t="s">
        <v>726</v>
      </c>
    </row>
    <row r="719" spans="2:7">
      <c r="B719" s="267"/>
      <c r="C719" s="87" t="s">
        <v>727</v>
      </c>
      <c r="D719" s="89">
        <v>720</v>
      </c>
      <c r="E719" s="88" t="s">
        <v>339</v>
      </c>
      <c r="F719" s="88"/>
      <c r="G719" s="90" t="s">
        <v>728</v>
      </c>
    </row>
    <row r="720" spans="2:7">
      <c r="B720" s="268"/>
      <c r="C720" s="71"/>
      <c r="D720" s="79"/>
      <c r="E720" s="73"/>
      <c r="F720" s="73"/>
      <c r="G720" s="74"/>
    </row>
    <row r="722" spans="2:7">
      <c r="B722" s="53" t="s">
        <v>146</v>
      </c>
      <c r="C722" s="80">
        <v>104027</v>
      </c>
      <c r="D722" s="81"/>
      <c r="E722" s="82"/>
      <c r="F722" s="54" t="s">
        <v>326</v>
      </c>
      <c r="G722" s="55"/>
    </row>
    <row r="723" spans="2:7">
      <c r="B723" s="56" t="s">
        <v>327</v>
      </c>
      <c r="C723" s="83" t="str">
        <f>VLOOKUP(C722,功能索引!$C$3:$D$269,2,FALSE)</f>
        <v>权证信息查询</v>
      </c>
      <c r="D723" s="84"/>
      <c r="E723" s="85"/>
      <c r="F723" s="57" t="s">
        <v>148</v>
      </c>
      <c r="G723" s="58" t="str">
        <f>VLOOKUP(C722,功能索引!$C$3:$E1077,3,FALSE)</f>
        <v>Y</v>
      </c>
    </row>
    <row r="724" spans="2:7">
      <c r="B724" s="269" t="s">
        <v>328</v>
      </c>
      <c r="C724" s="95"/>
      <c r="D724" s="96"/>
      <c r="E724" s="96"/>
      <c r="F724" s="96"/>
      <c r="G724" s="97"/>
    </row>
    <row r="725" spans="2:7">
      <c r="B725" s="270"/>
      <c r="C725" s="98"/>
      <c r="D725" s="99"/>
      <c r="E725" s="99"/>
      <c r="F725" s="99"/>
      <c r="G725" s="100"/>
    </row>
    <row r="726" spans="2:7">
      <c r="B726" s="271" t="s">
        <v>329</v>
      </c>
      <c r="C726" s="54" t="s">
        <v>330</v>
      </c>
      <c r="D726" s="54" t="s">
        <v>331</v>
      </c>
      <c r="E726" s="54" t="s">
        <v>332</v>
      </c>
      <c r="F726" s="54" t="s">
        <v>333</v>
      </c>
      <c r="G726" s="60" t="s">
        <v>334</v>
      </c>
    </row>
    <row r="727" spans="2:7">
      <c r="B727" s="269"/>
      <c r="C727" s="61" t="s">
        <v>361</v>
      </c>
      <c r="D727" s="62">
        <f>VLOOKUP(C727,基本字段定义!$B$3:$C$3008,2,FALSE)</f>
        <v>599</v>
      </c>
      <c r="E727" s="63" t="s">
        <v>362</v>
      </c>
      <c r="F727" s="63"/>
      <c r="G727" s="64" t="s">
        <v>363</v>
      </c>
    </row>
    <row r="728" spans="2:7">
      <c r="B728" s="269"/>
      <c r="C728" s="61" t="s">
        <v>646</v>
      </c>
      <c r="D728" s="62">
        <f>VLOOKUP(C728,基本字段定义!$B$3:$C$3008,2,FALSE)</f>
        <v>1514</v>
      </c>
      <c r="E728" s="63" t="s">
        <v>480</v>
      </c>
      <c r="F728" s="63"/>
      <c r="G728" s="64" t="s">
        <v>647</v>
      </c>
    </row>
    <row r="729" spans="2:7">
      <c r="B729" s="269" t="s">
        <v>335</v>
      </c>
      <c r="C729" s="65" t="s">
        <v>361</v>
      </c>
      <c r="D729" s="66">
        <f>VLOOKUP(C729,基本字段定义!$B$3:$C$3008,2,FALSE)</f>
        <v>599</v>
      </c>
      <c r="E729" s="67" t="s">
        <v>339</v>
      </c>
      <c r="F729" s="67"/>
      <c r="G729" s="68" t="s">
        <v>363</v>
      </c>
    </row>
    <row r="730" spans="2:7">
      <c r="B730" s="269"/>
      <c r="C730" s="65" t="s">
        <v>640</v>
      </c>
      <c r="D730" s="66">
        <f>VLOOKUP(C730,基本字段定义!$B$3:$C$3008,2,FALSE)</f>
        <v>719</v>
      </c>
      <c r="E730" s="67" t="s">
        <v>339</v>
      </c>
      <c r="F730" s="67"/>
      <c r="G730" s="69" t="s">
        <v>641</v>
      </c>
    </row>
    <row r="731" spans="2:7">
      <c r="B731" s="269"/>
      <c r="C731" s="65" t="s">
        <v>642</v>
      </c>
      <c r="D731" s="66">
        <f>VLOOKUP(C731,基本字段定义!$B$3:$C$3008,2,FALSE)</f>
        <v>1516</v>
      </c>
      <c r="E731" s="67" t="s">
        <v>537</v>
      </c>
      <c r="F731" s="67"/>
      <c r="G731" s="69" t="s">
        <v>643</v>
      </c>
    </row>
    <row r="732" spans="2:7">
      <c r="B732" s="269"/>
      <c r="C732" s="65" t="s">
        <v>644</v>
      </c>
      <c r="D732" s="66">
        <f>VLOOKUP(C732,基本字段定义!$B$3:$C$3008,2,FALSE)</f>
        <v>1504</v>
      </c>
      <c r="E732" s="67" t="s">
        <v>537</v>
      </c>
      <c r="F732" s="67"/>
      <c r="G732" s="69" t="s">
        <v>645</v>
      </c>
    </row>
    <row r="733" spans="2:7">
      <c r="B733" s="269"/>
      <c r="C733" s="65" t="s">
        <v>646</v>
      </c>
      <c r="D733" s="66">
        <f>VLOOKUP(C733,基本字段定义!$B$3:$C$3008,2,FALSE)</f>
        <v>1514</v>
      </c>
      <c r="E733" s="67" t="s">
        <v>339</v>
      </c>
      <c r="F733" s="67"/>
      <c r="G733" s="69" t="s">
        <v>647</v>
      </c>
    </row>
    <row r="734" spans="2:7">
      <c r="B734" s="269"/>
      <c r="C734" s="65" t="s">
        <v>648</v>
      </c>
      <c r="D734" s="66">
        <f>VLOOKUP(C734,基本字段定义!$B$3:$C$3008,2,FALSE)</f>
        <v>1502</v>
      </c>
      <c r="E734" s="67" t="s">
        <v>339</v>
      </c>
      <c r="F734" s="67"/>
      <c r="G734" s="69" t="s">
        <v>649</v>
      </c>
    </row>
    <row r="735" spans="2:7">
      <c r="B735" s="270"/>
      <c r="C735" s="71"/>
      <c r="D735" s="79"/>
      <c r="E735" s="73"/>
      <c r="F735" s="73"/>
      <c r="G735" s="74"/>
    </row>
    <row r="737" spans="2:7">
      <c r="B737" s="53" t="s">
        <v>146</v>
      </c>
      <c r="C737" s="80">
        <v>104041</v>
      </c>
      <c r="D737" s="81"/>
      <c r="E737" s="82"/>
      <c r="F737" s="54" t="s">
        <v>326</v>
      </c>
      <c r="G737" s="55"/>
    </row>
    <row r="738" spans="2:7">
      <c r="B738" s="56" t="s">
        <v>327</v>
      </c>
      <c r="C738" s="83" t="str">
        <f>VLOOKUP(C737,功能索引!$C$3:$D$269,2,FALSE)</f>
        <v>查询股东附加交易权限</v>
      </c>
      <c r="D738" s="84"/>
      <c r="E738" s="85"/>
      <c r="F738" s="57" t="s">
        <v>148</v>
      </c>
      <c r="G738" s="58"/>
    </row>
    <row r="739" spans="2:7">
      <c r="B739" s="269" t="s">
        <v>328</v>
      </c>
      <c r="C739" s="95"/>
      <c r="D739" s="96"/>
      <c r="E739" s="96"/>
      <c r="F739" s="96"/>
      <c r="G739" s="97"/>
    </row>
    <row r="740" spans="2:7">
      <c r="B740" s="270"/>
      <c r="C740" s="98"/>
      <c r="D740" s="99"/>
      <c r="E740" s="99"/>
      <c r="F740" s="99"/>
      <c r="G740" s="100"/>
    </row>
    <row r="741" spans="2:7">
      <c r="B741" s="271" t="s">
        <v>329</v>
      </c>
      <c r="C741" s="54" t="s">
        <v>330</v>
      </c>
      <c r="D741" s="54" t="s">
        <v>331</v>
      </c>
      <c r="E741" s="54" t="s">
        <v>332</v>
      </c>
      <c r="F741" s="54" t="s">
        <v>333</v>
      </c>
      <c r="G741" s="60" t="s">
        <v>334</v>
      </c>
    </row>
    <row r="742" spans="2:7">
      <c r="B742" s="269"/>
      <c r="C742" s="61" t="s">
        <v>361</v>
      </c>
      <c r="D742" s="62">
        <f>VLOOKUP(C742,基本字段定义!$B$3:$C$3008,2,FALSE)</f>
        <v>599</v>
      </c>
      <c r="E742" s="63" t="s">
        <v>362</v>
      </c>
      <c r="F742" s="63" t="s">
        <v>152</v>
      </c>
      <c r="G742" s="64" t="s">
        <v>363</v>
      </c>
    </row>
    <row r="743" spans="2:7">
      <c r="B743" s="269"/>
      <c r="C743" s="61" t="s">
        <v>405</v>
      </c>
      <c r="D743" s="62">
        <f>VLOOKUP(C743,基本字段定义!$B$3:$C$3008,2,FALSE)</f>
        <v>571</v>
      </c>
      <c r="E743" s="63" t="s">
        <v>406</v>
      </c>
      <c r="F743" s="63" t="s">
        <v>152</v>
      </c>
      <c r="G743" s="64" t="s">
        <v>407</v>
      </c>
    </row>
    <row r="744" spans="2:7">
      <c r="B744" s="269"/>
      <c r="C744" s="61" t="s">
        <v>402</v>
      </c>
      <c r="D744" s="62">
        <f>VLOOKUP(C744,基本字段定义!$B$3:$C$3008,2,FALSE)</f>
        <v>605</v>
      </c>
      <c r="E744" s="63" t="s">
        <v>403</v>
      </c>
      <c r="F744" s="63" t="s">
        <v>152</v>
      </c>
      <c r="G744" s="64" t="s">
        <v>404</v>
      </c>
    </row>
    <row r="745" spans="2:7">
      <c r="B745" s="269" t="s">
        <v>335</v>
      </c>
      <c r="C745" s="65" t="s">
        <v>361</v>
      </c>
      <c r="D745" s="66">
        <f>VLOOKUP(C745,基本字段定义!$B$3:$C$3008,2,FALSE)</f>
        <v>599</v>
      </c>
      <c r="E745" s="67" t="s">
        <v>339</v>
      </c>
      <c r="F745" s="67"/>
      <c r="G745" s="68" t="s">
        <v>363</v>
      </c>
    </row>
    <row r="746" spans="2:7">
      <c r="B746" s="269"/>
      <c r="C746" s="65" t="s">
        <v>402</v>
      </c>
      <c r="D746" s="66">
        <f>VLOOKUP(C746,基本字段定义!$B$3:$C$3008,2,FALSE)</f>
        <v>605</v>
      </c>
      <c r="E746" s="67" t="s">
        <v>339</v>
      </c>
      <c r="F746" s="67"/>
      <c r="G746" s="69" t="s">
        <v>404</v>
      </c>
    </row>
    <row r="747" spans="2:7">
      <c r="B747" s="269"/>
      <c r="C747" s="65" t="s">
        <v>405</v>
      </c>
      <c r="D747" s="66">
        <f>VLOOKUP(C747,基本字段定义!$B$3:$C$3008,2,FALSE)</f>
        <v>571</v>
      </c>
      <c r="E747" s="67" t="s">
        <v>339</v>
      </c>
      <c r="F747" s="67"/>
      <c r="G747" s="69" t="s">
        <v>407</v>
      </c>
    </row>
    <row r="748" spans="2:7">
      <c r="B748" s="269"/>
      <c r="C748" s="65" t="s">
        <v>373</v>
      </c>
      <c r="D748" s="66">
        <f>VLOOKUP(C748,基本字段定义!$B$3:$C$3008,2,FALSE)</f>
        <v>697</v>
      </c>
      <c r="E748" s="67" t="s">
        <v>339</v>
      </c>
      <c r="F748" s="67"/>
      <c r="G748" s="69" t="s">
        <v>374</v>
      </c>
    </row>
    <row r="749" spans="2:7">
      <c r="B749" s="269"/>
      <c r="C749" s="65" t="s">
        <v>729</v>
      </c>
      <c r="D749" s="66">
        <f>VLOOKUP(C749,基本字段定义!$B$3:$C$3008,2,FALSE)</f>
        <v>2309</v>
      </c>
      <c r="E749" s="67" t="s">
        <v>337</v>
      </c>
      <c r="F749" s="67"/>
      <c r="G749" s="69" t="s">
        <v>730</v>
      </c>
    </row>
    <row r="750" spans="2:7">
      <c r="B750" s="269"/>
      <c r="C750" s="65" t="s">
        <v>731</v>
      </c>
      <c r="D750" s="66">
        <f>VLOOKUP(C750,基本字段定义!$B$3:$C$3008,2,FALSE)</f>
        <v>9108</v>
      </c>
      <c r="E750" s="67" t="s">
        <v>337</v>
      </c>
      <c r="F750" s="67"/>
      <c r="G750" s="69" t="s">
        <v>732</v>
      </c>
    </row>
    <row r="751" spans="2:7">
      <c r="B751" s="269"/>
      <c r="C751" s="65" t="s">
        <v>733</v>
      </c>
      <c r="D751" s="66">
        <f>VLOOKUP(C751,基本字段定义!$B$3:$C$3008,2,FALSE)</f>
        <v>526</v>
      </c>
      <c r="E751" s="67" t="s">
        <v>337</v>
      </c>
      <c r="F751" s="67"/>
      <c r="G751" s="69" t="s">
        <v>734</v>
      </c>
    </row>
    <row r="752" spans="2:7">
      <c r="B752" s="269"/>
      <c r="C752" s="65" t="s">
        <v>735</v>
      </c>
      <c r="D752" s="66">
        <f>VLOOKUP(C752,基本字段定义!$B$3:$C$3008,2,FALSE)</f>
        <v>611</v>
      </c>
      <c r="E752" s="67" t="s">
        <v>337</v>
      </c>
      <c r="F752" s="67"/>
      <c r="G752" s="69" t="s">
        <v>736</v>
      </c>
    </row>
    <row r="753" spans="2:7">
      <c r="B753" s="269"/>
      <c r="C753" s="65" t="s">
        <v>737</v>
      </c>
      <c r="D753" s="66">
        <f>VLOOKUP(C753,基本字段定义!$B$3:$C$3008,2,FALSE)</f>
        <v>688</v>
      </c>
      <c r="E753" s="67" t="s">
        <v>337</v>
      </c>
      <c r="F753" s="67"/>
      <c r="G753" s="69" t="s">
        <v>738</v>
      </c>
    </row>
    <row r="754" spans="2:7">
      <c r="B754" s="270"/>
      <c r="C754" s="71"/>
      <c r="D754" s="79"/>
      <c r="E754" s="73"/>
      <c r="F754" s="73"/>
      <c r="G754" s="74"/>
    </row>
    <row r="756" spans="2:7">
      <c r="B756" s="53" t="s">
        <v>146</v>
      </c>
      <c r="C756" s="80">
        <v>104105</v>
      </c>
      <c r="D756" s="81"/>
      <c r="E756" s="82"/>
      <c r="F756" s="54" t="s">
        <v>326</v>
      </c>
      <c r="G756" s="55"/>
    </row>
    <row r="757" spans="2:7">
      <c r="B757" s="56" t="s">
        <v>327</v>
      </c>
      <c r="C757" s="83" t="str">
        <f>VLOOKUP(C756,功能索引!$C$3:$D$269,2,FALSE)</f>
        <v>查询ETF基本信息</v>
      </c>
      <c r="D757" s="84"/>
      <c r="E757" s="85"/>
      <c r="F757" s="57" t="s">
        <v>148</v>
      </c>
      <c r="G757" s="58" t="str">
        <f>VLOOKUP(C756,功能索引!$C$3:$E1107,3,FALSE)</f>
        <v>Y</v>
      </c>
    </row>
    <row r="758" spans="2:7">
      <c r="B758" s="269" t="s">
        <v>328</v>
      </c>
      <c r="C758" s="95"/>
      <c r="D758" s="96"/>
      <c r="E758" s="96"/>
      <c r="F758" s="96"/>
      <c r="G758" s="97"/>
    </row>
    <row r="759" spans="2:7">
      <c r="B759" s="270"/>
      <c r="C759" s="98"/>
      <c r="D759" s="99"/>
      <c r="E759" s="99"/>
      <c r="F759" s="99"/>
      <c r="G759" s="100"/>
    </row>
    <row r="760" spans="2:7">
      <c r="B760" s="271" t="s">
        <v>329</v>
      </c>
      <c r="C760" s="54" t="s">
        <v>330</v>
      </c>
      <c r="D760" s="54" t="s">
        <v>331</v>
      </c>
      <c r="E760" s="54" t="s">
        <v>332</v>
      </c>
      <c r="F760" s="54" t="s">
        <v>333</v>
      </c>
      <c r="G760" s="60" t="s">
        <v>334</v>
      </c>
    </row>
    <row r="761" spans="2:7">
      <c r="B761" s="269"/>
      <c r="C761" s="61" t="s">
        <v>361</v>
      </c>
      <c r="D761" s="62">
        <f>VLOOKUP(C761,基本字段定义!$B$3:$C$3008,2,FALSE)</f>
        <v>599</v>
      </c>
      <c r="E761" s="63" t="s">
        <v>362</v>
      </c>
      <c r="F761" s="63"/>
      <c r="G761" s="64" t="s">
        <v>363</v>
      </c>
    </row>
    <row r="762" spans="2:7">
      <c r="B762" s="269"/>
      <c r="C762" s="61" t="s">
        <v>739</v>
      </c>
      <c r="D762" s="62">
        <f>VLOOKUP(C762,基本字段定义!$B$3:$C$3008,2,FALSE)</f>
        <v>9129</v>
      </c>
      <c r="E762" s="63" t="s">
        <v>480</v>
      </c>
      <c r="F762" s="63"/>
      <c r="G762" s="64" t="s">
        <v>740</v>
      </c>
    </row>
    <row r="763" spans="2:7">
      <c r="B763" s="269"/>
      <c r="C763" s="61" t="s">
        <v>741</v>
      </c>
      <c r="D763" s="62">
        <f>VLOOKUP(C763,基本字段定义!$B$3:$C$3008,2,FALSE)</f>
        <v>1079</v>
      </c>
      <c r="E763" s="63" t="s">
        <v>480</v>
      </c>
      <c r="F763" s="63"/>
      <c r="G763" s="64" t="s">
        <v>742</v>
      </c>
    </row>
    <row r="764" spans="2:7">
      <c r="B764" s="269" t="s">
        <v>335</v>
      </c>
      <c r="C764" s="65" t="s">
        <v>361</v>
      </c>
      <c r="D764" s="66">
        <f>VLOOKUP(C764,基本字段定义!$B$3:$C$3008,2,FALSE)</f>
        <v>599</v>
      </c>
      <c r="E764" s="67" t="s">
        <v>339</v>
      </c>
      <c r="F764" s="67"/>
      <c r="G764" s="68" t="s">
        <v>363</v>
      </c>
    </row>
    <row r="765" spans="2:7">
      <c r="B765" s="269"/>
      <c r="C765" s="65" t="s">
        <v>739</v>
      </c>
      <c r="D765" s="66">
        <f>VLOOKUP(C765,基本字段定义!$B$3:$C$3008,2,FALSE)</f>
        <v>9129</v>
      </c>
      <c r="E765" s="67" t="s">
        <v>339</v>
      </c>
      <c r="F765" s="67"/>
      <c r="G765" s="69" t="s">
        <v>740</v>
      </c>
    </row>
    <row r="766" spans="2:7">
      <c r="B766" s="269"/>
      <c r="C766" s="65" t="s">
        <v>743</v>
      </c>
      <c r="D766" s="66">
        <f>VLOOKUP(C766,基本字段定义!$B$3:$C$3008,2,FALSE)</f>
        <v>9130</v>
      </c>
      <c r="E766" s="67" t="s">
        <v>339</v>
      </c>
      <c r="F766" s="67"/>
      <c r="G766" s="69" t="s">
        <v>744</v>
      </c>
    </row>
    <row r="767" spans="2:7">
      <c r="B767" s="269"/>
      <c r="C767" s="65" t="s">
        <v>741</v>
      </c>
      <c r="D767" s="66">
        <f>VLOOKUP(C767,基本字段定义!$B$3:$C$3008,2,FALSE)</f>
        <v>1079</v>
      </c>
      <c r="E767" s="67" t="s">
        <v>339</v>
      </c>
      <c r="F767" s="67"/>
      <c r="G767" s="69" t="s">
        <v>742</v>
      </c>
    </row>
    <row r="768" spans="2:7">
      <c r="B768" s="269"/>
      <c r="C768" s="65" t="s">
        <v>745</v>
      </c>
      <c r="D768" s="66">
        <f>VLOOKUP(C768,基本字段定义!$B$3:$C$3008,2,FALSE)</f>
        <v>1394</v>
      </c>
      <c r="E768" s="67" t="s">
        <v>339</v>
      </c>
      <c r="F768" s="67"/>
      <c r="G768" s="69" t="s">
        <v>746</v>
      </c>
    </row>
    <row r="769" spans="2:7">
      <c r="B769" s="269"/>
      <c r="C769" s="65" t="s">
        <v>747</v>
      </c>
      <c r="D769" s="66">
        <f>VLOOKUP(C769,基本字段定义!$B$3:$C$3008,2,FALSE)</f>
        <v>788</v>
      </c>
      <c r="E769" s="67" t="s">
        <v>337</v>
      </c>
      <c r="F769" s="67"/>
      <c r="G769" s="69" t="s">
        <v>748</v>
      </c>
    </row>
    <row r="770" spans="2:7">
      <c r="B770" s="269"/>
      <c r="C770" s="65" t="s">
        <v>749</v>
      </c>
      <c r="D770" s="66">
        <f>VLOOKUP(C770,基本字段定义!$B$3:$C$3008,2,FALSE)</f>
        <v>9131</v>
      </c>
      <c r="E770" s="67" t="s">
        <v>537</v>
      </c>
      <c r="F770" s="67"/>
      <c r="G770" s="69" t="s">
        <v>750</v>
      </c>
    </row>
    <row r="771" spans="2:7">
      <c r="B771" s="269"/>
      <c r="C771" s="65" t="s">
        <v>751</v>
      </c>
      <c r="D771" s="66">
        <f>VLOOKUP(C771,基本字段定义!$B$3:$C$3008,2,FALSE)</f>
        <v>9133</v>
      </c>
      <c r="E771" s="67" t="s">
        <v>337</v>
      </c>
      <c r="F771" s="67"/>
      <c r="G771" s="69" t="s">
        <v>752</v>
      </c>
    </row>
    <row r="772" spans="2:7">
      <c r="B772" s="269"/>
      <c r="C772" s="65" t="s">
        <v>753</v>
      </c>
      <c r="D772" s="66">
        <f>VLOOKUP(C772,基本字段定义!$B$3:$C$3008,2,FALSE)</f>
        <v>1061</v>
      </c>
      <c r="E772" s="67" t="s">
        <v>337</v>
      </c>
      <c r="F772" s="67"/>
      <c r="G772" s="69" t="s">
        <v>754</v>
      </c>
    </row>
    <row r="773" spans="2:7">
      <c r="B773" s="269"/>
      <c r="C773" s="65" t="s">
        <v>755</v>
      </c>
      <c r="D773" s="66">
        <f>VLOOKUP(C773,基本字段定义!$B$3:$C$3008,2,FALSE)</f>
        <v>9136</v>
      </c>
      <c r="E773" s="67" t="s">
        <v>537</v>
      </c>
      <c r="F773" s="67"/>
      <c r="G773" s="69" t="s">
        <v>756</v>
      </c>
    </row>
    <row r="774" spans="2:7">
      <c r="B774" s="269"/>
      <c r="C774" s="65" t="s">
        <v>757</v>
      </c>
      <c r="D774" s="66">
        <f>VLOOKUP(C774,基本字段定义!$B$3:$C$3008,2,FALSE)</f>
        <v>9139</v>
      </c>
      <c r="E774" s="67" t="s">
        <v>537</v>
      </c>
      <c r="F774" s="67"/>
      <c r="G774" s="69" t="s">
        <v>758</v>
      </c>
    </row>
    <row r="775" spans="2:7">
      <c r="B775" s="270"/>
      <c r="C775" s="71"/>
      <c r="D775" s="79"/>
      <c r="E775" s="73"/>
      <c r="F775" s="73"/>
      <c r="G775" s="74"/>
    </row>
    <row r="777" spans="2:7">
      <c r="B777" s="53" t="s">
        <v>146</v>
      </c>
      <c r="C777" s="80">
        <v>104106</v>
      </c>
      <c r="D777" s="81"/>
      <c r="E777" s="82"/>
      <c r="F777" s="54" t="s">
        <v>326</v>
      </c>
      <c r="G777" s="55"/>
    </row>
    <row r="778" spans="2:7">
      <c r="B778" s="56" t="s">
        <v>327</v>
      </c>
      <c r="C778" s="83" t="str">
        <f>VLOOKUP(C777,功能索引!$C$3:$D$269,2,FALSE)</f>
        <v>查询ETF成份股信息</v>
      </c>
      <c r="D778" s="84"/>
      <c r="E778" s="85"/>
      <c r="F778" s="57" t="s">
        <v>148</v>
      </c>
      <c r="G778" s="58" t="str">
        <f>VLOOKUP(C777,功能索引!$C$3:$E1136,3,FALSE)</f>
        <v>Y</v>
      </c>
    </row>
    <row r="779" spans="2:7">
      <c r="B779" s="269" t="s">
        <v>328</v>
      </c>
      <c r="C779" s="95"/>
      <c r="D779" s="96"/>
      <c r="E779" s="96"/>
      <c r="F779" s="96"/>
      <c r="G779" s="97"/>
    </row>
    <row r="780" spans="2:7">
      <c r="B780" s="270"/>
      <c r="C780" s="98"/>
      <c r="D780" s="99"/>
      <c r="E780" s="99"/>
      <c r="F780" s="99"/>
      <c r="G780" s="100"/>
    </row>
    <row r="781" spans="2:7">
      <c r="B781" s="271" t="s">
        <v>329</v>
      </c>
      <c r="C781" s="54" t="s">
        <v>330</v>
      </c>
      <c r="D781" s="54" t="s">
        <v>331</v>
      </c>
      <c r="E781" s="54" t="s">
        <v>332</v>
      </c>
      <c r="F781" s="54" t="s">
        <v>333</v>
      </c>
      <c r="G781" s="60" t="s">
        <v>334</v>
      </c>
    </row>
    <row r="782" spans="2:7">
      <c r="B782" s="269"/>
      <c r="C782" s="61" t="s">
        <v>739</v>
      </c>
      <c r="D782" s="62">
        <f>VLOOKUP(C782,基本字段定义!$B$3:$C$3008,2,FALSE)</f>
        <v>9129</v>
      </c>
      <c r="E782" s="63" t="s">
        <v>480</v>
      </c>
      <c r="F782" s="63"/>
      <c r="G782" s="64" t="s">
        <v>740</v>
      </c>
    </row>
    <row r="783" spans="2:7">
      <c r="B783" s="269" t="s">
        <v>335</v>
      </c>
      <c r="C783" s="65" t="s">
        <v>739</v>
      </c>
      <c r="D783" s="66">
        <f>VLOOKUP(C783,基本字段定义!$B$3:$C$3008,2,FALSE)</f>
        <v>9129</v>
      </c>
      <c r="E783" s="67" t="s">
        <v>339</v>
      </c>
      <c r="F783" s="67"/>
      <c r="G783" s="69" t="s">
        <v>740</v>
      </c>
    </row>
    <row r="784" spans="2:7">
      <c r="B784" s="269"/>
      <c r="C784" s="65" t="s">
        <v>361</v>
      </c>
      <c r="D784" s="66">
        <f>VLOOKUP(C784,基本字段定义!$B$3:$C$3008,2,FALSE)</f>
        <v>599</v>
      </c>
      <c r="E784" s="67" t="s">
        <v>339</v>
      </c>
      <c r="F784" s="67"/>
      <c r="G784" s="68" t="s">
        <v>759</v>
      </c>
    </row>
    <row r="785" spans="2:7">
      <c r="B785" s="269"/>
      <c r="C785" s="65" t="s">
        <v>640</v>
      </c>
      <c r="D785" s="66">
        <f>VLOOKUP(C785,基本字段定义!$B$3:$C$3008,2,FALSE)</f>
        <v>719</v>
      </c>
      <c r="E785" s="67" t="s">
        <v>339</v>
      </c>
      <c r="F785" s="67"/>
      <c r="G785" s="69" t="s">
        <v>760</v>
      </c>
    </row>
    <row r="786" spans="2:7">
      <c r="B786" s="269"/>
      <c r="C786" s="65" t="s">
        <v>659</v>
      </c>
      <c r="D786" s="66">
        <f>VLOOKUP(C786,基本字段定义!$B$3:$C$3008,2,FALSE)</f>
        <v>722</v>
      </c>
      <c r="E786" s="67" t="s">
        <v>339</v>
      </c>
      <c r="F786" s="67"/>
      <c r="G786" s="69" t="s">
        <v>761</v>
      </c>
    </row>
    <row r="787" spans="2:7">
      <c r="B787" s="269"/>
      <c r="C787" s="65" t="s">
        <v>762</v>
      </c>
      <c r="D787" s="66">
        <f>VLOOKUP(C787,基本字段定义!$B$3:$C$3008,2,FALSE)</f>
        <v>724</v>
      </c>
      <c r="E787" s="67" t="s">
        <v>337</v>
      </c>
      <c r="F787" s="67"/>
      <c r="G787" s="69" t="s">
        <v>763</v>
      </c>
    </row>
    <row r="788" spans="2:7">
      <c r="B788" s="269"/>
      <c r="C788" s="65" t="s">
        <v>764</v>
      </c>
      <c r="D788" s="66">
        <f>VLOOKUP(C788,基本字段定义!$B$3:$C$3008,2,FALSE)</f>
        <v>9134</v>
      </c>
      <c r="E788" s="67" t="s">
        <v>337</v>
      </c>
      <c r="F788" s="67"/>
      <c r="G788" s="69" t="s">
        <v>765</v>
      </c>
    </row>
    <row r="789" spans="2:7">
      <c r="B789" s="269"/>
      <c r="C789" s="65" t="s">
        <v>766</v>
      </c>
      <c r="D789" s="66">
        <f>VLOOKUP(C789,基本字段定义!$B$3:$C$3008,2,FALSE)</f>
        <v>9137</v>
      </c>
      <c r="E789" s="67" t="s">
        <v>537</v>
      </c>
      <c r="F789" s="67"/>
      <c r="G789" s="69" t="s">
        <v>767</v>
      </c>
    </row>
    <row r="790" spans="2:7">
      <c r="B790" s="269"/>
      <c r="C790" s="65" t="s">
        <v>768</v>
      </c>
      <c r="D790" s="66">
        <f>VLOOKUP(C790,基本字段定义!$B$3:$C$3008,2,FALSE)</f>
        <v>1603</v>
      </c>
      <c r="E790" s="67" t="s">
        <v>537</v>
      </c>
      <c r="F790" s="67"/>
      <c r="G790" s="69" t="s">
        <v>769</v>
      </c>
    </row>
    <row r="791" spans="2:7">
      <c r="B791" s="270"/>
      <c r="C791" s="71"/>
      <c r="D791" s="79"/>
      <c r="E791" s="73"/>
      <c r="F791" s="73"/>
      <c r="G791" s="74"/>
    </row>
    <row r="793" spans="2:7">
      <c r="B793" s="53" t="s">
        <v>146</v>
      </c>
      <c r="C793" s="80">
        <v>104110</v>
      </c>
      <c r="D793" s="81"/>
      <c r="E793" s="82"/>
      <c r="F793" s="54" t="s">
        <v>326</v>
      </c>
      <c r="G793" s="55"/>
    </row>
    <row r="794" spans="2:7">
      <c r="B794" s="56" t="s">
        <v>327</v>
      </c>
      <c r="C794" s="83" t="str">
        <f>VLOOKUP(C793,功能索引!$C$3:$D$269,2,FALSE)</f>
        <v>查询三板报价转让行情</v>
      </c>
      <c r="D794" s="84"/>
      <c r="E794" s="85"/>
      <c r="F794" s="57" t="s">
        <v>148</v>
      </c>
      <c r="G794" s="58" t="str">
        <f>VLOOKUP(C793,功能索引!$C$3:$E1154,3,FALSE)</f>
        <v>Y</v>
      </c>
    </row>
    <row r="795" spans="2:7">
      <c r="B795" s="269" t="s">
        <v>328</v>
      </c>
      <c r="C795" s="95"/>
      <c r="D795" s="96"/>
      <c r="E795" s="96"/>
      <c r="F795" s="96"/>
      <c r="G795" s="97"/>
    </row>
    <row r="796" spans="2:7">
      <c r="B796" s="270"/>
      <c r="C796" s="98"/>
      <c r="D796" s="99"/>
      <c r="E796" s="99"/>
      <c r="F796" s="99"/>
      <c r="G796" s="100"/>
    </row>
    <row r="797" spans="2:7">
      <c r="B797" s="271" t="s">
        <v>329</v>
      </c>
      <c r="C797" s="54" t="s">
        <v>330</v>
      </c>
      <c r="D797" s="54" t="s">
        <v>331</v>
      </c>
      <c r="E797" s="54" t="s">
        <v>332</v>
      </c>
      <c r="F797" s="54" t="s">
        <v>333</v>
      </c>
      <c r="G797" s="60" t="s">
        <v>334</v>
      </c>
    </row>
    <row r="798" spans="2:7">
      <c r="B798" s="269"/>
      <c r="C798" s="61" t="s">
        <v>640</v>
      </c>
      <c r="D798" s="62">
        <f>VLOOKUP(C798,基本字段定义!$B$3:$C$3008,2,FALSE)</f>
        <v>719</v>
      </c>
      <c r="E798" s="63" t="s">
        <v>480</v>
      </c>
      <c r="F798" s="63"/>
      <c r="G798" s="64" t="s">
        <v>657</v>
      </c>
    </row>
    <row r="799" spans="2:7">
      <c r="B799" s="269"/>
      <c r="C799" s="61" t="s">
        <v>770</v>
      </c>
      <c r="D799" s="62">
        <f>VLOOKUP(C799,基本字段定义!$B$3:$C$3008,2,FALSE)</f>
        <v>1616</v>
      </c>
      <c r="E799" s="63" t="s">
        <v>403</v>
      </c>
      <c r="F799" s="63"/>
      <c r="G799" s="64" t="s">
        <v>771</v>
      </c>
    </row>
    <row r="800" spans="2:7">
      <c r="B800" s="269"/>
      <c r="C800" s="61" t="s">
        <v>772</v>
      </c>
      <c r="D800" s="62">
        <f>VLOOKUP(C800,基本字段定义!$B$3:$C$3008,2,FALSE)</f>
        <v>683</v>
      </c>
      <c r="E800" s="63" t="s">
        <v>337</v>
      </c>
      <c r="F800" s="63"/>
      <c r="G800" s="64" t="s">
        <v>773</v>
      </c>
    </row>
    <row r="801" spans="2:7">
      <c r="B801" s="269" t="s">
        <v>335</v>
      </c>
      <c r="C801" s="65" t="s">
        <v>640</v>
      </c>
      <c r="D801" s="66">
        <f>VLOOKUP(C801,基本字段定义!$B$3:$C$3008,2,FALSE)</f>
        <v>719</v>
      </c>
      <c r="E801" s="67" t="s">
        <v>339</v>
      </c>
      <c r="F801" s="67"/>
      <c r="G801" s="68" t="s">
        <v>657</v>
      </c>
    </row>
    <row r="802" spans="2:7">
      <c r="B802" s="269"/>
      <c r="C802" s="65" t="s">
        <v>774</v>
      </c>
      <c r="D802" s="66">
        <f>VLOOKUP(C802,基本字段定义!$B$3:$C$3008,2,FALSE)</f>
        <v>1907</v>
      </c>
      <c r="E802" s="67" t="s">
        <v>339</v>
      </c>
      <c r="F802" s="67"/>
      <c r="G802" s="69" t="s">
        <v>775</v>
      </c>
    </row>
    <row r="803" spans="2:7">
      <c r="B803" s="269"/>
      <c r="C803" s="65" t="s">
        <v>772</v>
      </c>
      <c r="D803" s="66">
        <f>VLOOKUP(C803,基本字段定义!$B$3:$C$3008,2,FALSE)</f>
        <v>683</v>
      </c>
      <c r="E803" s="67" t="s">
        <v>337</v>
      </c>
      <c r="F803" s="67"/>
      <c r="G803" s="69" t="s">
        <v>773</v>
      </c>
    </row>
    <row r="804" spans="2:7">
      <c r="B804" s="269"/>
      <c r="C804" s="65" t="s">
        <v>776</v>
      </c>
      <c r="D804" s="66">
        <f>VLOOKUP(C804,基本字段定义!$B$3:$C$3008,2,FALSE)</f>
        <v>684</v>
      </c>
      <c r="E804" s="67" t="s">
        <v>337</v>
      </c>
      <c r="F804" s="67"/>
      <c r="G804" s="69" t="s">
        <v>777</v>
      </c>
    </row>
    <row r="805" spans="2:7">
      <c r="B805" s="269"/>
      <c r="C805" s="65" t="s">
        <v>778</v>
      </c>
      <c r="D805" s="66">
        <f>VLOOKUP(C805,基本字段定义!$B$3:$C$3008,2,FALSE)</f>
        <v>682</v>
      </c>
      <c r="E805" s="67" t="s">
        <v>537</v>
      </c>
      <c r="F805" s="67"/>
      <c r="G805" s="69" t="s">
        <v>779</v>
      </c>
    </row>
    <row r="806" spans="2:7">
      <c r="B806" s="269"/>
      <c r="C806" s="65" t="s">
        <v>770</v>
      </c>
      <c r="D806" s="66">
        <f>VLOOKUP(C806,基本字段定义!$B$3:$C$3008,2,FALSE)</f>
        <v>1616</v>
      </c>
      <c r="E806" s="67" t="s">
        <v>339</v>
      </c>
      <c r="F806" s="67"/>
      <c r="G806" s="69" t="s">
        <v>771</v>
      </c>
    </row>
    <row r="807" spans="2:7">
      <c r="B807" s="269"/>
      <c r="C807" s="65" t="s">
        <v>731</v>
      </c>
      <c r="D807" s="66">
        <f>VLOOKUP(C807,基本字段定义!$B$3:$C$3008,2,FALSE)</f>
        <v>9108</v>
      </c>
      <c r="E807" s="67" t="s">
        <v>337</v>
      </c>
      <c r="F807" s="67"/>
      <c r="G807" s="69" t="s">
        <v>780</v>
      </c>
    </row>
    <row r="808" spans="2:7">
      <c r="B808" s="269"/>
      <c r="C808" s="65" t="s">
        <v>781</v>
      </c>
      <c r="D808" s="66">
        <f>VLOOKUP(C808,基本字段定义!$B$3:$C$3008,2,FALSE)</f>
        <v>677</v>
      </c>
      <c r="E808" s="67" t="s">
        <v>339</v>
      </c>
      <c r="F808" s="67"/>
      <c r="G808" s="69" t="s">
        <v>782</v>
      </c>
    </row>
    <row r="809" spans="2:7">
      <c r="B809" s="269"/>
      <c r="C809" s="65" t="s">
        <v>783</v>
      </c>
      <c r="D809" s="66">
        <f>VLOOKUP(C809,基本字段定义!$B$3:$C$3008,2,FALSE)</f>
        <v>678</v>
      </c>
      <c r="E809" s="67" t="s">
        <v>339</v>
      </c>
      <c r="F809" s="67"/>
      <c r="G809" s="69" t="s">
        <v>784</v>
      </c>
    </row>
    <row r="810" spans="2:7">
      <c r="B810" s="269"/>
      <c r="C810" s="65" t="s">
        <v>448</v>
      </c>
      <c r="D810" s="66">
        <f>VLOOKUP(C810,基本字段定义!$B$3:$C$3008,2,FALSE)</f>
        <v>532</v>
      </c>
      <c r="E810" s="67" t="s">
        <v>339</v>
      </c>
      <c r="F810" s="67"/>
      <c r="G810" s="69" t="s">
        <v>462</v>
      </c>
    </row>
    <row r="811" spans="2:7">
      <c r="B811" s="270"/>
      <c r="C811" s="71"/>
      <c r="D811" s="79"/>
      <c r="E811" s="73"/>
      <c r="F811" s="73"/>
      <c r="G811" s="74"/>
    </row>
    <row r="813" spans="2:7">
      <c r="B813" s="53" t="s">
        <v>146</v>
      </c>
      <c r="C813" s="80">
        <v>164080</v>
      </c>
      <c r="D813" s="81"/>
      <c r="E813" s="82"/>
      <c r="F813" s="54" t="s">
        <v>326</v>
      </c>
      <c r="G813" s="55"/>
    </row>
    <row r="814" spans="2:7">
      <c r="B814" s="56" t="s">
        <v>327</v>
      </c>
      <c r="C814" s="83" t="str">
        <f>VLOOKUP(C813,功能索引!$C$3:$D$269,2,FALSE)</f>
        <v>添加股东附加交易权限</v>
      </c>
      <c r="D814" s="84"/>
      <c r="E814" s="85"/>
      <c r="F814" s="57" t="s">
        <v>148</v>
      </c>
      <c r="G814" s="58">
        <f>VLOOKUP(C813,功能索引!$C$3:$E1383,3,FALSE)</f>
        <v>0</v>
      </c>
    </row>
    <row r="815" spans="2:7">
      <c r="B815" s="269" t="s">
        <v>328</v>
      </c>
      <c r="C815" s="95"/>
      <c r="D815" s="96"/>
      <c r="E815" s="96"/>
      <c r="F815" s="96"/>
      <c r="G815" s="97"/>
    </row>
    <row r="816" spans="2:7">
      <c r="B816" s="270"/>
      <c r="C816" s="98"/>
      <c r="D816" s="99"/>
      <c r="E816" s="99"/>
      <c r="F816" s="99"/>
      <c r="G816" s="100"/>
    </row>
    <row r="817" spans="2:7">
      <c r="B817" s="271" t="s">
        <v>329</v>
      </c>
      <c r="C817" s="54" t="s">
        <v>330</v>
      </c>
      <c r="D817" s="54" t="s">
        <v>331</v>
      </c>
      <c r="E817" s="54" t="s">
        <v>332</v>
      </c>
      <c r="F817" s="54" t="s">
        <v>333</v>
      </c>
      <c r="G817" s="60" t="s">
        <v>334</v>
      </c>
    </row>
    <row r="818" spans="2:7">
      <c r="B818" s="269"/>
      <c r="C818" s="61" t="s">
        <v>361</v>
      </c>
      <c r="D818" s="62">
        <f>VLOOKUP(C818,基本字段定义!$B$3:$C$3008,2,FALSE)</f>
        <v>599</v>
      </c>
      <c r="E818" s="63" t="s">
        <v>362</v>
      </c>
      <c r="F818" s="63" t="s">
        <v>152</v>
      </c>
      <c r="G818" s="64" t="s">
        <v>363</v>
      </c>
    </row>
    <row r="819" spans="2:7">
      <c r="B819" s="269"/>
      <c r="C819" s="61" t="s">
        <v>402</v>
      </c>
      <c r="D819" s="62">
        <f>VLOOKUP(C819,基本字段定义!$B$3:$C$3008,2,FALSE)</f>
        <v>605</v>
      </c>
      <c r="E819" s="63" t="s">
        <v>403</v>
      </c>
      <c r="F819" s="63" t="s">
        <v>152</v>
      </c>
      <c r="G819" s="64" t="s">
        <v>404</v>
      </c>
    </row>
    <row r="820" spans="2:7">
      <c r="B820" s="269"/>
      <c r="C820" s="61" t="s">
        <v>405</v>
      </c>
      <c r="D820" s="62">
        <f>VLOOKUP(C820,基本字段定义!$B$3:$C$3008,2,FALSE)</f>
        <v>571</v>
      </c>
      <c r="E820" s="63" t="s">
        <v>406</v>
      </c>
      <c r="F820" s="63" t="s">
        <v>152</v>
      </c>
      <c r="G820" s="64" t="s">
        <v>407</v>
      </c>
    </row>
    <row r="821" spans="2:7">
      <c r="B821" s="269"/>
      <c r="C821" s="61" t="s">
        <v>373</v>
      </c>
      <c r="D821" s="62">
        <f>VLOOKUP(C821,基本字段定义!$B$3:$C$3008,2,FALSE)</f>
        <v>697</v>
      </c>
      <c r="E821" s="63" t="s">
        <v>345</v>
      </c>
      <c r="F821" s="63" t="s">
        <v>152</v>
      </c>
      <c r="G821" s="64" t="s">
        <v>374</v>
      </c>
    </row>
    <row r="822" spans="2:7">
      <c r="B822" s="269"/>
      <c r="C822" s="61" t="s">
        <v>729</v>
      </c>
      <c r="D822" s="62">
        <f>VLOOKUP(C822,基本字段定义!$B$3:$C$3008,2,FALSE)</f>
        <v>2309</v>
      </c>
      <c r="E822" s="63" t="s">
        <v>337</v>
      </c>
      <c r="F822" s="63" t="s">
        <v>152</v>
      </c>
      <c r="G822" s="64" t="s">
        <v>785</v>
      </c>
    </row>
    <row r="823" spans="2:7">
      <c r="B823" s="269" t="s">
        <v>335</v>
      </c>
      <c r="C823" s="65" t="s">
        <v>336</v>
      </c>
      <c r="D823" s="66">
        <f>VLOOKUP(C823,基本字段定义!$B$3:$C$3008,2,FALSE)</f>
        <v>507</v>
      </c>
      <c r="E823" s="67" t="s">
        <v>337</v>
      </c>
      <c r="F823" s="67"/>
      <c r="G823" s="68"/>
    </row>
    <row r="824" spans="2:7">
      <c r="B824" s="269"/>
      <c r="C824" s="65" t="s">
        <v>338</v>
      </c>
      <c r="D824" s="66">
        <f>VLOOKUP(C824,基本字段定义!$B$3:$C$3008,2,FALSE)</f>
        <v>508</v>
      </c>
      <c r="E824" s="67" t="s">
        <v>339</v>
      </c>
      <c r="F824" s="67"/>
      <c r="G824" s="69"/>
    </row>
    <row r="825" spans="2:7">
      <c r="B825" s="270"/>
      <c r="C825" s="71"/>
      <c r="D825" s="79"/>
      <c r="E825" s="73"/>
      <c r="F825" s="73"/>
      <c r="G825" s="74"/>
    </row>
    <row r="827" spans="2:7">
      <c r="B827" s="53" t="s">
        <v>146</v>
      </c>
      <c r="C827" s="80">
        <v>304001</v>
      </c>
      <c r="D827" s="81"/>
      <c r="E827" s="82"/>
      <c r="F827" s="54" t="s">
        <v>326</v>
      </c>
      <c r="G827" s="55"/>
    </row>
    <row r="828" spans="2:7">
      <c r="B828" s="56" t="s">
        <v>327</v>
      </c>
      <c r="C828" s="83" t="str">
        <f>VLOOKUP(C827,功能索引!$C$3:$D$269,2,FALSE)</f>
        <v>客户股东号查询</v>
      </c>
      <c r="D828" s="84"/>
      <c r="E828" s="85"/>
      <c r="F828" s="57" t="s">
        <v>148</v>
      </c>
      <c r="G828" s="58" t="str">
        <f>VLOOKUP(C827,功能索引!$C$3:$E1177,3,FALSE)</f>
        <v>Y</v>
      </c>
    </row>
    <row r="829" spans="2:7">
      <c r="B829" s="269" t="s">
        <v>328</v>
      </c>
      <c r="C829" s="95"/>
      <c r="D829" s="96"/>
      <c r="E829" s="96"/>
      <c r="F829" s="96"/>
      <c r="G829" s="97"/>
    </row>
    <row r="830" spans="2:7">
      <c r="B830" s="270"/>
      <c r="C830" s="98"/>
      <c r="D830" s="99"/>
      <c r="E830" s="99"/>
      <c r="F830" s="99"/>
      <c r="G830" s="100"/>
    </row>
    <row r="831" spans="2:7">
      <c r="B831" s="271" t="s">
        <v>329</v>
      </c>
      <c r="C831" s="54" t="s">
        <v>330</v>
      </c>
      <c r="D831" s="54" t="s">
        <v>331</v>
      </c>
      <c r="E831" s="54" t="s">
        <v>332</v>
      </c>
      <c r="F831" s="54" t="s">
        <v>333</v>
      </c>
      <c r="G831" s="60" t="s">
        <v>334</v>
      </c>
    </row>
    <row r="832" spans="2:7">
      <c r="B832" s="269"/>
      <c r="C832" s="61" t="s">
        <v>402</v>
      </c>
      <c r="D832" s="62">
        <f>VLOOKUP(C832,基本字段定义!$B$3:$C$3008,2,FALSE)</f>
        <v>605</v>
      </c>
      <c r="E832" s="63" t="s">
        <v>403</v>
      </c>
      <c r="F832" s="63" t="s">
        <v>152</v>
      </c>
      <c r="G832" s="64" t="s">
        <v>404</v>
      </c>
    </row>
    <row r="833" spans="2:7">
      <c r="B833" s="269"/>
      <c r="C833" s="61" t="s">
        <v>361</v>
      </c>
      <c r="D833" s="62">
        <f>VLOOKUP(C833,基本字段定义!$B$3:$C$3008,2,FALSE)</f>
        <v>599</v>
      </c>
      <c r="E833" s="63" t="s">
        <v>362</v>
      </c>
      <c r="F833" s="63"/>
      <c r="G833" s="64" t="s">
        <v>363</v>
      </c>
    </row>
    <row r="834" spans="2:7">
      <c r="B834" s="269" t="s">
        <v>335</v>
      </c>
      <c r="C834" s="65" t="s">
        <v>405</v>
      </c>
      <c r="D834" s="66">
        <f>VLOOKUP(C834,基本字段定义!$B$3:$C$3008,2,FALSE)</f>
        <v>571</v>
      </c>
      <c r="E834" s="67" t="s">
        <v>339</v>
      </c>
      <c r="F834" s="67"/>
      <c r="G834" s="68" t="s">
        <v>407</v>
      </c>
    </row>
    <row r="835" spans="2:7">
      <c r="B835" s="269"/>
      <c r="C835" s="65" t="s">
        <v>361</v>
      </c>
      <c r="D835" s="66">
        <f>VLOOKUP(C835,基本字段定义!$B$3:$C$3008,2,FALSE)</f>
        <v>599</v>
      </c>
      <c r="E835" s="67" t="s">
        <v>339</v>
      </c>
      <c r="F835" s="67"/>
      <c r="G835" s="69" t="s">
        <v>363</v>
      </c>
    </row>
    <row r="836" spans="2:7">
      <c r="B836" s="269"/>
      <c r="C836" s="65" t="s">
        <v>524</v>
      </c>
      <c r="D836" s="66">
        <f>VLOOKUP(C836,基本字段定义!$B$3:$C$3008,2,FALSE)</f>
        <v>511</v>
      </c>
      <c r="E836" s="67" t="s">
        <v>339</v>
      </c>
      <c r="F836" s="67"/>
      <c r="G836" s="69" t="s">
        <v>525</v>
      </c>
    </row>
    <row r="837" spans="2:7">
      <c r="B837" s="269"/>
      <c r="C837" s="65" t="s">
        <v>530</v>
      </c>
      <c r="D837" s="66">
        <f>VLOOKUP(C837,基本字段定义!$B$3:$C$3008,2,FALSE)</f>
        <v>727</v>
      </c>
      <c r="E837" s="67" t="s">
        <v>337</v>
      </c>
      <c r="F837" s="67"/>
      <c r="G837" s="69" t="s">
        <v>786</v>
      </c>
    </row>
    <row r="838" spans="2:7">
      <c r="B838" s="266"/>
      <c r="C838" s="87" t="s">
        <v>787</v>
      </c>
      <c r="D838" s="89">
        <v>1532</v>
      </c>
      <c r="E838" s="88" t="s">
        <v>337</v>
      </c>
      <c r="F838" s="88"/>
      <c r="G838" s="90" t="s">
        <v>788</v>
      </c>
    </row>
    <row r="839" spans="2:7">
      <c r="B839" s="270"/>
      <c r="C839" s="71"/>
      <c r="D839" s="79"/>
      <c r="E839" s="73"/>
      <c r="F839" s="73"/>
      <c r="G839" s="74"/>
    </row>
    <row r="841" spans="2:7">
      <c r="B841" s="53" t="s">
        <v>146</v>
      </c>
      <c r="C841" s="80">
        <v>304002</v>
      </c>
      <c r="D841" s="81"/>
      <c r="E841" s="82"/>
      <c r="F841" s="54" t="s">
        <v>326</v>
      </c>
      <c r="G841" s="55"/>
    </row>
    <row r="842" spans="2:7">
      <c r="B842" s="56" t="s">
        <v>327</v>
      </c>
      <c r="C842" s="83" t="str">
        <f>VLOOKUP(C841,功能索引!$C$3:$D$269,2,FALSE)</f>
        <v>股东资料查询</v>
      </c>
      <c r="D842" s="84"/>
      <c r="E842" s="85"/>
      <c r="F842" s="57" t="s">
        <v>148</v>
      </c>
      <c r="G842" s="58">
        <f>VLOOKUP(C841,功能索引!$C$3:$E1191,3,FALSE)</f>
        <v>0</v>
      </c>
    </row>
    <row r="843" spans="2:7">
      <c r="B843" s="269" t="s">
        <v>328</v>
      </c>
      <c r="C843" s="95"/>
      <c r="D843" s="96"/>
      <c r="E843" s="96"/>
      <c r="F843" s="96"/>
      <c r="G843" s="97"/>
    </row>
    <row r="844" spans="2:7">
      <c r="B844" s="270"/>
      <c r="C844" s="98"/>
      <c r="D844" s="99"/>
      <c r="E844" s="99"/>
      <c r="F844" s="99"/>
      <c r="G844" s="100"/>
    </row>
    <row r="845" spans="2:7">
      <c r="B845" s="271" t="s">
        <v>329</v>
      </c>
      <c r="C845" s="54" t="s">
        <v>330</v>
      </c>
      <c r="D845" s="54" t="s">
        <v>331</v>
      </c>
      <c r="E845" s="54" t="s">
        <v>332</v>
      </c>
      <c r="F845" s="54" t="s">
        <v>333</v>
      </c>
      <c r="G845" s="60" t="s">
        <v>334</v>
      </c>
    </row>
    <row r="846" spans="2:7">
      <c r="B846" s="269"/>
      <c r="C846" s="61" t="s">
        <v>405</v>
      </c>
      <c r="D846" s="62">
        <f>VLOOKUP(C846,基本字段定义!$B$3:$C$3008,2,FALSE)</f>
        <v>571</v>
      </c>
      <c r="E846" s="63" t="s">
        <v>406</v>
      </c>
      <c r="F846" s="63" t="s">
        <v>152</v>
      </c>
      <c r="G846" s="64" t="s">
        <v>407</v>
      </c>
    </row>
    <row r="847" spans="2:7">
      <c r="B847" s="269"/>
      <c r="C847" s="61" t="s">
        <v>361</v>
      </c>
      <c r="D847" s="62">
        <f>VLOOKUP(C847,基本字段定义!$B$3:$C$3008,2,FALSE)</f>
        <v>599</v>
      </c>
      <c r="E847" s="63" t="s">
        <v>362</v>
      </c>
      <c r="F847" s="63" t="s">
        <v>152</v>
      </c>
      <c r="G847" s="64" t="s">
        <v>363</v>
      </c>
    </row>
    <row r="848" spans="2:7">
      <c r="B848" s="269" t="s">
        <v>335</v>
      </c>
      <c r="C848" s="65" t="s">
        <v>402</v>
      </c>
      <c r="D848" s="66">
        <f>VLOOKUP(C848,基本字段定义!$B$3:$C$3008,2,FALSE)</f>
        <v>605</v>
      </c>
      <c r="E848" s="67" t="s">
        <v>339</v>
      </c>
      <c r="F848" s="67"/>
      <c r="G848" s="68" t="s">
        <v>404</v>
      </c>
    </row>
    <row r="849" spans="2:7">
      <c r="B849" s="269"/>
      <c r="C849" s="65" t="s">
        <v>420</v>
      </c>
      <c r="D849" s="66">
        <f>VLOOKUP(C849,基本字段定义!$B$3:$C$3008,2,FALSE)</f>
        <v>613</v>
      </c>
      <c r="E849" s="67" t="s">
        <v>339</v>
      </c>
      <c r="F849" s="67"/>
      <c r="G849" s="68" t="s">
        <v>789</v>
      </c>
    </row>
    <row r="850" spans="2:7">
      <c r="B850" s="269"/>
      <c r="C850" s="65" t="s">
        <v>790</v>
      </c>
      <c r="D850" s="66">
        <f>VLOOKUP(C850,基本字段定义!$B$3:$C$3008,2,FALSE)</f>
        <v>575</v>
      </c>
      <c r="E850" s="67" t="s">
        <v>339</v>
      </c>
      <c r="F850" s="67"/>
      <c r="G850" s="68" t="s">
        <v>791</v>
      </c>
    </row>
    <row r="851" spans="2:7">
      <c r="B851" s="269"/>
      <c r="C851" s="65" t="s">
        <v>524</v>
      </c>
      <c r="D851" s="66">
        <f>VLOOKUP(C851,基本字段定义!$B$3:$C$3008,2,FALSE)</f>
        <v>511</v>
      </c>
      <c r="E851" s="67" t="s">
        <v>339</v>
      </c>
      <c r="F851" s="67"/>
      <c r="G851" s="69" t="s">
        <v>525</v>
      </c>
    </row>
    <row r="852" spans="2:7">
      <c r="B852" s="269"/>
      <c r="C852" s="65" t="s">
        <v>530</v>
      </c>
      <c r="D852" s="66">
        <f>VLOOKUP(C852,基本字段定义!$B$3:$C$3008,2,FALSE)</f>
        <v>727</v>
      </c>
      <c r="E852" s="67" t="s">
        <v>337</v>
      </c>
      <c r="F852" s="67"/>
      <c r="G852" s="69" t="s">
        <v>786</v>
      </c>
    </row>
    <row r="853" spans="2:7">
      <c r="B853" s="266"/>
      <c r="C853" s="87" t="s">
        <v>787</v>
      </c>
      <c r="D853" s="89">
        <v>1532</v>
      </c>
      <c r="E853" s="88" t="s">
        <v>337</v>
      </c>
      <c r="F853" s="88"/>
      <c r="G853" s="90" t="s">
        <v>788</v>
      </c>
    </row>
    <row r="854" spans="2:7">
      <c r="B854" s="270"/>
      <c r="C854" s="71"/>
      <c r="D854" s="79"/>
      <c r="E854" s="73"/>
      <c r="F854" s="73"/>
      <c r="G854" s="74"/>
    </row>
    <row r="856" spans="2:7">
      <c r="B856" s="53" t="s">
        <v>146</v>
      </c>
      <c r="C856" s="80">
        <v>304003</v>
      </c>
      <c r="D856" s="81"/>
      <c r="E856" s="82"/>
      <c r="F856" s="54" t="s">
        <v>326</v>
      </c>
      <c r="G856" s="55"/>
    </row>
    <row r="857" spans="2:7">
      <c r="B857" s="56" t="s">
        <v>327</v>
      </c>
      <c r="C857" s="83" t="str">
        <f>VLOOKUP(C856,功能索引!$C$3:$D$269,2,FALSE)</f>
        <v>根据股东帐号获取客户号</v>
      </c>
      <c r="D857" s="84"/>
      <c r="E857" s="85"/>
      <c r="F857" s="57" t="s">
        <v>148</v>
      </c>
      <c r="G857" s="58">
        <f>VLOOKUP(C856,功能索引!$C$3:$E1202,3,FALSE)</f>
        <v>0</v>
      </c>
    </row>
    <row r="858" spans="2:7" ht="13.5" customHeight="1">
      <c r="B858" s="269" t="s">
        <v>328</v>
      </c>
      <c r="C858" s="95" t="s">
        <v>792</v>
      </c>
      <c r="D858" s="96"/>
      <c r="E858" s="96"/>
      <c r="F858" s="96"/>
      <c r="G858" s="97"/>
    </row>
    <row r="859" spans="2:7">
      <c r="B859" s="270"/>
      <c r="C859" s="98"/>
      <c r="D859" s="99"/>
      <c r="E859" s="99"/>
      <c r="F859" s="99"/>
      <c r="G859" s="100"/>
    </row>
    <row r="860" spans="2:7">
      <c r="B860" s="271" t="s">
        <v>329</v>
      </c>
      <c r="C860" s="54" t="s">
        <v>330</v>
      </c>
      <c r="D860" s="54" t="s">
        <v>331</v>
      </c>
      <c r="E860" s="54" t="s">
        <v>332</v>
      </c>
      <c r="F860" s="54" t="s">
        <v>333</v>
      </c>
      <c r="G860" s="60" t="s">
        <v>334</v>
      </c>
    </row>
    <row r="861" spans="2:7">
      <c r="B861" s="269"/>
      <c r="C861" s="61" t="s">
        <v>405</v>
      </c>
      <c r="D861" s="62">
        <f>VLOOKUP(C861,基本字段定义!$B$3:$C$3008,2,FALSE)</f>
        <v>571</v>
      </c>
      <c r="E861" s="63" t="s">
        <v>406</v>
      </c>
      <c r="F861" s="63" t="s">
        <v>152</v>
      </c>
      <c r="G861" s="64" t="s">
        <v>407</v>
      </c>
    </row>
    <row r="862" spans="2:7">
      <c r="B862" s="269"/>
      <c r="C862" s="61" t="s">
        <v>361</v>
      </c>
      <c r="D862" s="62">
        <f>VLOOKUP(C862,基本字段定义!$B$3:$C$3008,2,FALSE)</f>
        <v>599</v>
      </c>
      <c r="E862" s="63" t="s">
        <v>362</v>
      </c>
      <c r="F862" s="63"/>
      <c r="G862" s="64" t="s">
        <v>363</v>
      </c>
    </row>
    <row r="863" spans="2:7">
      <c r="B863" s="269" t="s">
        <v>335</v>
      </c>
      <c r="C863" s="65" t="s">
        <v>336</v>
      </c>
      <c r="D863" s="66">
        <f>VLOOKUP(C863,基本字段定义!$B$3:$C$3008,2,FALSE)</f>
        <v>507</v>
      </c>
      <c r="E863" s="67" t="s">
        <v>337</v>
      </c>
      <c r="F863" s="67"/>
      <c r="G863" s="68"/>
    </row>
    <row r="864" spans="2:7">
      <c r="B864" s="269"/>
      <c r="C864" s="65" t="s">
        <v>338</v>
      </c>
      <c r="D864" s="66">
        <f>VLOOKUP(C864,基本字段定义!$B$3:$C$3008,2,FALSE)</f>
        <v>508</v>
      </c>
      <c r="E864" s="67" t="s">
        <v>339</v>
      </c>
      <c r="F864" s="67"/>
      <c r="G864" s="69"/>
    </row>
    <row r="865" spans="2:7">
      <c r="B865" s="269"/>
      <c r="C865" s="65" t="s">
        <v>402</v>
      </c>
      <c r="D865" s="66">
        <f>VLOOKUP(C865,基本字段定义!$B$3:$C$3008,2,FALSE)</f>
        <v>605</v>
      </c>
      <c r="E865" s="67" t="s">
        <v>339</v>
      </c>
      <c r="F865" s="67"/>
      <c r="G865" s="69" t="s">
        <v>404</v>
      </c>
    </row>
    <row r="866" spans="2:7">
      <c r="B866" s="269"/>
      <c r="C866" s="65" t="s">
        <v>373</v>
      </c>
      <c r="D866" s="66">
        <f>VLOOKUP(C866,基本字段定义!$B$3:$C$3008,2,FALSE)</f>
        <v>697</v>
      </c>
      <c r="E866" s="67" t="s">
        <v>339</v>
      </c>
      <c r="F866" s="67"/>
      <c r="G866" s="68" t="s">
        <v>374</v>
      </c>
    </row>
    <row r="867" spans="2:7">
      <c r="B867" s="269"/>
      <c r="C867" s="65" t="s">
        <v>361</v>
      </c>
      <c r="D867" s="66">
        <f>VLOOKUP(C867,基本字段定义!$B$3:$C$3008,2,FALSE)</f>
        <v>599</v>
      </c>
      <c r="E867" s="67" t="s">
        <v>339</v>
      </c>
      <c r="F867" s="67"/>
      <c r="G867" s="69" t="s">
        <v>363</v>
      </c>
    </row>
    <row r="868" spans="2:7">
      <c r="B868" s="269"/>
      <c r="C868" s="65" t="s">
        <v>420</v>
      </c>
      <c r="D868" s="66">
        <f>VLOOKUP(C868,基本字段定义!$B$3:$C$3008,2,FALSE)</f>
        <v>613</v>
      </c>
      <c r="E868" s="67" t="s">
        <v>339</v>
      </c>
      <c r="F868" s="67"/>
      <c r="G868" s="69" t="s">
        <v>421</v>
      </c>
    </row>
    <row r="869" spans="2:7">
      <c r="B869" s="270"/>
      <c r="C869" s="71"/>
      <c r="D869" s="79"/>
      <c r="E869" s="73"/>
      <c r="F869" s="73"/>
      <c r="G869" s="74"/>
    </row>
    <row r="871" spans="2:7">
      <c r="B871" s="53" t="s">
        <v>146</v>
      </c>
      <c r="C871" s="80">
        <v>304101</v>
      </c>
      <c r="D871" s="81"/>
      <c r="E871" s="82"/>
      <c r="F871" s="54" t="s">
        <v>326</v>
      </c>
      <c r="G871" s="55"/>
    </row>
    <row r="872" spans="2:7">
      <c r="B872" s="56" t="s">
        <v>327</v>
      </c>
      <c r="C872" s="83" t="str">
        <f>VLOOKUP(C871,功能索引!$C$3:$D$269,2,FALSE)</f>
        <v>客户持仓查询</v>
      </c>
      <c r="D872" s="84"/>
      <c r="E872" s="85"/>
      <c r="F872" s="57" t="s">
        <v>148</v>
      </c>
      <c r="G872" s="58" t="str">
        <f>VLOOKUP(C871,功能索引!$C$3:$E1217,3,FALSE)</f>
        <v>Y</v>
      </c>
    </row>
    <row r="873" spans="2:7">
      <c r="B873" s="269" t="s">
        <v>328</v>
      </c>
      <c r="C873" s="95"/>
      <c r="D873" s="96"/>
      <c r="E873" s="96"/>
      <c r="F873" s="96"/>
      <c r="G873" s="97"/>
    </row>
    <row r="874" spans="2:7">
      <c r="B874" s="270"/>
      <c r="C874" s="98"/>
      <c r="D874" s="99"/>
      <c r="E874" s="99"/>
      <c r="F874" s="99"/>
      <c r="G874" s="100"/>
    </row>
    <row r="875" spans="2:7">
      <c r="B875" s="271" t="s">
        <v>329</v>
      </c>
      <c r="C875" s="54" t="s">
        <v>330</v>
      </c>
      <c r="D875" s="54" t="s">
        <v>331</v>
      </c>
      <c r="E875" s="54" t="s">
        <v>332</v>
      </c>
      <c r="F875" s="54" t="s">
        <v>333</v>
      </c>
      <c r="G875" s="60" t="s">
        <v>334</v>
      </c>
    </row>
    <row r="876" spans="2:7">
      <c r="B876" s="269"/>
      <c r="C876" s="61" t="s">
        <v>402</v>
      </c>
      <c r="D876" s="62">
        <f>VLOOKUP(C876,基本字段定义!$B$3:$C$3008,2,FALSE)</f>
        <v>605</v>
      </c>
      <c r="E876" s="63" t="s">
        <v>403</v>
      </c>
      <c r="F876" s="63" t="s">
        <v>152</v>
      </c>
      <c r="G876" s="64" t="s">
        <v>404</v>
      </c>
    </row>
    <row r="877" spans="2:7">
      <c r="B877" s="269"/>
      <c r="C877" s="61" t="s">
        <v>405</v>
      </c>
      <c r="D877" s="62">
        <f>VLOOKUP(C877,基本字段定义!$B$3:$C$3008,2,FALSE)</f>
        <v>571</v>
      </c>
      <c r="E877" s="63" t="s">
        <v>406</v>
      </c>
      <c r="F877" s="63"/>
      <c r="G877" s="64" t="s">
        <v>407</v>
      </c>
    </row>
    <row r="878" spans="2:7">
      <c r="B878" s="269"/>
      <c r="C878" s="61" t="s">
        <v>361</v>
      </c>
      <c r="D878" s="62">
        <f>VLOOKUP(C878,基本字段定义!$B$3:$C$3008,2,FALSE)</f>
        <v>599</v>
      </c>
      <c r="E878" s="63" t="s">
        <v>362</v>
      </c>
      <c r="F878" s="63"/>
      <c r="G878" s="64" t="s">
        <v>363</v>
      </c>
    </row>
    <row r="879" spans="2:7">
      <c r="B879" s="269"/>
      <c r="C879" s="61" t="s">
        <v>640</v>
      </c>
      <c r="D879" s="62">
        <f>VLOOKUP(C879,基本字段定义!$B$3:$C$3008,2,FALSE)</f>
        <v>719</v>
      </c>
      <c r="E879" s="63" t="s">
        <v>480</v>
      </c>
      <c r="F879" s="63"/>
      <c r="G879" s="64" t="s">
        <v>657</v>
      </c>
    </row>
    <row r="880" spans="2:7">
      <c r="B880" s="269"/>
      <c r="C880" s="61" t="s">
        <v>432</v>
      </c>
      <c r="D880" s="62">
        <f>VLOOKUP(C880,基本字段定义!$B$3:$C$3008,2,FALSE)</f>
        <v>988</v>
      </c>
      <c r="E880" s="63" t="s">
        <v>337</v>
      </c>
      <c r="F880" s="63"/>
      <c r="G880" s="64" t="s">
        <v>793</v>
      </c>
    </row>
    <row r="881" spans="2:7">
      <c r="B881" s="269" t="s">
        <v>335</v>
      </c>
      <c r="C881" s="65" t="s">
        <v>405</v>
      </c>
      <c r="D881" s="66">
        <f>VLOOKUP(C881,基本字段定义!$B$3:$C$3008,2,FALSE)</f>
        <v>571</v>
      </c>
      <c r="E881" s="67" t="s">
        <v>339</v>
      </c>
      <c r="F881" s="67"/>
      <c r="G881" s="69" t="s">
        <v>407</v>
      </c>
    </row>
    <row r="882" spans="2:7">
      <c r="B882" s="269"/>
      <c r="C882" s="65" t="s">
        <v>361</v>
      </c>
      <c r="D882" s="66">
        <f>VLOOKUP(C882,基本字段定义!$B$3:$C$3008,2,FALSE)</f>
        <v>599</v>
      </c>
      <c r="E882" s="67" t="s">
        <v>339</v>
      </c>
      <c r="F882" s="67"/>
      <c r="G882" s="69" t="s">
        <v>363</v>
      </c>
    </row>
    <row r="883" spans="2:7">
      <c r="B883" s="269"/>
      <c r="C883" s="65" t="s">
        <v>640</v>
      </c>
      <c r="D883" s="66">
        <f>VLOOKUP(C883,基本字段定义!$B$3:$C$3008,2,FALSE)</f>
        <v>719</v>
      </c>
      <c r="E883" s="67" t="s">
        <v>339</v>
      </c>
      <c r="F883" s="67"/>
      <c r="G883" s="69" t="s">
        <v>657</v>
      </c>
    </row>
    <row r="884" spans="2:7">
      <c r="B884" s="269"/>
      <c r="C884" s="65" t="s">
        <v>659</v>
      </c>
      <c r="D884" s="66">
        <f>VLOOKUP(C884,基本字段定义!$B$3:$C$3008,2,FALSE)</f>
        <v>722</v>
      </c>
      <c r="E884" s="67" t="s">
        <v>339</v>
      </c>
      <c r="F884" s="67"/>
      <c r="G884" s="69" t="s">
        <v>660</v>
      </c>
    </row>
    <row r="885" spans="2:7">
      <c r="B885" s="269"/>
      <c r="C885" s="65" t="s">
        <v>524</v>
      </c>
      <c r="D885" s="66">
        <f>VLOOKUP(C885,基本字段定义!$B$3:$C$3008,2,FALSE)</f>
        <v>511</v>
      </c>
      <c r="E885" s="67" t="s">
        <v>339</v>
      </c>
      <c r="F885" s="67"/>
      <c r="G885" s="69" t="s">
        <v>525</v>
      </c>
    </row>
    <row r="886" spans="2:7">
      <c r="B886" s="269"/>
      <c r="C886" s="65" t="s">
        <v>762</v>
      </c>
      <c r="D886" s="66">
        <f>VLOOKUP(C886,基本字段定义!$B$3:$C$3008,2,FALSE)</f>
        <v>724</v>
      </c>
      <c r="E886" s="67" t="s">
        <v>337</v>
      </c>
      <c r="F886" s="67"/>
      <c r="G886" s="69" t="s">
        <v>794</v>
      </c>
    </row>
    <row r="887" spans="2:7">
      <c r="B887" s="269"/>
      <c r="C887" s="65" t="s">
        <v>795</v>
      </c>
      <c r="D887" s="66">
        <f>VLOOKUP(C887,基本字段定义!$B$3:$C$3008,2,FALSE)</f>
        <v>543</v>
      </c>
      <c r="E887" s="67" t="s">
        <v>337</v>
      </c>
      <c r="F887" s="67"/>
      <c r="G887" s="69" t="s">
        <v>796</v>
      </c>
    </row>
    <row r="888" spans="2:7">
      <c r="B888" s="269"/>
      <c r="C888" s="65" t="s">
        <v>797</v>
      </c>
      <c r="D888" s="66">
        <f>VLOOKUP(C888,基本字段定义!$B$3:$C$3008,2,FALSE)</f>
        <v>545</v>
      </c>
      <c r="E888" s="67" t="s">
        <v>337</v>
      </c>
      <c r="F888" s="67"/>
      <c r="G888" s="69" t="s">
        <v>798</v>
      </c>
    </row>
    <row r="889" spans="2:7">
      <c r="B889" s="269"/>
      <c r="C889" s="65" t="s">
        <v>799</v>
      </c>
      <c r="D889" s="66">
        <f>VLOOKUP(C889,基本字段定义!$B$3:$C$3008,2,FALSE)</f>
        <v>541</v>
      </c>
      <c r="E889" s="67" t="s">
        <v>337</v>
      </c>
      <c r="F889" s="67"/>
      <c r="G889" s="69" t="s">
        <v>800</v>
      </c>
    </row>
    <row r="890" spans="2:7">
      <c r="B890" s="269"/>
      <c r="C890" s="65" t="s">
        <v>801</v>
      </c>
      <c r="D890" s="66">
        <f>VLOOKUP(C890,基本字段定义!$B$3:$C$3008,2,FALSE)</f>
        <v>1184</v>
      </c>
      <c r="E890" s="67" t="s">
        <v>337</v>
      </c>
      <c r="F890" s="67"/>
      <c r="G890" s="69" t="s">
        <v>802</v>
      </c>
    </row>
    <row r="891" spans="2:7">
      <c r="B891" s="269"/>
      <c r="C891" s="65" t="s">
        <v>803</v>
      </c>
      <c r="D891" s="66">
        <f>VLOOKUP(C891,基本字段定义!$B$3:$C$3008,2,FALSE)</f>
        <v>1179</v>
      </c>
      <c r="E891" s="67" t="s">
        <v>337</v>
      </c>
      <c r="F891" s="67"/>
      <c r="G891" s="69" t="s">
        <v>804</v>
      </c>
    </row>
    <row r="892" spans="2:7">
      <c r="B892" s="269"/>
      <c r="C892" s="65" t="s">
        <v>805</v>
      </c>
      <c r="D892" s="66">
        <f>VLOOKUP(C892,基本字段定义!$B$3:$C$3008,2,FALSE)</f>
        <v>615</v>
      </c>
      <c r="E892" s="67" t="s">
        <v>337</v>
      </c>
      <c r="F892" s="67"/>
      <c r="G892" s="69" t="s">
        <v>806</v>
      </c>
    </row>
    <row r="893" spans="2:7">
      <c r="B893" s="269"/>
      <c r="C893" s="65" t="s">
        <v>807</v>
      </c>
      <c r="D893" s="66">
        <f>VLOOKUP(C893,基本字段定义!$B$3:$C$3008,2,FALSE)</f>
        <v>1235</v>
      </c>
      <c r="E893" s="67" t="s">
        <v>337</v>
      </c>
      <c r="F893" s="67"/>
      <c r="G893" s="69" t="s">
        <v>808</v>
      </c>
    </row>
    <row r="894" spans="2:7">
      <c r="B894" s="269"/>
      <c r="C894" s="65" t="s">
        <v>809</v>
      </c>
      <c r="D894" s="66">
        <f>VLOOKUP(C894,基本字段定义!$B$3:$C$3008,2,FALSE)</f>
        <v>568</v>
      </c>
      <c r="E894" s="67" t="s">
        <v>337</v>
      </c>
      <c r="F894" s="67"/>
      <c r="G894" s="69" t="s">
        <v>810</v>
      </c>
    </row>
    <row r="895" spans="2:7">
      <c r="B895" s="269"/>
      <c r="C895" s="65" t="s">
        <v>811</v>
      </c>
      <c r="D895" s="66">
        <f>VLOOKUP(C895,基本字段定义!$B$3:$C$3008,2,FALSE)</f>
        <v>757</v>
      </c>
      <c r="E895" s="67" t="s">
        <v>337</v>
      </c>
      <c r="F895" s="67"/>
      <c r="G895" s="69" t="s">
        <v>812</v>
      </c>
    </row>
    <row r="896" spans="2:7">
      <c r="B896" s="269"/>
      <c r="C896" s="65" t="s">
        <v>813</v>
      </c>
      <c r="D896" s="66">
        <f>VLOOKUP(C896,基本字段定义!$B$3:$C$3008,2,FALSE)</f>
        <v>758</v>
      </c>
      <c r="E896" s="67" t="s">
        <v>337</v>
      </c>
      <c r="F896" s="67"/>
      <c r="G896" s="69" t="s">
        <v>814</v>
      </c>
    </row>
    <row r="897" spans="2:7">
      <c r="B897" s="269"/>
      <c r="C897" s="65" t="s">
        <v>815</v>
      </c>
      <c r="D897" s="66">
        <f>VLOOKUP(C897,基本字段定义!$B$3:$C$3008,2,FALSE)</f>
        <v>603</v>
      </c>
      <c r="E897" s="67" t="s">
        <v>337</v>
      </c>
      <c r="F897" s="67"/>
      <c r="G897" s="69" t="s">
        <v>816</v>
      </c>
    </row>
    <row r="898" spans="2:7">
      <c r="B898" s="269"/>
      <c r="C898" s="65" t="s">
        <v>547</v>
      </c>
      <c r="D898" s="66">
        <f>VLOOKUP(C898,基本字段定义!$B$3:$C$3008,2,FALSE)</f>
        <v>760</v>
      </c>
      <c r="E898" s="67" t="s">
        <v>537</v>
      </c>
      <c r="F898" s="67"/>
      <c r="G898" s="69" t="s">
        <v>817</v>
      </c>
    </row>
    <row r="899" spans="2:7">
      <c r="B899" s="269"/>
      <c r="C899" s="65" t="s">
        <v>661</v>
      </c>
      <c r="D899" s="66">
        <f>VLOOKUP(C899,基本字段定义!$B$3:$C$3008,2,FALSE)</f>
        <v>591</v>
      </c>
      <c r="E899" s="67" t="s">
        <v>337</v>
      </c>
      <c r="F899" s="67"/>
      <c r="G899" s="69" t="s">
        <v>818</v>
      </c>
    </row>
    <row r="900" spans="2:7">
      <c r="B900" s="269"/>
      <c r="C900" s="65" t="s">
        <v>665</v>
      </c>
      <c r="D900" s="66">
        <f>VLOOKUP(C900,基本字段定义!$B$3:$C$3008,2,FALSE)</f>
        <v>729</v>
      </c>
      <c r="E900" s="67" t="s">
        <v>537</v>
      </c>
      <c r="F900" s="67"/>
      <c r="G900" s="69" t="s">
        <v>819</v>
      </c>
    </row>
    <row r="901" spans="2:7">
      <c r="B901" s="269"/>
      <c r="C901" s="65" t="s">
        <v>675</v>
      </c>
      <c r="D901" s="66">
        <f>VLOOKUP(C901,基本字段定义!$B$3:$C$3008,2,FALSE)</f>
        <v>961</v>
      </c>
      <c r="E901" s="67" t="s">
        <v>537</v>
      </c>
      <c r="F901" s="67"/>
      <c r="G901" s="69" t="s">
        <v>820</v>
      </c>
    </row>
    <row r="902" spans="2:7">
      <c r="B902" s="269"/>
      <c r="C902" s="65" t="s">
        <v>821</v>
      </c>
      <c r="D902" s="66">
        <f>VLOOKUP(C902,基本字段定义!$B$3:$C$3008,2,FALSE)</f>
        <v>636</v>
      </c>
      <c r="E902" s="67" t="s">
        <v>537</v>
      </c>
      <c r="F902" s="67"/>
      <c r="G902" s="69" t="s">
        <v>822</v>
      </c>
    </row>
    <row r="903" spans="2:7">
      <c r="B903" s="269"/>
      <c r="C903" s="65" t="s">
        <v>823</v>
      </c>
      <c r="D903" s="66">
        <f>VLOOKUP(C903,基本字段定义!$B$3:$C$3008,2,FALSE)</f>
        <v>1209</v>
      </c>
      <c r="E903" s="67" t="s">
        <v>537</v>
      </c>
      <c r="F903" s="67" t="s">
        <v>824</v>
      </c>
      <c r="G903" s="69" t="s">
        <v>825</v>
      </c>
    </row>
    <row r="904" spans="2:7">
      <c r="B904" s="269"/>
      <c r="C904" s="65" t="s">
        <v>826</v>
      </c>
      <c r="D904" s="66">
        <f>VLOOKUP(C904,基本字段定义!$B$3:$C$3008,2,FALSE)</f>
        <v>1098</v>
      </c>
      <c r="E904" s="67" t="s">
        <v>537</v>
      </c>
      <c r="F904" s="67"/>
      <c r="G904" s="69" t="s">
        <v>827</v>
      </c>
    </row>
    <row r="905" spans="2:7">
      <c r="B905" s="269"/>
      <c r="C905" s="65" t="s">
        <v>828</v>
      </c>
      <c r="D905" s="66">
        <f>VLOOKUP(C905,基本字段定义!$B$3:$C$3008,2,FALSE)</f>
        <v>761</v>
      </c>
      <c r="E905" s="67" t="s">
        <v>537</v>
      </c>
      <c r="F905" s="67"/>
      <c r="G905" s="69" t="s">
        <v>829</v>
      </c>
    </row>
    <row r="906" spans="2:7">
      <c r="B906" s="269"/>
      <c r="C906" s="65" t="s">
        <v>830</v>
      </c>
      <c r="D906" s="66">
        <f>VLOOKUP(C906,基本字段定义!$B$3:$C$3008,2,FALSE)</f>
        <v>1210</v>
      </c>
      <c r="E906" s="67" t="s">
        <v>537</v>
      </c>
      <c r="F906" s="67"/>
      <c r="G906" s="69" t="s">
        <v>831</v>
      </c>
    </row>
    <row r="907" spans="2:7">
      <c r="B907" s="269"/>
      <c r="C907" s="65" t="s">
        <v>832</v>
      </c>
      <c r="D907" s="66">
        <f>VLOOKUP(C907,基本字段定义!$B$3:$C$3008,2,FALSE)</f>
        <v>671</v>
      </c>
      <c r="E907" s="67" t="s">
        <v>537</v>
      </c>
      <c r="F907" s="67" t="s">
        <v>833</v>
      </c>
      <c r="G907" s="69" t="s">
        <v>834</v>
      </c>
    </row>
    <row r="908" spans="2:7">
      <c r="B908" s="269"/>
      <c r="C908" s="65" t="s">
        <v>835</v>
      </c>
      <c r="D908" s="66">
        <f>VLOOKUP(C908,基本字段定义!$B$3:$C$3008,2,FALSE)</f>
        <v>748</v>
      </c>
      <c r="E908" s="67" t="s">
        <v>537</v>
      </c>
      <c r="F908" s="67"/>
      <c r="G908" s="69" t="s">
        <v>836</v>
      </c>
    </row>
    <row r="909" spans="2:7">
      <c r="B909" s="269"/>
      <c r="C909" s="65" t="s">
        <v>837</v>
      </c>
      <c r="D909" s="66">
        <f>VLOOKUP(C909,基本字段定义!$B$3:$C$3008,2,FALSE)</f>
        <v>749</v>
      </c>
      <c r="E909" s="67" t="s">
        <v>537</v>
      </c>
      <c r="F909" s="67"/>
      <c r="G909" s="69" t="s">
        <v>838</v>
      </c>
    </row>
    <row r="910" spans="2:7">
      <c r="B910" s="270"/>
      <c r="C910" s="71"/>
      <c r="D910" s="79"/>
      <c r="E910" s="73"/>
      <c r="F910" s="73"/>
      <c r="G910" s="74"/>
    </row>
    <row r="912" spans="2:7">
      <c r="B912" s="53" t="s">
        <v>146</v>
      </c>
      <c r="C912" s="80">
        <v>304004</v>
      </c>
      <c r="D912" s="81"/>
      <c r="E912" s="82"/>
      <c r="F912" s="54" t="s">
        <v>326</v>
      </c>
      <c r="G912" s="55"/>
    </row>
    <row r="913" spans="2:7">
      <c r="B913" s="56" t="s">
        <v>327</v>
      </c>
      <c r="C913" s="83" t="str">
        <f>VLOOKUP(C912,功能索引!$C$3:$D$269,2,FALSE)</f>
        <v>查询客户委托佣金折扣参数</v>
      </c>
      <c r="D913" s="84"/>
      <c r="E913" s="85"/>
      <c r="F913" s="57" t="s">
        <v>148</v>
      </c>
      <c r="G913" s="58" t="str">
        <f>VLOOKUP(C912,功能索引!$C$3:$E1279,3,FALSE)</f>
        <v>Y</v>
      </c>
    </row>
    <row r="914" spans="2:7">
      <c r="B914" s="269" t="s">
        <v>328</v>
      </c>
      <c r="C914" s="95"/>
      <c r="D914" s="96"/>
      <c r="E914" s="96"/>
      <c r="F914" s="96"/>
      <c r="G914" s="97"/>
    </row>
    <row r="915" spans="2:7">
      <c r="B915" s="270"/>
      <c r="C915" s="98"/>
      <c r="D915" s="99"/>
      <c r="E915" s="99"/>
      <c r="F915" s="99"/>
      <c r="G915" s="100"/>
    </row>
    <row r="916" spans="2:7">
      <c r="B916" s="271" t="s">
        <v>329</v>
      </c>
      <c r="C916" s="54" t="s">
        <v>330</v>
      </c>
      <c r="D916" s="54" t="s">
        <v>331</v>
      </c>
      <c r="E916" s="54" t="s">
        <v>332</v>
      </c>
      <c r="F916" s="54" t="s">
        <v>333</v>
      </c>
      <c r="G916" s="60" t="s">
        <v>334</v>
      </c>
    </row>
    <row r="917" spans="2:7">
      <c r="B917" s="269"/>
      <c r="C917" s="61" t="s">
        <v>402</v>
      </c>
      <c r="D917" s="62">
        <f>VLOOKUP(C917,基本字段定义!$B$3:$C$3008,2,FALSE)</f>
        <v>605</v>
      </c>
      <c r="E917" s="63" t="s">
        <v>403</v>
      </c>
      <c r="F917" s="63" t="s">
        <v>152</v>
      </c>
      <c r="G917" s="64" t="s">
        <v>404</v>
      </c>
    </row>
    <row r="918" spans="2:7">
      <c r="B918" s="269"/>
      <c r="C918" s="61" t="s">
        <v>563</v>
      </c>
      <c r="D918" s="62">
        <f>VLOOKUP(C918,基本字段定义!$B$3:$C$3008,2,FALSE)</f>
        <v>1991</v>
      </c>
      <c r="E918" s="63" t="s">
        <v>345</v>
      </c>
      <c r="F918" s="63" t="s">
        <v>152</v>
      </c>
      <c r="G918" s="64" t="s">
        <v>839</v>
      </c>
    </row>
    <row r="919" spans="2:7">
      <c r="B919" s="269"/>
      <c r="C919" s="61" t="s">
        <v>417</v>
      </c>
      <c r="D919" s="62">
        <f>VLOOKUP(C919,基本字段定义!$B$3:$C$3008,2,FALSE)</f>
        <v>610</v>
      </c>
      <c r="E919" s="63" t="s">
        <v>362</v>
      </c>
      <c r="F919" s="63" t="s">
        <v>152</v>
      </c>
      <c r="G919" s="64" t="s">
        <v>840</v>
      </c>
    </row>
    <row r="920" spans="2:7">
      <c r="B920" s="269"/>
      <c r="C920" s="61" t="s">
        <v>841</v>
      </c>
      <c r="D920" s="62">
        <f>VLOOKUP(C920,基本字段定义!$B$3:$C$3008,2,FALSE)</f>
        <v>595</v>
      </c>
      <c r="E920" s="63" t="s">
        <v>337</v>
      </c>
      <c r="F920" s="63" t="s">
        <v>152</v>
      </c>
      <c r="G920" s="64" t="s">
        <v>842</v>
      </c>
    </row>
    <row r="921" spans="2:7">
      <c r="B921" s="269"/>
      <c r="C921" s="61" t="s">
        <v>361</v>
      </c>
      <c r="D921" s="62">
        <f>VLOOKUP(C921,基本字段定义!$B$3:$C$3008,2,FALSE)</f>
        <v>599</v>
      </c>
      <c r="E921" s="63" t="s">
        <v>362</v>
      </c>
      <c r="F921" s="63"/>
      <c r="G921" s="64" t="s">
        <v>363</v>
      </c>
    </row>
    <row r="922" spans="2:7">
      <c r="B922" s="269"/>
      <c r="C922" s="61" t="s">
        <v>640</v>
      </c>
      <c r="D922" s="62">
        <f>VLOOKUP(C922,基本字段定义!$B$3:$C$3008,2,FALSE)</f>
        <v>719</v>
      </c>
      <c r="E922" s="63" t="s">
        <v>480</v>
      </c>
      <c r="F922" s="63"/>
      <c r="G922" s="64" t="s">
        <v>657</v>
      </c>
    </row>
    <row r="923" spans="2:7">
      <c r="B923" s="269" t="s">
        <v>335</v>
      </c>
      <c r="C923" s="65" t="s">
        <v>843</v>
      </c>
      <c r="D923" s="66">
        <f>VLOOKUP(C923,基本字段定义!$B$3:$C$3008,2,FALSE)</f>
        <v>1057</v>
      </c>
      <c r="E923" s="67" t="s">
        <v>337</v>
      </c>
      <c r="F923" s="67"/>
      <c r="G923" s="68" t="s">
        <v>844</v>
      </c>
    </row>
    <row r="924" spans="2:7">
      <c r="B924" s="269"/>
      <c r="C924" s="65" t="s">
        <v>845</v>
      </c>
      <c r="D924" s="66">
        <f>VLOOKUP(C924,基本字段定义!$B$3:$C$3008,2,FALSE)</f>
        <v>887</v>
      </c>
      <c r="E924" s="67" t="s">
        <v>537</v>
      </c>
      <c r="F924" s="67"/>
      <c r="G924" s="69" t="s">
        <v>846</v>
      </c>
    </row>
    <row r="925" spans="2:7">
      <c r="B925" s="269"/>
      <c r="C925" s="65" t="s">
        <v>847</v>
      </c>
      <c r="D925" s="66">
        <f>VLOOKUP(C925,基本字段定义!$B$3:$C$3008,2,FALSE)</f>
        <v>1305</v>
      </c>
      <c r="E925" s="67" t="s">
        <v>537</v>
      </c>
      <c r="F925" s="67"/>
      <c r="G925" s="69" t="s">
        <v>848</v>
      </c>
    </row>
    <row r="926" spans="2:7">
      <c r="B926" s="269"/>
      <c r="C926" s="65" t="s">
        <v>849</v>
      </c>
      <c r="D926" s="66">
        <f>VLOOKUP(C926,基本字段定义!$B$3:$C$3008,2,FALSE)</f>
        <v>1306</v>
      </c>
      <c r="E926" s="67" t="s">
        <v>537</v>
      </c>
      <c r="F926" s="67"/>
      <c r="G926" s="69" t="s">
        <v>850</v>
      </c>
    </row>
    <row r="927" spans="2:7">
      <c r="B927" s="270"/>
      <c r="C927" s="71"/>
      <c r="D927" s="79"/>
      <c r="E927" s="73"/>
      <c r="F927" s="73"/>
      <c r="G927" s="74"/>
    </row>
    <row r="929" spans="2:7">
      <c r="B929" s="53" t="s">
        <v>146</v>
      </c>
      <c r="C929" s="80">
        <v>204002</v>
      </c>
      <c r="D929" s="81"/>
      <c r="E929" s="82"/>
      <c r="F929" s="54" t="s">
        <v>326</v>
      </c>
      <c r="G929" s="55"/>
    </row>
    <row r="930" spans="2:7">
      <c r="B930" s="56" t="s">
        <v>327</v>
      </c>
      <c r="C930" s="83" t="str">
        <f>VLOOKUP(C929,功能索引!$C$3:$D$269,2,FALSE)</f>
        <v>股东帐户信息修改</v>
      </c>
      <c r="D930" s="84"/>
      <c r="E930" s="85"/>
      <c r="F930" s="57" t="s">
        <v>148</v>
      </c>
      <c r="G930" s="58">
        <f>VLOOKUP(C929,功能索引!$C$3:$E1282,3,FALSE)</f>
        <v>0</v>
      </c>
    </row>
    <row r="931" spans="2:7">
      <c r="B931" s="269" t="s">
        <v>328</v>
      </c>
      <c r="C931" s="95"/>
      <c r="D931" s="96"/>
      <c r="E931" s="96"/>
      <c r="F931" s="96"/>
      <c r="G931" s="97"/>
    </row>
    <row r="932" spans="2:7">
      <c r="B932" s="270"/>
      <c r="C932" s="98"/>
      <c r="D932" s="99"/>
      <c r="E932" s="99"/>
      <c r="F932" s="99"/>
      <c r="G932" s="100"/>
    </row>
    <row r="933" spans="2:7">
      <c r="B933" s="271" t="s">
        <v>329</v>
      </c>
      <c r="C933" s="54" t="s">
        <v>330</v>
      </c>
      <c r="D933" s="54" t="s">
        <v>331</v>
      </c>
      <c r="E933" s="54" t="s">
        <v>332</v>
      </c>
      <c r="F933" s="54" t="s">
        <v>333</v>
      </c>
      <c r="G933" s="60" t="s">
        <v>334</v>
      </c>
    </row>
    <row r="934" spans="2:7">
      <c r="B934" s="269"/>
      <c r="C934" s="61" t="s">
        <v>402</v>
      </c>
      <c r="D934" s="62">
        <f>VLOOKUP(C934,基本字段定义!$B$3:$C$3008,2,FALSE)</f>
        <v>605</v>
      </c>
      <c r="E934" s="63" t="s">
        <v>403</v>
      </c>
      <c r="F934" s="63" t="s">
        <v>152</v>
      </c>
      <c r="G934" s="64" t="s">
        <v>404</v>
      </c>
    </row>
    <row r="935" spans="2:7">
      <c r="B935" s="269"/>
      <c r="C935" s="61" t="s">
        <v>405</v>
      </c>
      <c r="D935" s="62">
        <f>VLOOKUP(C935,基本字段定义!$B$3:$C$3008,2,FALSE)</f>
        <v>571</v>
      </c>
      <c r="E935" s="63" t="s">
        <v>406</v>
      </c>
      <c r="F935" s="63" t="s">
        <v>152</v>
      </c>
      <c r="G935" s="64" t="s">
        <v>407</v>
      </c>
    </row>
    <row r="936" spans="2:7">
      <c r="B936" s="269"/>
      <c r="C936" s="61" t="s">
        <v>361</v>
      </c>
      <c r="D936" s="62">
        <f>VLOOKUP(C936,基本字段定义!$B$3:$C$3008,2,FALSE)</f>
        <v>599</v>
      </c>
      <c r="E936" s="63" t="s">
        <v>362</v>
      </c>
      <c r="F936" s="63" t="s">
        <v>152</v>
      </c>
      <c r="G936" s="64" t="s">
        <v>363</v>
      </c>
    </row>
    <row r="937" spans="2:7">
      <c r="B937" s="269"/>
      <c r="C937" s="61" t="s">
        <v>563</v>
      </c>
      <c r="D937" s="62">
        <f>VLOOKUP(C937,基本字段定义!$B$3:$C$3008,2,FALSE)</f>
        <v>1991</v>
      </c>
      <c r="E937" s="63" t="s">
        <v>345</v>
      </c>
      <c r="F937" s="63" t="s">
        <v>152</v>
      </c>
      <c r="G937" s="64" t="s">
        <v>851</v>
      </c>
    </row>
    <row r="938" spans="2:7">
      <c r="B938" s="269"/>
      <c r="C938" s="61" t="s">
        <v>417</v>
      </c>
      <c r="D938" s="62">
        <f>VLOOKUP(C938,基本字段定义!$B$3:$C$3008,2,FALSE)</f>
        <v>610</v>
      </c>
      <c r="E938" s="63" t="s">
        <v>362</v>
      </c>
      <c r="F938" s="63" t="s">
        <v>152</v>
      </c>
      <c r="G938" s="64" t="s">
        <v>852</v>
      </c>
    </row>
    <row r="939" spans="2:7" ht="27.75" customHeight="1">
      <c r="B939" s="269"/>
      <c r="C939" s="61" t="s">
        <v>787</v>
      </c>
      <c r="D939" s="62">
        <f>VLOOKUP(C939,基本字段定义!$B$3:$C$3008,2,FALSE)</f>
        <v>1532</v>
      </c>
      <c r="E939" s="63" t="s">
        <v>337</v>
      </c>
      <c r="F939" s="63" t="s">
        <v>152</v>
      </c>
      <c r="G939" s="86" t="s">
        <v>853</v>
      </c>
    </row>
    <row r="940" spans="2:7">
      <c r="B940" s="269" t="s">
        <v>335</v>
      </c>
      <c r="C940" s="65" t="s">
        <v>336</v>
      </c>
      <c r="D940" s="66">
        <f>VLOOKUP(C940,基本字段定义!$B$3:$C$3008,2,FALSE)</f>
        <v>507</v>
      </c>
      <c r="E940" s="67" t="s">
        <v>337</v>
      </c>
      <c r="F940" s="67"/>
      <c r="G940" s="69"/>
    </row>
    <row r="941" spans="2:7">
      <c r="B941" s="269"/>
      <c r="C941" s="65" t="s">
        <v>338</v>
      </c>
      <c r="D941" s="66">
        <f>VLOOKUP(C941,基本字段定义!$B$3:$C$3008,2,FALSE)</f>
        <v>508</v>
      </c>
      <c r="E941" s="67" t="s">
        <v>339</v>
      </c>
      <c r="F941" s="67"/>
      <c r="G941" s="69"/>
    </row>
    <row r="942" spans="2:7">
      <c r="B942" s="270"/>
      <c r="C942" s="71"/>
      <c r="D942" s="79"/>
      <c r="E942" s="73"/>
      <c r="F942" s="73"/>
      <c r="G942" s="74"/>
    </row>
    <row r="944" spans="2:7">
      <c r="B944" s="53" t="s">
        <v>146</v>
      </c>
      <c r="C944" s="80">
        <v>204500</v>
      </c>
      <c r="D944" s="81"/>
      <c r="E944" s="82"/>
      <c r="F944" s="54" t="s">
        <v>326</v>
      </c>
      <c r="G944" s="55"/>
    </row>
    <row r="945" spans="2:7">
      <c r="B945" s="56" t="s">
        <v>327</v>
      </c>
      <c r="C945" s="83" t="str">
        <f>VLOOKUP(C944,功能索引!$C$3:$D$269,2,FALSE)</f>
        <v>检查客户证券风险匹配</v>
      </c>
      <c r="D945" s="84"/>
      <c r="E945" s="85"/>
      <c r="F945" s="57" t="s">
        <v>148</v>
      </c>
      <c r="G945" s="58">
        <f>VLOOKUP(C944,功能索引!$C$3:$E1299,3,FALSE)</f>
        <v>0</v>
      </c>
    </row>
    <row r="946" spans="2:7" ht="13.5" customHeight="1">
      <c r="B946" s="269" t="s">
        <v>328</v>
      </c>
      <c r="C946" s="95" t="s">
        <v>854</v>
      </c>
      <c r="D946" s="96"/>
      <c r="E946" s="96"/>
      <c r="F946" s="96"/>
      <c r="G946" s="97"/>
    </row>
    <row r="947" spans="2:7">
      <c r="B947" s="270"/>
      <c r="C947" s="98"/>
      <c r="D947" s="99"/>
      <c r="E947" s="99"/>
      <c r="F947" s="99"/>
      <c r="G947" s="100"/>
    </row>
    <row r="948" spans="2:7">
      <c r="B948" s="271" t="s">
        <v>329</v>
      </c>
      <c r="C948" s="54" t="s">
        <v>330</v>
      </c>
      <c r="D948" s="54" t="s">
        <v>331</v>
      </c>
      <c r="E948" s="54" t="s">
        <v>332</v>
      </c>
      <c r="F948" s="54" t="s">
        <v>333</v>
      </c>
      <c r="G948" s="60" t="s">
        <v>334</v>
      </c>
    </row>
    <row r="949" spans="2:7">
      <c r="B949" s="269"/>
      <c r="C949" s="61" t="s">
        <v>402</v>
      </c>
      <c r="D949" s="62">
        <f>VLOOKUP(C949,基本字段定义!$B$3:$C$3008,2,FALSE)</f>
        <v>605</v>
      </c>
      <c r="E949" s="63" t="s">
        <v>403</v>
      </c>
      <c r="F949" s="63" t="s">
        <v>152</v>
      </c>
      <c r="G949" s="64" t="s">
        <v>404</v>
      </c>
    </row>
    <row r="950" spans="2:7">
      <c r="B950" s="269"/>
      <c r="C950" s="61" t="s">
        <v>361</v>
      </c>
      <c r="D950" s="62">
        <f>VLOOKUP(C950,基本字段定义!$B$3:$C$3008,2,FALSE)</f>
        <v>599</v>
      </c>
      <c r="E950" s="63" t="s">
        <v>362</v>
      </c>
      <c r="F950" s="63" t="s">
        <v>152</v>
      </c>
      <c r="G950" s="64" t="s">
        <v>363</v>
      </c>
    </row>
    <row r="951" spans="2:7">
      <c r="B951" s="269"/>
      <c r="C951" s="61" t="s">
        <v>640</v>
      </c>
      <c r="D951" s="62">
        <f>VLOOKUP(C951,基本字段定义!$B$3:$C$3008,2,FALSE)</f>
        <v>719</v>
      </c>
      <c r="E951" s="63" t="s">
        <v>480</v>
      </c>
      <c r="F951" s="63" t="s">
        <v>152</v>
      </c>
      <c r="G951" s="64" t="s">
        <v>657</v>
      </c>
    </row>
    <row r="952" spans="2:7">
      <c r="B952" s="269" t="s">
        <v>335</v>
      </c>
      <c r="C952" s="65" t="s">
        <v>336</v>
      </c>
      <c r="D952" s="66">
        <f>VLOOKUP(C952,基本字段定义!$B$3:$C$3008,2,FALSE)</f>
        <v>507</v>
      </c>
      <c r="E952" s="67" t="s">
        <v>337</v>
      </c>
      <c r="F952" s="67"/>
      <c r="G952" s="68" t="s">
        <v>855</v>
      </c>
    </row>
    <row r="953" spans="2:7">
      <c r="B953" s="269"/>
      <c r="C953" s="65" t="s">
        <v>338</v>
      </c>
      <c r="D953" s="66">
        <f>VLOOKUP(C953,基本字段定义!$B$3:$C$3008,2,FALSE)</f>
        <v>508</v>
      </c>
      <c r="E953" s="67" t="s">
        <v>339</v>
      </c>
      <c r="F953" s="67"/>
      <c r="G953" s="69" t="s">
        <v>856</v>
      </c>
    </row>
    <row r="954" spans="2:7">
      <c r="B954" s="270"/>
      <c r="C954" s="71"/>
      <c r="D954" s="79"/>
      <c r="E954" s="73"/>
      <c r="F954" s="73"/>
      <c r="G954" s="74"/>
    </row>
    <row r="956" spans="2:7">
      <c r="B956" s="53" t="s">
        <v>146</v>
      </c>
      <c r="C956" s="80">
        <v>204503</v>
      </c>
      <c r="D956" s="81"/>
      <c r="E956" s="82"/>
      <c r="F956" s="54" t="s">
        <v>326</v>
      </c>
      <c r="G956" s="55"/>
    </row>
    <row r="957" spans="2:7">
      <c r="B957" s="56" t="s">
        <v>327</v>
      </c>
      <c r="C957" s="83" t="str">
        <f>VLOOKUP(C956,功能索引!$C$3:$D$269,2,FALSE)</f>
        <v>可委托数量计算</v>
      </c>
      <c r="D957" s="84"/>
      <c r="E957" s="85"/>
      <c r="F957" s="57" t="s">
        <v>148</v>
      </c>
      <c r="G957" s="58">
        <f>VLOOKUP(C956,功能索引!$C$3:$E1311,3,FALSE)</f>
        <v>0</v>
      </c>
    </row>
    <row r="958" spans="2:7">
      <c r="B958" s="269" t="s">
        <v>328</v>
      </c>
      <c r="C958" s="95"/>
      <c r="D958" s="96"/>
      <c r="E958" s="96"/>
      <c r="F958" s="96"/>
      <c r="G958" s="97"/>
    </row>
    <row r="959" spans="2:7">
      <c r="B959" s="270"/>
      <c r="C959" s="98"/>
      <c r="D959" s="99"/>
      <c r="E959" s="99"/>
      <c r="F959" s="99"/>
      <c r="G959" s="100"/>
    </row>
    <row r="960" spans="2:7">
      <c r="B960" s="271" t="s">
        <v>329</v>
      </c>
      <c r="C960" s="54" t="s">
        <v>330</v>
      </c>
      <c r="D960" s="54" t="s">
        <v>331</v>
      </c>
      <c r="E960" s="54" t="s">
        <v>332</v>
      </c>
      <c r="F960" s="54" t="s">
        <v>333</v>
      </c>
      <c r="G960" s="60" t="s">
        <v>334</v>
      </c>
    </row>
    <row r="961" spans="2:7">
      <c r="B961" s="269"/>
      <c r="C961" s="61" t="s">
        <v>402</v>
      </c>
      <c r="D961" s="62">
        <f>VLOOKUP(C961,基本字段定义!$B$3:$C$3008,2,FALSE)</f>
        <v>605</v>
      </c>
      <c r="E961" s="63" t="s">
        <v>403</v>
      </c>
      <c r="F961" s="63" t="s">
        <v>152</v>
      </c>
      <c r="G961" s="64" t="s">
        <v>404</v>
      </c>
    </row>
    <row r="962" spans="2:7">
      <c r="B962" s="269"/>
      <c r="C962" s="61" t="s">
        <v>405</v>
      </c>
      <c r="D962" s="62">
        <f>VLOOKUP(C962,基本字段定义!$B$3:$C$3008,2,FALSE)</f>
        <v>571</v>
      </c>
      <c r="E962" s="63" t="s">
        <v>406</v>
      </c>
      <c r="F962" s="63" t="s">
        <v>152</v>
      </c>
      <c r="G962" s="64" t="s">
        <v>407</v>
      </c>
    </row>
    <row r="963" spans="2:7">
      <c r="B963" s="269"/>
      <c r="C963" s="61" t="s">
        <v>361</v>
      </c>
      <c r="D963" s="62">
        <f>VLOOKUP(C963,基本字段定义!$B$3:$C$3008,2,FALSE)</f>
        <v>599</v>
      </c>
      <c r="E963" s="63" t="s">
        <v>362</v>
      </c>
      <c r="F963" s="63" t="s">
        <v>152</v>
      </c>
      <c r="G963" s="64" t="s">
        <v>363</v>
      </c>
    </row>
    <row r="964" spans="2:7">
      <c r="B964" s="269"/>
      <c r="C964" s="61" t="s">
        <v>640</v>
      </c>
      <c r="D964" s="62">
        <f>VLOOKUP(C964,基本字段定义!$B$3:$C$3008,2,FALSE)</f>
        <v>719</v>
      </c>
      <c r="E964" s="63" t="s">
        <v>480</v>
      </c>
      <c r="F964" s="63" t="s">
        <v>152</v>
      </c>
      <c r="G964" s="64" t="s">
        <v>657</v>
      </c>
    </row>
    <row r="965" spans="2:7">
      <c r="B965" s="269"/>
      <c r="C965" s="61" t="s">
        <v>772</v>
      </c>
      <c r="D965" s="62">
        <f>VLOOKUP(C965,基本字段定义!$B$3:$C$3008,2,FALSE)</f>
        <v>683</v>
      </c>
      <c r="E965" s="63" t="s">
        <v>337</v>
      </c>
      <c r="F965" s="63" t="s">
        <v>152</v>
      </c>
      <c r="G965" s="64" t="s">
        <v>857</v>
      </c>
    </row>
    <row r="966" spans="2:7">
      <c r="B966" s="269"/>
      <c r="C966" s="61" t="s">
        <v>778</v>
      </c>
      <c r="D966" s="62">
        <f>VLOOKUP(C966,基本字段定义!$B$3:$C$3008,2,FALSE)</f>
        <v>682</v>
      </c>
      <c r="E966" s="63" t="s">
        <v>537</v>
      </c>
      <c r="F966" s="63" t="s">
        <v>152</v>
      </c>
      <c r="G966" s="64" t="s">
        <v>858</v>
      </c>
    </row>
    <row r="967" spans="2:7">
      <c r="B967" s="269"/>
      <c r="C967" s="61" t="s">
        <v>859</v>
      </c>
      <c r="D967" s="62">
        <f>VLOOKUP(C967,基本字段定义!$B$3:$C$3008,2,FALSE)</f>
        <v>1013</v>
      </c>
      <c r="E967" s="63" t="s">
        <v>337</v>
      </c>
      <c r="F967" s="63"/>
      <c r="G967" s="64" t="s">
        <v>860</v>
      </c>
    </row>
    <row r="968" spans="2:7">
      <c r="B968" s="269" t="s">
        <v>335</v>
      </c>
      <c r="C968" s="65" t="s">
        <v>336</v>
      </c>
      <c r="D968" s="66">
        <f>VLOOKUP(C968,基本字段定义!$B$3:$C$3008,2,FALSE)</f>
        <v>507</v>
      </c>
      <c r="E968" s="67" t="s">
        <v>337</v>
      </c>
      <c r="F968" s="67"/>
      <c r="G968" s="69"/>
    </row>
    <row r="969" spans="2:7">
      <c r="B969" s="269"/>
      <c r="C969" s="65" t="s">
        <v>338</v>
      </c>
      <c r="D969" s="66">
        <f>VLOOKUP(C969,基本字段定义!$B$3:$C$3008,2,FALSE)</f>
        <v>508</v>
      </c>
      <c r="E969" s="67" t="s">
        <v>339</v>
      </c>
      <c r="F969" s="67"/>
      <c r="G969" s="69"/>
    </row>
    <row r="970" spans="2:7">
      <c r="B970" s="269"/>
      <c r="C970" s="65" t="s">
        <v>776</v>
      </c>
      <c r="D970" s="66">
        <f>VLOOKUP(C970,基本字段定义!$B$3:$C$3008,2,FALSE)</f>
        <v>684</v>
      </c>
      <c r="E970" s="67" t="s">
        <v>337</v>
      </c>
      <c r="F970" s="67"/>
      <c r="G970" s="68" t="s">
        <v>861</v>
      </c>
    </row>
    <row r="971" spans="2:7">
      <c r="B971" s="270"/>
      <c r="C971" s="71"/>
      <c r="D971" s="79"/>
      <c r="E971" s="73"/>
      <c r="F971" s="73"/>
      <c r="G971" s="74"/>
    </row>
    <row r="973" spans="2:7">
      <c r="B973" s="53" t="s">
        <v>146</v>
      </c>
      <c r="C973" s="80">
        <v>204501</v>
      </c>
      <c r="D973" s="81"/>
      <c r="E973" s="82"/>
      <c r="F973" s="54" t="s">
        <v>326</v>
      </c>
      <c r="G973" s="55">
        <v>20120425</v>
      </c>
    </row>
    <row r="974" spans="2:7">
      <c r="B974" s="56" t="s">
        <v>327</v>
      </c>
      <c r="C974" s="83" t="str">
        <f>VLOOKUP(C973,功能索引!$C$3:$D$269,2,FALSE)</f>
        <v>股票买卖委托</v>
      </c>
      <c r="D974" s="84"/>
      <c r="E974" s="85"/>
      <c r="F974" s="57" t="s">
        <v>148</v>
      </c>
      <c r="G974" s="58">
        <f>VLOOKUP(C973,功能索引!$C$3:$E1329,3,FALSE)</f>
        <v>0</v>
      </c>
    </row>
    <row r="975" spans="2:7">
      <c r="B975" s="269" t="s">
        <v>328</v>
      </c>
      <c r="C975" s="95"/>
      <c r="D975" s="96"/>
      <c r="E975" s="96"/>
      <c r="F975" s="96"/>
      <c r="G975" s="97"/>
    </row>
    <row r="976" spans="2:7">
      <c r="B976" s="270"/>
      <c r="C976" s="98"/>
      <c r="D976" s="99"/>
      <c r="E976" s="99"/>
      <c r="F976" s="99"/>
      <c r="G976" s="100"/>
    </row>
    <row r="977" spans="2:7">
      <c r="B977" s="287" t="s">
        <v>329</v>
      </c>
      <c r="C977" s="54" t="s">
        <v>330</v>
      </c>
      <c r="D977" s="54" t="s">
        <v>331</v>
      </c>
      <c r="E977" s="54" t="s">
        <v>332</v>
      </c>
      <c r="F977" s="54" t="s">
        <v>333</v>
      </c>
      <c r="G977" s="60" t="s">
        <v>334</v>
      </c>
    </row>
    <row r="978" spans="2:7">
      <c r="B978" s="267"/>
      <c r="C978" s="61" t="s">
        <v>402</v>
      </c>
      <c r="D978" s="62">
        <f>VLOOKUP(C978,基本字段定义!$B$3:$C$3008,2,FALSE)</f>
        <v>605</v>
      </c>
      <c r="E978" s="63" t="s">
        <v>403</v>
      </c>
      <c r="F978" s="63" t="s">
        <v>152</v>
      </c>
      <c r="G978" s="64" t="s">
        <v>404</v>
      </c>
    </row>
    <row r="979" spans="2:7">
      <c r="B979" s="267"/>
      <c r="C979" s="61" t="s">
        <v>411</v>
      </c>
      <c r="D979" s="62">
        <f>VLOOKUP(C979,基本字段定义!$B$3:$C$3008,2,FALSE)</f>
        <v>598</v>
      </c>
      <c r="E979" s="63" t="s">
        <v>412</v>
      </c>
      <c r="F979" s="63" t="s">
        <v>152</v>
      </c>
      <c r="G979" s="64" t="s">
        <v>456</v>
      </c>
    </row>
    <row r="980" spans="2:7">
      <c r="B980" s="267"/>
      <c r="C980" s="61" t="s">
        <v>414</v>
      </c>
      <c r="D980" s="62">
        <f>VLOOKUP(C980,基本字段定义!$B$3:$C$3008,2,FALSE)</f>
        <v>781</v>
      </c>
      <c r="E980" s="63" t="s">
        <v>337</v>
      </c>
      <c r="F980" s="63" t="s">
        <v>152</v>
      </c>
      <c r="G980" s="64" t="s">
        <v>415</v>
      </c>
    </row>
    <row r="981" spans="2:7">
      <c r="B981" s="267"/>
      <c r="C981" s="61" t="s">
        <v>405</v>
      </c>
      <c r="D981" s="62">
        <f>VLOOKUP(C981,基本字段定义!$B$3:$C$3008,2,FALSE)</f>
        <v>571</v>
      </c>
      <c r="E981" s="63" t="s">
        <v>406</v>
      </c>
      <c r="F981" s="63" t="s">
        <v>152</v>
      </c>
      <c r="G981" s="64" t="s">
        <v>407</v>
      </c>
    </row>
    <row r="982" spans="2:7">
      <c r="B982" s="267"/>
      <c r="C982" s="61" t="s">
        <v>361</v>
      </c>
      <c r="D982" s="62">
        <f>VLOOKUP(C982,基本字段定义!$B$3:$C$3008,2,FALSE)</f>
        <v>599</v>
      </c>
      <c r="E982" s="63" t="s">
        <v>362</v>
      </c>
      <c r="F982" s="63" t="s">
        <v>152</v>
      </c>
      <c r="G982" s="64" t="s">
        <v>363</v>
      </c>
    </row>
    <row r="983" spans="2:7">
      <c r="B983" s="267"/>
      <c r="C983" s="61" t="s">
        <v>640</v>
      </c>
      <c r="D983" s="62">
        <f>VLOOKUP(C983,基本字段定义!$B$3:$C$3008,2,FALSE)</f>
        <v>719</v>
      </c>
      <c r="E983" s="63" t="s">
        <v>480</v>
      </c>
      <c r="F983" s="63" t="s">
        <v>152</v>
      </c>
      <c r="G983" s="64" t="s">
        <v>657</v>
      </c>
    </row>
    <row r="984" spans="2:7">
      <c r="B984" s="267"/>
      <c r="C984" s="61" t="s">
        <v>841</v>
      </c>
      <c r="D984" s="62">
        <f>VLOOKUP(C984,基本字段定义!$B$3:$C$3008,2,FALSE)</f>
        <v>595</v>
      </c>
      <c r="E984" s="63" t="s">
        <v>337</v>
      </c>
      <c r="F984" s="63" t="s">
        <v>152</v>
      </c>
      <c r="G984" s="64" t="s">
        <v>862</v>
      </c>
    </row>
    <row r="985" spans="2:7">
      <c r="B985" s="267"/>
      <c r="C985" s="61" t="s">
        <v>776</v>
      </c>
      <c r="D985" s="62">
        <f>VLOOKUP(C985,基本字段定义!$B$3:$C$3008,2,FALSE)</f>
        <v>684</v>
      </c>
      <c r="E985" s="63" t="s">
        <v>337</v>
      </c>
      <c r="F985" s="63" t="s">
        <v>152</v>
      </c>
      <c r="G985" s="64" t="s">
        <v>777</v>
      </c>
    </row>
    <row r="986" spans="2:7">
      <c r="B986" s="267"/>
      <c r="C986" s="61" t="s">
        <v>778</v>
      </c>
      <c r="D986" s="62">
        <f>VLOOKUP(C986,基本字段定义!$B$3:$C$3008,2,FALSE)</f>
        <v>682</v>
      </c>
      <c r="E986" s="63" t="s">
        <v>537</v>
      </c>
      <c r="F986" s="63" t="s">
        <v>152</v>
      </c>
      <c r="G986" s="64" t="s">
        <v>863</v>
      </c>
    </row>
    <row r="987" spans="2:7">
      <c r="B987" s="267"/>
      <c r="C987" s="61" t="s">
        <v>859</v>
      </c>
      <c r="D987" s="62">
        <f>VLOOKUP(C987,基本字段定义!$B$3:$C$3008,2,FALSE)</f>
        <v>1013</v>
      </c>
      <c r="E987" s="63" t="s">
        <v>337</v>
      </c>
      <c r="F987" s="63"/>
      <c r="G987" s="64" t="s">
        <v>864</v>
      </c>
    </row>
    <row r="988" spans="2:7">
      <c r="B988" s="267"/>
      <c r="C988" s="61" t="s">
        <v>865</v>
      </c>
      <c r="D988" s="62">
        <f>VLOOKUP(C988,基本字段定义!$B$3:$C$3008,2,FALSE)</f>
        <v>1536</v>
      </c>
      <c r="E988" s="63" t="s">
        <v>337</v>
      </c>
      <c r="F988" s="63"/>
      <c r="G988" s="64" t="s">
        <v>866</v>
      </c>
    </row>
    <row r="989" spans="2:7">
      <c r="B989" s="267"/>
      <c r="C989" s="61" t="s">
        <v>867</v>
      </c>
      <c r="D989" s="62">
        <f>VLOOKUP(C989,基本字段定义!$B$3:$C$3008,2,FALSE)</f>
        <v>1251</v>
      </c>
      <c r="E989" s="63" t="s">
        <v>337</v>
      </c>
      <c r="F989" s="63"/>
      <c r="G989" s="64" t="s">
        <v>868</v>
      </c>
    </row>
    <row r="990" spans="2:7">
      <c r="B990" s="267"/>
      <c r="C990" s="61" t="s">
        <v>869</v>
      </c>
      <c r="D990" s="62">
        <f>VLOOKUP(C990,基本字段定义!$B$3:$C$3008,2,FALSE)</f>
        <v>522</v>
      </c>
      <c r="E990" s="63" t="s">
        <v>403</v>
      </c>
      <c r="F990" s="63"/>
      <c r="G990" s="64" t="s">
        <v>870</v>
      </c>
    </row>
    <row r="991" spans="2:7">
      <c r="B991" s="267"/>
      <c r="C991" s="61" t="s">
        <v>770</v>
      </c>
      <c r="D991" s="62">
        <f>VLOOKUP(C991,基本字段定义!$B$3:$C$3008,2,FALSE)</f>
        <v>1616</v>
      </c>
      <c r="E991" s="63" t="s">
        <v>403</v>
      </c>
      <c r="F991" s="63"/>
      <c r="G991" s="64" t="s">
        <v>871</v>
      </c>
    </row>
    <row r="992" spans="2:7">
      <c r="B992" s="267"/>
      <c r="C992" s="61" t="s">
        <v>872</v>
      </c>
      <c r="D992" s="62">
        <f>VLOOKUP(C992,基本字段定义!$B$3:$C$3008,2,FALSE)</f>
        <v>1935</v>
      </c>
      <c r="E992" s="63" t="s">
        <v>480</v>
      </c>
      <c r="F992" s="63"/>
      <c r="G992" s="64" t="s">
        <v>873</v>
      </c>
    </row>
    <row r="993" spans="2:7">
      <c r="B993" s="267"/>
      <c r="C993" s="61" t="s">
        <v>874</v>
      </c>
      <c r="D993" s="62">
        <f>VLOOKUP(C993,基本字段定义!$B$3:$C$3008,2,FALSE)</f>
        <v>1936</v>
      </c>
      <c r="E993" s="63" t="s">
        <v>406</v>
      </c>
      <c r="F993" s="63"/>
      <c r="G993" s="64" t="s">
        <v>875</v>
      </c>
    </row>
    <row r="994" spans="2:7">
      <c r="B994" s="267"/>
      <c r="C994" s="61" t="s">
        <v>876</v>
      </c>
      <c r="D994" s="62">
        <f>VLOOKUP(C994,基本字段定义!$B$3:$C$3008,2,FALSE)</f>
        <v>1017</v>
      </c>
      <c r="E994" s="63" t="s">
        <v>337</v>
      </c>
      <c r="F994" s="63"/>
      <c r="G994" s="64" t="s">
        <v>877</v>
      </c>
    </row>
    <row r="995" spans="2:7">
      <c r="B995" s="267"/>
      <c r="C995" s="61" t="s">
        <v>878</v>
      </c>
      <c r="D995" s="62">
        <f>VLOOKUP(C995,基本字段定义!$B$3:$C$3008,2,FALSE)</f>
        <v>1538</v>
      </c>
      <c r="E995" s="63" t="s">
        <v>337</v>
      </c>
      <c r="F995" s="63"/>
      <c r="G995" s="64" t="s">
        <v>879</v>
      </c>
    </row>
    <row r="996" spans="2:7">
      <c r="B996" s="286"/>
      <c r="C996" s="61" t="s">
        <v>880</v>
      </c>
      <c r="D996" s="62">
        <f>VLOOKUP(C996,基本字段定义!$B$3:$C$3008,2,FALSE)</f>
        <v>1537</v>
      </c>
      <c r="E996" s="63" t="s">
        <v>337</v>
      </c>
      <c r="F996" s="63"/>
      <c r="G996" s="64" t="s">
        <v>881</v>
      </c>
    </row>
    <row r="997" spans="2:7">
      <c r="B997" s="269" t="s">
        <v>335</v>
      </c>
      <c r="C997" s="65" t="s">
        <v>336</v>
      </c>
      <c r="D997" s="66">
        <f>VLOOKUP(C997,基本字段定义!$B$3:$C$3008,2,FALSE)</f>
        <v>507</v>
      </c>
      <c r="E997" s="67" t="s">
        <v>337</v>
      </c>
      <c r="F997" s="67"/>
      <c r="G997" s="68"/>
    </row>
    <row r="998" spans="2:7">
      <c r="B998" s="269"/>
      <c r="C998" s="65" t="s">
        <v>338</v>
      </c>
      <c r="D998" s="66">
        <f>VLOOKUP(C998,基本字段定义!$B$3:$C$3008,2,FALSE)</f>
        <v>508</v>
      </c>
      <c r="E998" s="67" t="s">
        <v>339</v>
      </c>
      <c r="F998" s="67"/>
      <c r="G998" s="69"/>
    </row>
    <row r="999" spans="2:7">
      <c r="B999" s="269"/>
      <c r="C999" s="65" t="s">
        <v>882</v>
      </c>
      <c r="D999" s="66">
        <f>VLOOKUP(C999,基本字段定义!$B$3:$C$3008,2,FALSE)</f>
        <v>681</v>
      </c>
      <c r="E999" s="67" t="s">
        <v>337</v>
      </c>
      <c r="F999" s="67"/>
      <c r="G999" s="69" t="s">
        <v>883</v>
      </c>
    </row>
    <row r="1000" spans="2:7">
      <c r="B1000" s="270"/>
      <c r="C1000" s="71"/>
      <c r="D1000" s="79"/>
      <c r="E1000" s="73"/>
      <c r="F1000" s="73"/>
      <c r="G1000" s="74"/>
    </row>
    <row r="1002" spans="2:7">
      <c r="B1002" s="53" t="s">
        <v>146</v>
      </c>
      <c r="C1002" s="80">
        <v>204502</v>
      </c>
      <c r="D1002" s="81"/>
      <c r="E1002" s="82"/>
      <c r="F1002" s="54" t="s">
        <v>326</v>
      </c>
      <c r="G1002" s="55"/>
    </row>
    <row r="1003" spans="2:7">
      <c r="B1003" s="56" t="s">
        <v>327</v>
      </c>
      <c r="C1003" s="83" t="str">
        <f>VLOOKUP(C1002,功能索引!$C$3:$D$269,2,FALSE)</f>
        <v>股票委托撤单</v>
      </c>
      <c r="D1003" s="84"/>
      <c r="E1003" s="85"/>
      <c r="F1003" s="57" t="s">
        <v>148</v>
      </c>
      <c r="G1003" s="58">
        <f>VLOOKUP(C1002,功能索引!$C$3:$E1355,3,FALSE)</f>
        <v>0</v>
      </c>
    </row>
    <row r="1004" spans="2:7">
      <c r="B1004" s="269" t="s">
        <v>328</v>
      </c>
      <c r="C1004" s="95"/>
      <c r="D1004" s="96"/>
      <c r="E1004" s="96"/>
      <c r="F1004" s="96"/>
      <c r="G1004" s="97"/>
    </row>
    <row r="1005" spans="2:7">
      <c r="B1005" s="270"/>
      <c r="C1005" s="98"/>
      <c r="D1005" s="99"/>
      <c r="E1005" s="99"/>
      <c r="F1005" s="99"/>
      <c r="G1005" s="100"/>
    </row>
    <row r="1006" spans="2:7">
      <c r="B1006" s="271" t="s">
        <v>329</v>
      </c>
      <c r="C1006" s="54" t="s">
        <v>330</v>
      </c>
      <c r="D1006" s="54" t="s">
        <v>331</v>
      </c>
      <c r="E1006" s="54" t="s">
        <v>332</v>
      </c>
      <c r="F1006" s="54" t="s">
        <v>333</v>
      </c>
      <c r="G1006" s="60" t="s">
        <v>334</v>
      </c>
    </row>
    <row r="1007" spans="2:7">
      <c r="B1007" s="269"/>
      <c r="C1007" s="61" t="s">
        <v>402</v>
      </c>
      <c r="D1007" s="62">
        <f>VLOOKUP(C1007,基本字段定义!$B$3:$C$3008,2,FALSE)</f>
        <v>605</v>
      </c>
      <c r="E1007" s="63" t="s">
        <v>403</v>
      </c>
      <c r="F1007" s="63" t="s">
        <v>152</v>
      </c>
      <c r="G1007" s="64" t="s">
        <v>404</v>
      </c>
    </row>
    <row r="1008" spans="2:7">
      <c r="B1008" s="269"/>
      <c r="C1008" s="61" t="s">
        <v>405</v>
      </c>
      <c r="D1008" s="62">
        <f>VLOOKUP(C1008,基本字段定义!$B$3:$C$3008,2,FALSE)</f>
        <v>571</v>
      </c>
      <c r="E1008" s="63" t="s">
        <v>406</v>
      </c>
      <c r="F1008" s="63" t="s">
        <v>152</v>
      </c>
      <c r="G1008" s="64" t="s">
        <v>407</v>
      </c>
    </row>
    <row r="1009" spans="2:7">
      <c r="B1009" s="269"/>
      <c r="C1009" s="61" t="s">
        <v>361</v>
      </c>
      <c r="D1009" s="62">
        <f>VLOOKUP(C1009,基本字段定义!$B$3:$C$3008,2,FALSE)</f>
        <v>599</v>
      </c>
      <c r="E1009" s="63" t="s">
        <v>362</v>
      </c>
      <c r="F1009" s="63" t="s">
        <v>152</v>
      </c>
      <c r="G1009" s="64" t="s">
        <v>363</v>
      </c>
    </row>
    <row r="1010" spans="2:7">
      <c r="B1010" s="269"/>
      <c r="C1010" s="61" t="s">
        <v>882</v>
      </c>
      <c r="D1010" s="62">
        <f>VLOOKUP(C1010,基本字段定义!$B$3:$C$3008,2,FALSE)</f>
        <v>681</v>
      </c>
      <c r="E1010" s="63" t="s">
        <v>337</v>
      </c>
      <c r="F1010" s="63" t="s">
        <v>152</v>
      </c>
      <c r="G1010" s="64" t="s">
        <v>884</v>
      </c>
    </row>
    <row r="1011" spans="2:7">
      <c r="B1011" s="269" t="s">
        <v>335</v>
      </c>
      <c r="C1011" s="65" t="s">
        <v>336</v>
      </c>
      <c r="D1011" s="66">
        <f>VLOOKUP(C1011,基本字段定义!$B$3:$C$3008,2,FALSE)</f>
        <v>507</v>
      </c>
      <c r="E1011" s="67" t="s">
        <v>337</v>
      </c>
      <c r="F1011" s="67"/>
      <c r="G1011" s="68"/>
    </row>
    <row r="1012" spans="2:7">
      <c r="B1012" s="269"/>
      <c r="C1012" s="65" t="s">
        <v>338</v>
      </c>
      <c r="D1012" s="66">
        <f>VLOOKUP(C1012,基本字段定义!$B$3:$C$3008,2,FALSE)</f>
        <v>508</v>
      </c>
      <c r="E1012" s="67" t="s">
        <v>339</v>
      </c>
      <c r="F1012" s="67"/>
      <c r="G1012" s="69"/>
    </row>
    <row r="1013" spans="2:7">
      <c r="B1013" s="270"/>
      <c r="C1013" s="71"/>
      <c r="D1013" s="79"/>
      <c r="E1013" s="73"/>
      <c r="F1013" s="73"/>
      <c r="G1013" s="74"/>
    </row>
    <row r="1015" spans="2:7">
      <c r="B1015" s="53" t="s">
        <v>146</v>
      </c>
      <c r="C1015" s="80">
        <v>204513</v>
      </c>
      <c r="D1015" s="81"/>
      <c r="E1015" s="82"/>
      <c r="F1015" s="54" t="s">
        <v>326</v>
      </c>
      <c r="G1015" s="55"/>
    </row>
    <row r="1016" spans="2:7">
      <c r="B1016" s="56" t="s">
        <v>327</v>
      </c>
      <c r="C1016" s="83" t="str">
        <f>VLOOKUP(C1015,功能索引!$C$3:$D$269,2,FALSE)</f>
        <v>批量买卖</v>
      </c>
      <c r="D1016" s="84"/>
      <c r="E1016" s="85"/>
      <c r="F1016" s="57" t="s">
        <v>148</v>
      </c>
      <c r="G1016" s="58">
        <f>VLOOKUP(C1015,功能索引!$C$3:$E1370,3,FALSE)</f>
        <v>0</v>
      </c>
    </row>
    <row r="1017" spans="2:7" ht="13.5" customHeight="1">
      <c r="B1017" s="269" t="s">
        <v>328</v>
      </c>
      <c r="C1017" s="95" t="s">
        <v>885</v>
      </c>
      <c r="D1017" s="96"/>
      <c r="E1017" s="96"/>
      <c r="F1017" s="96"/>
      <c r="G1017" s="97"/>
    </row>
    <row r="1018" spans="2:7">
      <c r="B1018" s="270"/>
      <c r="C1018" s="98"/>
      <c r="D1018" s="99"/>
      <c r="E1018" s="99"/>
      <c r="F1018" s="99"/>
      <c r="G1018" s="100"/>
    </row>
    <row r="1019" spans="2:7">
      <c r="B1019" s="271" t="s">
        <v>329</v>
      </c>
      <c r="C1019" s="54" t="s">
        <v>330</v>
      </c>
      <c r="D1019" s="54" t="s">
        <v>331</v>
      </c>
      <c r="E1019" s="54" t="s">
        <v>332</v>
      </c>
      <c r="F1019" s="54" t="s">
        <v>333</v>
      </c>
      <c r="G1019" s="60" t="s">
        <v>334</v>
      </c>
    </row>
    <row r="1020" spans="2:7">
      <c r="B1020" s="269"/>
      <c r="C1020" s="61" t="s">
        <v>402</v>
      </c>
      <c r="D1020" s="62">
        <f>VLOOKUP(C1020,基本字段定义!$B$3:$C$3008,2,FALSE)</f>
        <v>605</v>
      </c>
      <c r="E1020" s="63" t="s">
        <v>403</v>
      </c>
      <c r="F1020" s="63" t="s">
        <v>152</v>
      </c>
      <c r="G1020" s="64" t="s">
        <v>404</v>
      </c>
    </row>
    <row r="1021" spans="2:7">
      <c r="B1021" s="269"/>
      <c r="C1021" s="61" t="s">
        <v>747</v>
      </c>
      <c r="D1021" s="62">
        <f>VLOOKUP(C1021,基本字段定义!$B$3:$C$3008,2,FALSE)</f>
        <v>788</v>
      </c>
      <c r="E1021" s="63" t="s">
        <v>337</v>
      </c>
      <c r="F1021" s="63" t="s">
        <v>152</v>
      </c>
      <c r="G1021" s="64" t="s">
        <v>886</v>
      </c>
    </row>
    <row r="1022" spans="2:7" ht="25.5">
      <c r="B1022" s="269"/>
      <c r="C1022" s="61" t="s">
        <v>887</v>
      </c>
      <c r="D1022" s="62">
        <f>VLOOKUP(C1022,基本字段定义!$B$3:$C$3008,2,FALSE)</f>
        <v>922</v>
      </c>
      <c r="E1022" s="63" t="s">
        <v>888</v>
      </c>
      <c r="F1022" s="63" t="s">
        <v>152</v>
      </c>
      <c r="G1022" s="86" t="s">
        <v>889</v>
      </c>
    </row>
    <row r="1023" spans="2:7">
      <c r="B1023" s="269"/>
      <c r="C1023" s="61" t="s">
        <v>411</v>
      </c>
      <c r="D1023" s="62">
        <f>VLOOKUP(C1023,基本字段定义!$B$3:$C$3008,2,FALSE)</f>
        <v>598</v>
      </c>
      <c r="E1023" s="63" t="s">
        <v>412</v>
      </c>
      <c r="F1023" s="63" t="s">
        <v>152</v>
      </c>
      <c r="G1023" s="64" t="s">
        <v>456</v>
      </c>
    </row>
    <row r="1024" spans="2:7">
      <c r="B1024" s="269"/>
      <c r="C1024" s="61" t="s">
        <v>414</v>
      </c>
      <c r="D1024" s="62">
        <f>VLOOKUP(C1024,基本字段定义!$B$3:$C$3008,2,FALSE)</f>
        <v>781</v>
      </c>
      <c r="E1024" s="63" t="s">
        <v>337</v>
      </c>
      <c r="F1024" s="63" t="s">
        <v>152</v>
      </c>
      <c r="G1024" s="64" t="s">
        <v>415</v>
      </c>
    </row>
    <row r="1025" spans="2:7">
      <c r="B1025" s="269"/>
      <c r="C1025" s="61" t="s">
        <v>876</v>
      </c>
      <c r="D1025" s="62">
        <f>VLOOKUP(C1025,基本字段定义!$B$3:$C$3008,2,FALSE)</f>
        <v>1017</v>
      </c>
      <c r="E1025" s="63" t="s">
        <v>337</v>
      </c>
      <c r="F1025" s="63"/>
      <c r="G1025" s="64" t="s">
        <v>890</v>
      </c>
    </row>
    <row r="1026" spans="2:7">
      <c r="B1026" s="269" t="s">
        <v>335</v>
      </c>
      <c r="C1026" s="65" t="s">
        <v>336</v>
      </c>
      <c r="D1026" s="66">
        <f>VLOOKUP(C1026,基本字段定义!$B$3:$C$3008,2,FALSE)</f>
        <v>507</v>
      </c>
      <c r="E1026" s="67" t="s">
        <v>337</v>
      </c>
      <c r="F1026" s="67"/>
      <c r="G1026" s="69" t="s">
        <v>891</v>
      </c>
    </row>
    <row r="1027" spans="2:7">
      <c r="B1027" s="269"/>
      <c r="C1027" s="65" t="s">
        <v>338</v>
      </c>
      <c r="D1027" s="66">
        <f>VLOOKUP(C1027,基本字段定义!$B$3:$C$3008,2,FALSE)</f>
        <v>508</v>
      </c>
      <c r="E1027" s="67" t="s">
        <v>339</v>
      </c>
      <c r="F1027" s="67"/>
      <c r="G1027" s="69"/>
    </row>
    <row r="1028" spans="2:7">
      <c r="B1028" s="269"/>
      <c r="C1028" s="65" t="s">
        <v>747</v>
      </c>
      <c r="D1028" s="66">
        <f>VLOOKUP(C1028,基本字段定义!$B$3:$C$3008,2,FALSE)</f>
        <v>788</v>
      </c>
      <c r="E1028" s="67" t="s">
        <v>337</v>
      </c>
      <c r="F1028" s="67"/>
      <c r="G1028" s="69" t="s">
        <v>892</v>
      </c>
    </row>
    <row r="1029" spans="2:7">
      <c r="B1029" s="269"/>
      <c r="C1029" s="65" t="s">
        <v>876</v>
      </c>
      <c r="D1029" s="66">
        <f>VLOOKUP(C1029,基本字段定义!$B$3:$C$3008,2,FALSE)</f>
        <v>1017</v>
      </c>
      <c r="E1029" s="67" t="s">
        <v>337</v>
      </c>
      <c r="F1029" s="67"/>
      <c r="G1029" s="68" t="s">
        <v>893</v>
      </c>
    </row>
    <row r="1030" spans="2:7">
      <c r="B1030" s="269"/>
      <c r="C1030" s="65" t="s">
        <v>894</v>
      </c>
      <c r="D1030" s="66">
        <f>VLOOKUP(C1030,基本字段定义!$B$3:$C$3008,2,FALSE)</f>
        <v>705</v>
      </c>
      <c r="E1030" s="67" t="s">
        <v>339</v>
      </c>
      <c r="F1030" s="67"/>
      <c r="G1030" s="69" t="s">
        <v>895</v>
      </c>
    </row>
    <row r="1031" spans="2:7">
      <c r="B1031" s="270"/>
      <c r="C1031" s="71"/>
      <c r="D1031" s="79"/>
      <c r="E1031" s="73"/>
      <c r="F1031" s="73"/>
      <c r="G1031" s="74"/>
    </row>
    <row r="1033" spans="2:7">
      <c r="B1033" s="53" t="s">
        <v>146</v>
      </c>
      <c r="C1033" s="80">
        <v>204511</v>
      </c>
      <c r="D1033" s="81"/>
      <c r="E1033" s="82"/>
      <c r="F1033" s="54" t="s">
        <v>326</v>
      </c>
      <c r="G1033" s="55"/>
    </row>
    <row r="1034" spans="2:7">
      <c r="B1034" s="56" t="s">
        <v>327</v>
      </c>
      <c r="C1034" s="83" t="str">
        <f>VLOOKUP(C1033,功能索引!$C$3:$D$269,2,FALSE)</f>
        <v>批量撤单</v>
      </c>
      <c r="D1034" s="84"/>
      <c r="E1034" s="85"/>
      <c r="F1034" s="57" t="s">
        <v>148</v>
      </c>
      <c r="G1034" s="58">
        <f>VLOOKUP(C1033,功能索引!$C$3:$E1388,3,FALSE)</f>
        <v>0</v>
      </c>
    </row>
    <row r="1035" spans="2:7">
      <c r="B1035" s="269" t="s">
        <v>328</v>
      </c>
      <c r="C1035" s="95"/>
      <c r="D1035" s="96"/>
      <c r="E1035" s="96"/>
      <c r="F1035" s="96"/>
      <c r="G1035" s="97"/>
    </row>
    <row r="1036" spans="2:7">
      <c r="B1036" s="270"/>
      <c r="C1036" s="98"/>
      <c r="D1036" s="99"/>
      <c r="E1036" s="99"/>
      <c r="F1036" s="99"/>
      <c r="G1036" s="100"/>
    </row>
    <row r="1037" spans="2:7">
      <c r="B1037" s="271" t="s">
        <v>329</v>
      </c>
      <c r="C1037" s="54" t="s">
        <v>330</v>
      </c>
      <c r="D1037" s="54" t="s">
        <v>331</v>
      </c>
      <c r="E1037" s="54" t="s">
        <v>332</v>
      </c>
      <c r="F1037" s="54" t="s">
        <v>333</v>
      </c>
      <c r="G1037" s="60" t="s">
        <v>334</v>
      </c>
    </row>
    <row r="1038" spans="2:7">
      <c r="B1038" s="269"/>
      <c r="C1038" s="61" t="s">
        <v>402</v>
      </c>
      <c r="D1038" s="62">
        <f>VLOOKUP(C1038,基本字段定义!$B$3:$C$3008,2,FALSE)</f>
        <v>605</v>
      </c>
      <c r="E1038" s="63" t="s">
        <v>403</v>
      </c>
      <c r="F1038" s="63" t="s">
        <v>152</v>
      </c>
      <c r="G1038" s="64" t="s">
        <v>404</v>
      </c>
    </row>
    <row r="1039" spans="2:7">
      <c r="B1039" s="269"/>
      <c r="C1039" s="61" t="s">
        <v>411</v>
      </c>
      <c r="D1039" s="62">
        <f>VLOOKUP(C1039,基本字段定义!$B$3:$C$3008,2,FALSE)</f>
        <v>598</v>
      </c>
      <c r="E1039" s="63" t="s">
        <v>412</v>
      </c>
      <c r="F1039" s="63" t="s">
        <v>152</v>
      </c>
      <c r="G1039" s="64" t="s">
        <v>456</v>
      </c>
    </row>
    <row r="1040" spans="2:7">
      <c r="B1040" s="269"/>
      <c r="C1040" s="61" t="s">
        <v>414</v>
      </c>
      <c r="D1040" s="62">
        <f>VLOOKUP(C1040,基本字段定义!$B$3:$C$3008,2,FALSE)</f>
        <v>781</v>
      </c>
      <c r="E1040" s="63" t="s">
        <v>337</v>
      </c>
      <c r="F1040" s="63" t="s">
        <v>152</v>
      </c>
      <c r="G1040" s="64" t="s">
        <v>415</v>
      </c>
    </row>
    <row r="1041" spans="2:7">
      <c r="B1041" s="269"/>
      <c r="C1041" s="61" t="s">
        <v>876</v>
      </c>
      <c r="D1041" s="62">
        <f>VLOOKUP(C1041,基本字段定义!$B$3:$C$3008,2,FALSE)</f>
        <v>1017</v>
      </c>
      <c r="E1041" s="63" t="s">
        <v>337</v>
      </c>
      <c r="F1041" s="63"/>
      <c r="G1041" s="64" t="s">
        <v>877</v>
      </c>
    </row>
    <row r="1042" spans="2:7">
      <c r="B1042" s="269"/>
      <c r="C1042" s="61" t="s">
        <v>640</v>
      </c>
      <c r="D1042" s="62">
        <f>VLOOKUP(C1042,基本字段定义!$B$3:$C$3008,2,FALSE)</f>
        <v>719</v>
      </c>
      <c r="E1042" s="63" t="s">
        <v>480</v>
      </c>
      <c r="F1042" s="63"/>
      <c r="G1042" s="64" t="s">
        <v>657</v>
      </c>
    </row>
    <row r="1043" spans="2:7">
      <c r="B1043" s="269"/>
      <c r="C1043" s="61" t="s">
        <v>772</v>
      </c>
      <c r="D1043" s="62">
        <f>VLOOKUP(C1043,基本字段定义!$B$3:$C$3008,2,FALSE)</f>
        <v>683</v>
      </c>
      <c r="E1043" s="63" t="s">
        <v>337</v>
      </c>
      <c r="F1043" s="63"/>
      <c r="G1043" s="64" t="s">
        <v>896</v>
      </c>
    </row>
    <row r="1044" spans="2:7">
      <c r="B1044" s="269" t="s">
        <v>335</v>
      </c>
      <c r="C1044" s="65" t="s">
        <v>336</v>
      </c>
      <c r="D1044" s="66">
        <f>VLOOKUP(C1044,基本字段定义!$B$3:$C$3008,2,FALSE)</f>
        <v>507</v>
      </c>
      <c r="E1044" s="67" t="s">
        <v>337</v>
      </c>
      <c r="F1044" s="67"/>
      <c r="G1044" s="68"/>
    </row>
    <row r="1045" spans="2:7">
      <c r="B1045" s="269"/>
      <c r="C1045" s="65" t="s">
        <v>338</v>
      </c>
      <c r="D1045" s="66">
        <f>VLOOKUP(C1045,基本字段定义!$B$3:$C$3008,2,FALSE)</f>
        <v>508</v>
      </c>
      <c r="E1045" s="67" t="s">
        <v>339</v>
      </c>
      <c r="F1045" s="67"/>
      <c r="G1045" s="69"/>
    </row>
    <row r="1046" spans="2:7">
      <c r="B1046" s="269"/>
      <c r="C1046" s="65" t="s">
        <v>897</v>
      </c>
      <c r="D1046" s="66">
        <f>VLOOKUP(C1046,基本字段定义!$B$3:$C$3008,2,FALSE)</f>
        <v>1297</v>
      </c>
      <c r="E1046" s="67" t="s">
        <v>337</v>
      </c>
      <c r="F1046" s="67"/>
      <c r="G1046" s="69" t="s">
        <v>898</v>
      </c>
    </row>
    <row r="1047" spans="2:7">
      <c r="B1047" s="270"/>
      <c r="C1047" s="71"/>
      <c r="D1047" s="79"/>
      <c r="E1047" s="73"/>
      <c r="F1047" s="73"/>
      <c r="G1047" s="74"/>
    </row>
    <row r="1049" spans="2:7">
      <c r="B1049" s="53" t="s">
        <v>146</v>
      </c>
      <c r="C1049" s="80">
        <v>304103</v>
      </c>
      <c r="D1049" s="81"/>
      <c r="E1049" s="82"/>
      <c r="F1049" s="54" t="s">
        <v>326</v>
      </c>
      <c r="G1049" s="55"/>
    </row>
    <row r="1050" spans="2:7">
      <c r="B1050" s="56" t="s">
        <v>327</v>
      </c>
      <c r="C1050" s="83" t="str">
        <f>VLOOKUP(C1049,功能索引!$C$3:$D$269,2,FALSE)</f>
        <v>客户当日委托查询</v>
      </c>
      <c r="D1050" s="84"/>
      <c r="E1050" s="85"/>
      <c r="F1050" s="57" t="s">
        <v>148</v>
      </c>
      <c r="G1050" s="58" t="str">
        <f>VLOOKUP(C1049,功能索引!$C$3:$E1406,3,FALSE)</f>
        <v>Y</v>
      </c>
    </row>
    <row r="1051" spans="2:7">
      <c r="B1051" s="269" t="s">
        <v>328</v>
      </c>
      <c r="C1051" s="95"/>
      <c r="D1051" s="96"/>
      <c r="E1051" s="96"/>
      <c r="F1051" s="96"/>
      <c r="G1051" s="97"/>
    </row>
    <row r="1052" spans="2:7">
      <c r="B1052" s="270"/>
      <c r="C1052" s="98"/>
      <c r="D1052" s="99"/>
      <c r="E1052" s="99"/>
      <c r="F1052" s="99"/>
      <c r="G1052" s="100"/>
    </row>
    <row r="1053" spans="2:7">
      <c r="B1053" s="271" t="s">
        <v>329</v>
      </c>
      <c r="C1053" s="54" t="s">
        <v>330</v>
      </c>
      <c r="D1053" s="54" t="s">
        <v>331</v>
      </c>
      <c r="E1053" s="54" t="s">
        <v>332</v>
      </c>
      <c r="F1053" s="54" t="s">
        <v>333</v>
      </c>
      <c r="G1053" s="60" t="s">
        <v>334</v>
      </c>
    </row>
    <row r="1054" spans="2:7">
      <c r="B1054" s="269"/>
      <c r="C1054" s="61" t="s">
        <v>402</v>
      </c>
      <c r="D1054" s="62">
        <f>VLOOKUP(C1054,基本字段定义!$B$3:$C$3008,2,FALSE)</f>
        <v>605</v>
      </c>
      <c r="E1054" s="63" t="s">
        <v>403</v>
      </c>
      <c r="F1054" s="63" t="s">
        <v>152</v>
      </c>
      <c r="G1054" s="64" t="s">
        <v>404</v>
      </c>
    </row>
    <row r="1055" spans="2:7">
      <c r="B1055" s="269"/>
      <c r="C1055" s="61" t="s">
        <v>361</v>
      </c>
      <c r="D1055" s="62">
        <f>VLOOKUP(C1055,基本字段定义!$B$3:$C$3008,2,FALSE)</f>
        <v>599</v>
      </c>
      <c r="E1055" s="63" t="s">
        <v>362</v>
      </c>
      <c r="F1055" s="63"/>
      <c r="G1055" s="64" t="s">
        <v>363</v>
      </c>
    </row>
    <row r="1056" spans="2:7">
      <c r="B1056" s="269"/>
      <c r="C1056" s="61" t="s">
        <v>405</v>
      </c>
      <c r="D1056" s="62">
        <f>VLOOKUP(C1056,基本字段定义!$B$3:$C$3008,2,FALSE)</f>
        <v>571</v>
      </c>
      <c r="E1056" s="63" t="s">
        <v>406</v>
      </c>
      <c r="F1056" s="63"/>
      <c r="G1056" s="64" t="s">
        <v>407</v>
      </c>
    </row>
    <row r="1057" spans="2:7">
      <c r="B1057" s="269"/>
      <c r="C1057" s="61" t="s">
        <v>772</v>
      </c>
      <c r="D1057" s="62">
        <f>VLOOKUP(C1057,基本字段定义!$B$3:$C$3008,2,FALSE)</f>
        <v>683</v>
      </c>
      <c r="E1057" s="63" t="s">
        <v>337</v>
      </c>
      <c r="F1057" s="63"/>
      <c r="G1057" s="64" t="s">
        <v>896</v>
      </c>
    </row>
    <row r="1058" spans="2:7">
      <c r="B1058" s="269"/>
      <c r="C1058" s="61" t="s">
        <v>899</v>
      </c>
      <c r="D1058" s="62">
        <f>VLOOKUP(C1058,基本字段定义!$B$3:$C$3008,2,FALSE)</f>
        <v>755</v>
      </c>
      <c r="E1058" s="63" t="s">
        <v>578</v>
      </c>
      <c r="F1058" s="63"/>
      <c r="G1058" s="64" t="s">
        <v>900</v>
      </c>
    </row>
    <row r="1059" spans="2:7">
      <c r="B1059" s="269"/>
      <c r="C1059" s="61" t="s">
        <v>640</v>
      </c>
      <c r="D1059" s="62">
        <f>VLOOKUP(C1059,基本字段定义!$B$3:$C$3008,2,FALSE)</f>
        <v>719</v>
      </c>
      <c r="E1059" s="63" t="s">
        <v>480</v>
      </c>
      <c r="F1059" s="63"/>
      <c r="G1059" s="64" t="s">
        <v>657</v>
      </c>
    </row>
    <row r="1060" spans="2:7">
      <c r="B1060" s="269"/>
      <c r="C1060" s="61" t="s">
        <v>876</v>
      </c>
      <c r="D1060" s="62">
        <f>VLOOKUP(C1060,基本字段定义!$B$3:$C$3008,2,FALSE)</f>
        <v>1017</v>
      </c>
      <c r="E1060" s="63" t="s">
        <v>337</v>
      </c>
      <c r="F1060" s="63"/>
      <c r="G1060" s="64" t="s">
        <v>901</v>
      </c>
    </row>
    <row r="1061" spans="2:7">
      <c r="B1061" s="269"/>
      <c r="C1061" s="61" t="s">
        <v>559</v>
      </c>
      <c r="D1061" s="62">
        <f>VLOOKUP(C1061,基本字段定义!$B$3:$C$3008,2,FALSE)</f>
        <v>9020</v>
      </c>
      <c r="E1061" s="63" t="s">
        <v>337</v>
      </c>
      <c r="F1061" s="63"/>
      <c r="G1061" s="64" t="s">
        <v>902</v>
      </c>
    </row>
    <row r="1062" spans="2:7">
      <c r="B1062" s="269"/>
      <c r="C1062" s="61" t="s">
        <v>586</v>
      </c>
      <c r="D1062" s="62">
        <f>VLOOKUP(C1062,基本字段定义!$B$3:$C$3008,2,FALSE)</f>
        <v>9109</v>
      </c>
      <c r="E1062" s="63" t="s">
        <v>337</v>
      </c>
      <c r="F1062" s="63"/>
      <c r="G1062" s="64" t="s">
        <v>587</v>
      </c>
    </row>
    <row r="1063" spans="2:7">
      <c r="B1063" s="269"/>
      <c r="C1063" s="61" t="s">
        <v>590</v>
      </c>
      <c r="D1063" s="62">
        <f>VLOOKUP(C1063,基本字段定义!$B$3:$C$3008,2,FALSE)</f>
        <v>9110</v>
      </c>
      <c r="E1063" s="63" t="s">
        <v>337</v>
      </c>
      <c r="F1063" s="63"/>
      <c r="G1063" s="64" t="s">
        <v>903</v>
      </c>
    </row>
    <row r="1064" spans="2:7">
      <c r="B1064" s="269"/>
      <c r="C1064" s="61" t="s">
        <v>588</v>
      </c>
      <c r="D1064" s="62">
        <f>VLOOKUP(C1064,基本字段定义!$B$3:$C$3008,2,FALSE)</f>
        <v>763</v>
      </c>
      <c r="E1064" s="63" t="s">
        <v>471</v>
      </c>
      <c r="F1064" s="63"/>
      <c r="G1064" s="64" t="s">
        <v>904</v>
      </c>
    </row>
    <row r="1065" spans="2:7">
      <c r="B1065" s="269" t="s">
        <v>335</v>
      </c>
      <c r="C1065" s="65" t="s">
        <v>588</v>
      </c>
      <c r="D1065" s="66">
        <f>VLOOKUP(C1065,基本字段定义!$B$3:$C$3008,2,FALSE)</f>
        <v>763</v>
      </c>
      <c r="E1065" s="67" t="s">
        <v>339</v>
      </c>
      <c r="F1065" s="67"/>
      <c r="G1065" s="69" t="s">
        <v>592</v>
      </c>
    </row>
    <row r="1066" spans="2:7">
      <c r="B1066" s="269"/>
      <c r="C1066" s="65" t="s">
        <v>361</v>
      </c>
      <c r="D1066" s="66">
        <f>VLOOKUP(C1066,基本字段定义!$B$3:$C$3008,2,FALSE)</f>
        <v>599</v>
      </c>
      <c r="E1066" s="67" t="s">
        <v>339</v>
      </c>
      <c r="F1066" s="67"/>
      <c r="G1066" s="69" t="s">
        <v>363</v>
      </c>
    </row>
    <row r="1067" spans="2:7">
      <c r="B1067" s="269"/>
      <c r="C1067" s="65" t="s">
        <v>405</v>
      </c>
      <c r="D1067" s="66">
        <f>VLOOKUP(C1067,基本字段定义!$B$3:$C$3008,2,FALSE)</f>
        <v>571</v>
      </c>
      <c r="E1067" s="67" t="s">
        <v>339</v>
      </c>
      <c r="F1067" s="67"/>
      <c r="G1067" s="69" t="s">
        <v>407</v>
      </c>
    </row>
    <row r="1068" spans="2:7">
      <c r="B1068" s="269"/>
      <c r="C1068" s="65" t="s">
        <v>882</v>
      </c>
      <c r="D1068" s="66">
        <f>VLOOKUP(C1068,基本字段定义!$B$3:$C$3008,2,FALSE)</f>
        <v>681</v>
      </c>
      <c r="E1068" s="67" t="s">
        <v>337</v>
      </c>
      <c r="F1068" s="67"/>
      <c r="G1068" s="69" t="s">
        <v>884</v>
      </c>
    </row>
    <row r="1069" spans="2:7">
      <c r="B1069" s="269"/>
      <c r="C1069" s="65" t="s">
        <v>772</v>
      </c>
      <c r="D1069" s="66">
        <f>VLOOKUP(C1069,基本字段定义!$B$3:$C$3008,2,FALSE)</f>
        <v>683</v>
      </c>
      <c r="E1069" s="67" t="s">
        <v>337</v>
      </c>
      <c r="F1069" s="67"/>
      <c r="G1069" s="69" t="s">
        <v>896</v>
      </c>
    </row>
    <row r="1070" spans="2:7">
      <c r="B1070" s="269"/>
      <c r="C1070" s="65" t="s">
        <v>899</v>
      </c>
      <c r="D1070" s="66">
        <f>VLOOKUP(C1070,基本字段定义!$B$3:$C$3008,2,FALSE)</f>
        <v>755</v>
      </c>
      <c r="E1070" s="67" t="s">
        <v>339</v>
      </c>
      <c r="F1070" s="67"/>
      <c r="G1070" s="69" t="s">
        <v>905</v>
      </c>
    </row>
    <row r="1071" spans="2:7">
      <c r="B1071" s="269"/>
      <c r="C1071" s="65" t="s">
        <v>640</v>
      </c>
      <c r="D1071" s="66">
        <f>VLOOKUP(C1071,基本字段定义!$B$3:$C$3008,2,FALSE)</f>
        <v>719</v>
      </c>
      <c r="E1071" s="67" t="s">
        <v>339</v>
      </c>
      <c r="F1071" s="67"/>
      <c r="G1071" s="69" t="s">
        <v>657</v>
      </c>
    </row>
    <row r="1072" spans="2:7">
      <c r="B1072" s="269"/>
      <c r="C1072" s="65" t="s">
        <v>659</v>
      </c>
      <c r="D1072" s="66">
        <f>VLOOKUP(C1072,基本字段定义!$B$3:$C$3008,2,FALSE)</f>
        <v>722</v>
      </c>
      <c r="E1072" s="67" t="s">
        <v>339</v>
      </c>
      <c r="F1072" s="67"/>
      <c r="G1072" s="69" t="s">
        <v>660</v>
      </c>
    </row>
    <row r="1073" spans="2:7">
      <c r="B1073" s="269"/>
      <c r="C1073" s="65" t="s">
        <v>859</v>
      </c>
      <c r="D1073" s="66">
        <f>VLOOKUP(C1073,基本字段定义!$B$3:$C$3008,2,FALSE)</f>
        <v>1013</v>
      </c>
      <c r="E1073" s="67" t="s">
        <v>337</v>
      </c>
      <c r="F1073" s="67"/>
      <c r="G1073" s="69" t="s">
        <v>906</v>
      </c>
    </row>
    <row r="1074" spans="2:7">
      <c r="B1074" s="269"/>
      <c r="C1074" s="65" t="s">
        <v>776</v>
      </c>
      <c r="D1074" s="66">
        <f>VLOOKUP(C1074,基本字段定义!$B$3:$C$3008,2,FALSE)</f>
        <v>684</v>
      </c>
      <c r="E1074" s="67" t="s">
        <v>337</v>
      </c>
      <c r="F1074" s="67"/>
      <c r="G1074" s="69" t="s">
        <v>777</v>
      </c>
    </row>
    <row r="1075" spans="2:7">
      <c r="B1075" s="269"/>
      <c r="C1075" s="65" t="s">
        <v>778</v>
      </c>
      <c r="D1075" s="66">
        <f>VLOOKUP(C1075,基本字段定义!$B$3:$C$3008,2,FALSE)</f>
        <v>682</v>
      </c>
      <c r="E1075" s="67" t="s">
        <v>537</v>
      </c>
      <c r="F1075" s="67"/>
      <c r="G1075" s="69" t="s">
        <v>779</v>
      </c>
    </row>
    <row r="1076" spans="2:7">
      <c r="B1076" s="269"/>
      <c r="C1076" s="65" t="s">
        <v>907</v>
      </c>
      <c r="D1076" s="66">
        <f>VLOOKUP(C1076,基本字段定义!$B$3:$C$3008,2,FALSE)</f>
        <v>750</v>
      </c>
      <c r="E1076" s="67" t="s">
        <v>339</v>
      </c>
      <c r="F1076" s="67"/>
      <c r="G1076" s="69" t="s">
        <v>908</v>
      </c>
    </row>
    <row r="1077" spans="2:7">
      <c r="B1077" s="269"/>
      <c r="C1077" s="65" t="s">
        <v>909</v>
      </c>
      <c r="D1077" s="66">
        <f>VLOOKUP(C1077,基本字段定义!$B$3:$C$3008,2,FALSE)</f>
        <v>751</v>
      </c>
      <c r="E1077" s="67" t="s">
        <v>339</v>
      </c>
      <c r="F1077" s="67"/>
      <c r="G1077" s="69" t="s">
        <v>910</v>
      </c>
    </row>
    <row r="1078" spans="2:7" ht="25.5">
      <c r="B1078" s="269"/>
      <c r="C1078" s="65" t="s">
        <v>911</v>
      </c>
      <c r="D1078" s="66">
        <f>VLOOKUP(C1078,基本字段定义!$B$3:$C$3008,2,FALSE)</f>
        <v>753</v>
      </c>
      <c r="E1078" s="67" t="s">
        <v>337</v>
      </c>
      <c r="F1078" s="67"/>
      <c r="G1078" s="70" t="s">
        <v>912</v>
      </c>
    </row>
    <row r="1079" spans="2:7">
      <c r="B1079" s="269"/>
      <c r="C1079" s="65" t="s">
        <v>635</v>
      </c>
      <c r="D1079" s="66">
        <f>VLOOKUP(C1079,基本字段定义!$B$3:$C$3008,2,FALSE)</f>
        <v>830</v>
      </c>
      <c r="E1079" s="67" t="s">
        <v>339</v>
      </c>
      <c r="F1079" s="67"/>
      <c r="G1079" s="69" t="s">
        <v>913</v>
      </c>
    </row>
    <row r="1080" spans="2:7">
      <c r="B1080" s="269"/>
      <c r="C1080" s="65" t="s">
        <v>914</v>
      </c>
      <c r="D1080" s="66">
        <f>VLOOKUP(C1080,基本字段定义!$B$3:$C$3008,2,FALSE)</f>
        <v>886</v>
      </c>
      <c r="E1080" s="67" t="s">
        <v>337</v>
      </c>
      <c r="F1080" s="67"/>
      <c r="G1080" s="69" t="s">
        <v>915</v>
      </c>
    </row>
    <row r="1081" spans="2:7">
      <c r="B1081" s="269"/>
      <c r="C1081" s="65" t="s">
        <v>681</v>
      </c>
      <c r="D1081" s="66">
        <f>VLOOKUP(C1081,基本字段定义!$B$3:$C$3008,2,FALSE)</f>
        <v>528</v>
      </c>
      <c r="E1081" s="67" t="s">
        <v>337</v>
      </c>
      <c r="F1081" s="67"/>
      <c r="G1081" s="69" t="s">
        <v>916</v>
      </c>
    </row>
    <row r="1082" spans="2:7">
      <c r="B1082" s="269"/>
      <c r="C1082" s="65" t="s">
        <v>683</v>
      </c>
      <c r="D1082" s="66">
        <f>VLOOKUP(C1082,基本字段定义!$B$3:$C$3008,2,FALSE)</f>
        <v>524</v>
      </c>
      <c r="E1082" s="67" t="s">
        <v>537</v>
      </c>
      <c r="F1082" s="67"/>
      <c r="G1082" s="69" t="s">
        <v>917</v>
      </c>
    </row>
    <row r="1083" spans="2:7">
      <c r="B1083" s="269"/>
      <c r="C1083" s="65" t="s">
        <v>918</v>
      </c>
      <c r="D1083" s="66">
        <f>VLOOKUP(C1083,基本字段定义!$B$3:$C$3008,2,FALSE)</f>
        <v>525</v>
      </c>
      <c r="E1083" s="67" t="s">
        <v>537</v>
      </c>
      <c r="F1083" s="67"/>
      <c r="G1083" s="69" t="s">
        <v>919</v>
      </c>
    </row>
    <row r="1084" spans="2:7">
      <c r="B1084" s="269"/>
      <c r="C1084" s="65" t="s">
        <v>524</v>
      </c>
      <c r="D1084" s="66">
        <f>VLOOKUP(C1084,基本字段定义!$B$3:$C$3008,2,FALSE)</f>
        <v>511</v>
      </c>
      <c r="E1084" s="67" t="s">
        <v>339</v>
      </c>
      <c r="F1084" s="67"/>
      <c r="G1084" s="69" t="s">
        <v>525</v>
      </c>
    </row>
    <row r="1085" spans="2:7">
      <c r="B1085" s="269"/>
      <c r="C1085" s="65" t="s">
        <v>920</v>
      </c>
      <c r="D1085" s="66">
        <f>VLOOKUP(C1085,基本字段定义!$B$3:$C$3008,2,FALSE)</f>
        <v>647</v>
      </c>
      <c r="E1085" s="67" t="s">
        <v>537</v>
      </c>
      <c r="F1085" s="67"/>
      <c r="G1085" s="69" t="s">
        <v>921</v>
      </c>
    </row>
    <row r="1086" spans="2:7">
      <c r="B1086" s="269"/>
      <c r="C1086" s="65" t="s">
        <v>922</v>
      </c>
      <c r="D1086" s="66">
        <f>VLOOKUP(C1086,基本字段定义!$B$3:$C$3008,2,FALSE)</f>
        <v>641</v>
      </c>
      <c r="E1086" s="67" t="s">
        <v>339</v>
      </c>
      <c r="F1086" s="67"/>
      <c r="G1086" s="69" t="s">
        <v>923</v>
      </c>
    </row>
    <row r="1087" spans="2:7">
      <c r="B1087" s="269"/>
      <c r="C1087" s="65" t="s">
        <v>876</v>
      </c>
      <c r="D1087" s="66">
        <f>VLOOKUP(C1087,基本字段定义!$B$3:$C$3008,2,FALSE)</f>
        <v>1017</v>
      </c>
      <c r="E1087" s="67" t="s">
        <v>339</v>
      </c>
      <c r="F1087" s="67"/>
      <c r="G1087" s="69" t="s">
        <v>877</v>
      </c>
    </row>
    <row r="1088" spans="2:7">
      <c r="B1088" s="270"/>
      <c r="C1088" s="71"/>
      <c r="D1088" s="79"/>
      <c r="E1088" s="73"/>
      <c r="F1088" s="73"/>
      <c r="G1088" s="74"/>
    </row>
    <row r="1090" spans="2:7">
      <c r="B1090" s="53" t="s">
        <v>146</v>
      </c>
      <c r="C1090" s="80">
        <v>304116</v>
      </c>
      <c r="D1090" s="81"/>
      <c r="E1090" s="82"/>
      <c r="F1090" s="54" t="s">
        <v>326</v>
      </c>
      <c r="G1090" s="55"/>
    </row>
    <row r="1091" spans="2:7">
      <c r="B1091" s="56" t="s">
        <v>327</v>
      </c>
      <c r="C1091" s="83" t="str">
        <f>VLOOKUP(C1090,功能索引!$C$3:$D$269,2,FALSE)</f>
        <v>查询指定委托号的委托详细信息</v>
      </c>
      <c r="D1091" s="84"/>
      <c r="E1091" s="85"/>
      <c r="F1091" s="57" t="s">
        <v>148</v>
      </c>
      <c r="G1091" s="58">
        <f>VLOOKUP(C1090,功能索引!$C$3:$E1479,3,FALSE)</f>
        <v>0</v>
      </c>
    </row>
    <row r="1092" spans="2:7">
      <c r="B1092" s="269" t="s">
        <v>328</v>
      </c>
      <c r="C1092" s="95"/>
      <c r="D1092" s="96"/>
      <c r="E1092" s="96"/>
      <c r="F1092" s="96"/>
      <c r="G1092" s="97"/>
    </row>
    <row r="1093" spans="2:7">
      <c r="B1093" s="270"/>
      <c r="C1093" s="98"/>
      <c r="D1093" s="99"/>
      <c r="E1093" s="99"/>
      <c r="F1093" s="99"/>
      <c r="G1093" s="100"/>
    </row>
    <row r="1094" spans="2:7">
      <c r="B1094" s="271" t="s">
        <v>329</v>
      </c>
      <c r="C1094" s="54" t="s">
        <v>330</v>
      </c>
      <c r="D1094" s="54" t="s">
        <v>331</v>
      </c>
      <c r="E1094" s="54" t="s">
        <v>332</v>
      </c>
      <c r="F1094" s="54" t="s">
        <v>333</v>
      </c>
      <c r="G1094" s="60" t="s">
        <v>334</v>
      </c>
    </row>
    <row r="1095" spans="2:7">
      <c r="B1095" s="269"/>
      <c r="C1095" s="61" t="s">
        <v>361</v>
      </c>
      <c r="D1095" s="62">
        <f>VLOOKUP(C1095,基本字段定义!$B$3:$C$3008,2,FALSE)</f>
        <v>599</v>
      </c>
      <c r="E1095" s="63" t="s">
        <v>362</v>
      </c>
      <c r="F1095" s="63" t="s">
        <v>152</v>
      </c>
      <c r="G1095" s="64" t="s">
        <v>363</v>
      </c>
    </row>
    <row r="1096" spans="2:7">
      <c r="B1096" s="269"/>
      <c r="C1096" s="61" t="s">
        <v>882</v>
      </c>
      <c r="D1096" s="62">
        <f>VLOOKUP(C1096,基本字段定义!$B$3:$C$3008,2,FALSE)</f>
        <v>681</v>
      </c>
      <c r="E1096" s="63" t="s">
        <v>337</v>
      </c>
      <c r="F1096" s="63"/>
      <c r="G1096" s="64" t="s">
        <v>924</v>
      </c>
    </row>
    <row r="1097" spans="2:7">
      <c r="B1097" s="269"/>
      <c r="C1097" s="61" t="s">
        <v>925</v>
      </c>
      <c r="D1097" s="62">
        <f>VLOOKUP(C1097,基本字段定义!$B$3:$C$3008,2,FALSE)</f>
        <v>1011</v>
      </c>
      <c r="E1097" s="63" t="s">
        <v>412</v>
      </c>
      <c r="F1097" s="63"/>
      <c r="G1097" s="64" t="s">
        <v>926</v>
      </c>
    </row>
    <row r="1098" spans="2:7">
      <c r="B1098" s="269"/>
      <c r="C1098" s="61" t="s">
        <v>899</v>
      </c>
      <c r="D1098" s="62">
        <f>VLOOKUP(C1098,基本字段定义!$B$3:$C$3008,2,FALSE)</f>
        <v>755</v>
      </c>
      <c r="E1098" s="63" t="s">
        <v>578</v>
      </c>
      <c r="F1098" s="63"/>
      <c r="G1098" s="64" t="s">
        <v>927</v>
      </c>
    </row>
    <row r="1099" spans="2:7">
      <c r="B1099" s="269" t="s">
        <v>335</v>
      </c>
      <c r="C1099" s="65" t="s">
        <v>336</v>
      </c>
      <c r="D1099" s="66">
        <f>VLOOKUP(C1099,基本字段定义!$B$3:$C$3008,2,FALSE)</f>
        <v>507</v>
      </c>
      <c r="E1099" s="67" t="s">
        <v>337</v>
      </c>
      <c r="F1099" s="67"/>
      <c r="G1099" s="69"/>
    </row>
    <row r="1100" spans="2:7">
      <c r="B1100" s="269"/>
      <c r="C1100" s="65" t="s">
        <v>338</v>
      </c>
      <c r="D1100" s="66">
        <f>VLOOKUP(C1100,基本字段定义!$B$3:$C$3008,2,FALSE)</f>
        <v>508</v>
      </c>
      <c r="E1100" s="67" t="s">
        <v>339</v>
      </c>
      <c r="F1100" s="67"/>
      <c r="G1100" s="69"/>
    </row>
    <row r="1101" spans="2:7">
      <c r="B1101" s="269"/>
      <c r="C1101" s="65" t="s">
        <v>402</v>
      </c>
      <c r="D1101" s="66">
        <f>VLOOKUP(C1101,基本字段定义!$B$3:$C$3008,2,FALSE)</f>
        <v>605</v>
      </c>
      <c r="E1101" s="67" t="s">
        <v>339</v>
      </c>
      <c r="F1101" s="67"/>
      <c r="G1101" s="69"/>
    </row>
    <row r="1102" spans="2:7">
      <c r="B1102" s="269"/>
      <c r="C1102" s="65" t="s">
        <v>405</v>
      </c>
      <c r="D1102" s="66">
        <f>VLOOKUP(C1102,基本字段定义!$B$3:$C$3008,2,FALSE)</f>
        <v>571</v>
      </c>
      <c r="E1102" s="67" t="s">
        <v>339</v>
      </c>
      <c r="F1102" s="67"/>
      <c r="G1102" s="69" t="s">
        <v>407</v>
      </c>
    </row>
    <row r="1103" spans="2:7">
      <c r="B1103" s="269"/>
      <c r="C1103" s="65" t="s">
        <v>361</v>
      </c>
      <c r="D1103" s="66">
        <f>VLOOKUP(C1103,基本字段定义!$B$3:$C$3008,2,FALSE)</f>
        <v>599</v>
      </c>
      <c r="E1103" s="67" t="s">
        <v>339</v>
      </c>
      <c r="F1103" s="67"/>
      <c r="G1103" s="69" t="s">
        <v>363</v>
      </c>
    </row>
    <row r="1104" spans="2:7">
      <c r="B1104" s="269"/>
      <c r="C1104" s="65" t="s">
        <v>882</v>
      </c>
      <c r="D1104" s="66">
        <f>VLOOKUP(C1104,基本字段定义!$B$3:$C$3008,2,FALSE)</f>
        <v>681</v>
      </c>
      <c r="E1104" s="67" t="s">
        <v>337</v>
      </c>
      <c r="F1104" s="67"/>
      <c r="G1104" s="69" t="s">
        <v>884</v>
      </c>
    </row>
    <row r="1105" spans="2:7">
      <c r="B1105" s="269"/>
      <c r="C1105" s="65" t="s">
        <v>925</v>
      </c>
      <c r="D1105" s="66">
        <f>VLOOKUP(C1105,基本字段定义!$B$3:$C$3008,2,FALSE)</f>
        <v>1011</v>
      </c>
      <c r="E1105" s="67" t="s">
        <v>339</v>
      </c>
      <c r="F1105" s="67"/>
      <c r="G1105" s="69"/>
    </row>
    <row r="1106" spans="2:7">
      <c r="B1106" s="269"/>
      <c r="C1106" s="65" t="s">
        <v>899</v>
      </c>
      <c r="D1106" s="66">
        <f>VLOOKUP(C1106,基本字段定义!$B$3:$C$3008,2,FALSE)</f>
        <v>755</v>
      </c>
      <c r="E1106" s="67" t="s">
        <v>339</v>
      </c>
      <c r="F1106" s="67"/>
      <c r="G1106" s="69" t="s">
        <v>905</v>
      </c>
    </row>
    <row r="1107" spans="2:7">
      <c r="B1107" s="269"/>
      <c r="C1107" s="65" t="s">
        <v>772</v>
      </c>
      <c r="D1107" s="66">
        <f>VLOOKUP(C1107,基本字段定义!$B$3:$C$3008,2,FALSE)</f>
        <v>683</v>
      </c>
      <c r="E1107" s="67" t="s">
        <v>337</v>
      </c>
      <c r="F1107" s="67"/>
      <c r="G1107" s="69" t="s">
        <v>896</v>
      </c>
    </row>
    <row r="1108" spans="2:7">
      <c r="B1108" s="269"/>
      <c r="C1108" s="65" t="s">
        <v>640</v>
      </c>
      <c r="D1108" s="66">
        <f>VLOOKUP(C1108,基本字段定义!$B$3:$C$3008,2,FALSE)</f>
        <v>719</v>
      </c>
      <c r="E1108" s="67" t="s">
        <v>339</v>
      </c>
      <c r="F1108" s="67"/>
      <c r="G1108" s="69" t="s">
        <v>657</v>
      </c>
    </row>
    <row r="1109" spans="2:7">
      <c r="B1109" s="269"/>
      <c r="C1109" s="65" t="s">
        <v>659</v>
      </c>
      <c r="D1109" s="66">
        <f>VLOOKUP(C1109,基本字段定义!$B$3:$C$3008,2,FALSE)</f>
        <v>722</v>
      </c>
      <c r="E1109" s="67" t="s">
        <v>339</v>
      </c>
      <c r="F1109" s="67"/>
      <c r="G1109" s="69" t="s">
        <v>660</v>
      </c>
    </row>
    <row r="1110" spans="2:7">
      <c r="B1110" s="269"/>
      <c r="C1110" s="65" t="s">
        <v>859</v>
      </c>
      <c r="D1110" s="66">
        <f>VLOOKUP(C1110,基本字段定义!$B$3:$C$3008,2,FALSE)</f>
        <v>1013</v>
      </c>
      <c r="E1110" s="67" t="s">
        <v>337</v>
      </c>
      <c r="F1110" s="67"/>
      <c r="G1110" s="69" t="s">
        <v>906</v>
      </c>
    </row>
    <row r="1111" spans="2:7">
      <c r="B1111" s="269"/>
      <c r="C1111" s="65" t="s">
        <v>776</v>
      </c>
      <c r="D1111" s="66">
        <f>VLOOKUP(C1111,基本字段定义!$B$3:$C$3008,2,FALSE)</f>
        <v>684</v>
      </c>
      <c r="E1111" s="67" t="s">
        <v>337</v>
      </c>
      <c r="F1111" s="67"/>
      <c r="G1111" s="69" t="s">
        <v>777</v>
      </c>
    </row>
    <row r="1112" spans="2:7">
      <c r="B1112" s="269"/>
      <c r="C1112" s="65" t="s">
        <v>778</v>
      </c>
      <c r="D1112" s="66">
        <f>VLOOKUP(C1112,基本字段定义!$B$3:$C$3008,2,FALSE)</f>
        <v>682</v>
      </c>
      <c r="E1112" s="67" t="s">
        <v>537</v>
      </c>
      <c r="F1112" s="67"/>
      <c r="G1112" s="69" t="s">
        <v>779</v>
      </c>
    </row>
    <row r="1113" spans="2:7">
      <c r="B1113" s="269"/>
      <c r="C1113" s="65" t="s">
        <v>907</v>
      </c>
      <c r="D1113" s="66">
        <f>VLOOKUP(C1113,基本字段定义!$B$3:$C$3008,2,FALSE)</f>
        <v>750</v>
      </c>
      <c r="E1113" s="67" t="s">
        <v>339</v>
      </c>
      <c r="F1113" s="67"/>
      <c r="G1113" s="69" t="s">
        <v>908</v>
      </c>
    </row>
    <row r="1114" spans="2:7">
      <c r="B1114" s="269"/>
      <c r="C1114" s="65" t="s">
        <v>909</v>
      </c>
      <c r="D1114" s="66">
        <f>VLOOKUP(C1114,基本字段定义!$B$3:$C$3008,2,FALSE)</f>
        <v>751</v>
      </c>
      <c r="E1114" s="67" t="s">
        <v>339</v>
      </c>
      <c r="F1114" s="67"/>
      <c r="G1114" s="69" t="s">
        <v>910</v>
      </c>
    </row>
    <row r="1115" spans="2:7" ht="25.5">
      <c r="B1115" s="269"/>
      <c r="C1115" s="65" t="s">
        <v>911</v>
      </c>
      <c r="D1115" s="66">
        <f>VLOOKUP(C1115,基本字段定义!$B$3:$C$3008,2,FALSE)</f>
        <v>753</v>
      </c>
      <c r="E1115" s="67" t="s">
        <v>337</v>
      </c>
      <c r="F1115" s="67"/>
      <c r="G1115" s="70" t="s">
        <v>912</v>
      </c>
    </row>
    <row r="1116" spans="2:7">
      <c r="B1116" s="269"/>
      <c r="C1116" s="65" t="s">
        <v>635</v>
      </c>
      <c r="D1116" s="66">
        <f>VLOOKUP(C1116,基本字段定义!$B$3:$C$3008,2,FALSE)</f>
        <v>830</v>
      </c>
      <c r="E1116" s="67" t="s">
        <v>339</v>
      </c>
      <c r="F1116" s="67"/>
      <c r="G1116" s="69" t="s">
        <v>913</v>
      </c>
    </row>
    <row r="1117" spans="2:7">
      <c r="B1117" s="269"/>
      <c r="C1117" s="65" t="s">
        <v>914</v>
      </c>
      <c r="D1117" s="66">
        <f>VLOOKUP(C1117,基本字段定义!$B$3:$C$3008,2,FALSE)</f>
        <v>886</v>
      </c>
      <c r="E1117" s="67" t="s">
        <v>337</v>
      </c>
      <c r="F1117" s="67"/>
      <c r="G1117" s="69" t="s">
        <v>915</v>
      </c>
    </row>
    <row r="1118" spans="2:7">
      <c r="B1118" s="269"/>
      <c r="C1118" s="65" t="s">
        <v>681</v>
      </c>
      <c r="D1118" s="66">
        <f>VLOOKUP(C1118,基本字段定义!$B$3:$C$3008,2,FALSE)</f>
        <v>528</v>
      </c>
      <c r="E1118" s="67" t="s">
        <v>337</v>
      </c>
      <c r="F1118" s="67"/>
      <c r="G1118" s="69" t="s">
        <v>916</v>
      </c>
    </row>
    <row r="1119" spans="2:7">
      <c r="B1119" s="269"/>
      <c r="C1119" s="65" t="s">
        <v>683</v>
      </c>
      <c r="D1119" s="66">
        <f>VLOOKUP(C1119,基本字段定义!$B$3:$C$3008,2,FALSE)</f>
        <v>524</v>
      </c>
      <c r="E1119" s="67" t="s">
        <v>537</v>
      </c>
      <c r="F1119" s="67"/>
      <c r="G1119" s="69" t="s">
        <v>917</v>
      </c>
    </row>
    <row r="1120" spans="2:7">
      <c r="B1120" s="269"/>
      <c r="C1120" s="65" t="s">
        <v>918</v>
      </c>
      <c r="D1120" s="66">
        <f>VLOOKUP(C1120,基本字段定义!$B$3:$C$3008,2,FALSE)</f>
        <v>525</v>
      </c>
      <c r="E1120" s="67" t="s">
        <v>537</v>
      </c>
      <c r="F1120" s="67"/>
      <c r="G1120" s="69" t="s">
        <v>919</v>
      </c>
    </row>
    <row r="1121" spans="2:7">
      <c r="B1121" s="269"/>
      <c r="C1121" s="65" t="s">
        <v>524</v>
      </c>
      <c r="D1121" s="66">
        <f>VLOOKUP(C1121,基本字段定义!$B$3:$C$3008,2,FALSE)</f>
        <v>511</v>
      </c>
      <c r="E1121" s="67" t="s">
        <v>339</v>
      </c>
      <c r="F1121" s="67"/>
      <c r="G1121" s="69" t="s">
        <v>525</v>
      </c>
    </row>
    <row r="1122" spans="2:7">
      <c r="B1122" s="269"/>
      <c r="C1122" s="65" t="s">
        <v>920</v>
      </c>
      <c r="D1122" s="66">
        <f>VLOOKUP(C1122,基本字段定义!$B$3:$C$3008,2,FALSE)</f>
        <v>647</v>
      </c>
      <c r="E1122" s="67" t="s">
        <v>537</v>
      </c>
      <c r="F1122" s="67"/>
      <c r="G1122" s="69" t="s">
        <v>921</v>
      </c>
    </row>
    <row r="1123" spans="2:7">
      <c r="B1123" s="269"/>
      <c r="C1123" s="65" t="s">
        <v>922</v>
      </c>
      <c r="D1123" s="66">
        <f>VLOOKUP(C1123,基本字段定义!$B$3:$C$3008,2,FALSE)</f>
        <v>641</v>
      </c>
      <c r="E1123" s="67" t="s">
        <v>339</v>
      </c>
      <c r="F1123" s="67"/>
      <c r="G1123" s="69" t="s">
        <v>923</v>
      </c>
    </row>
    <row r="1124" spans="2:7">
      <c r="B1124" s="269"/>
      <c r="C1124" s="65" t="s">
        <v>876</v>
      </c>
      <c r="D1124" s="66">
        <f>VLOOKUP(C1124,基本字段定义!$B$3:$C$3008,2,FALSE)</f>
        <v>1017</v>
      </c>
      <c r="E1124" s="67" t="s">
        <v>339</v>
      </c>
      <c r="F1124" s="67"/>
      <c r="G1124" s="69" t="s">
        <v>877</v>
      </c>
    </row>
    <row r="1125" spans="2:7">
      <c r="B1125" s="270"/>
      <c r="C1125" s="71"/>
      <c r="D1125" s="79"/>
      <c r="E1125" s="73"/>
      <c r="F1125" s="73"/>
      <c r="G1125" s="74"/>
    </row>
    <row r="1127" spans="2:7">
      <c r="B1127" s="53" t="s">
        <v>146</v>
      </c>
      <c r="C1127" s="80">
        <v>304109</v>
      </c>
      <c r="D1127" s="81"/>
      <c r="E1127" s="82"/>
      <c r="F1127" s="54" t="s">
        <v>326</v>
      </c>
      <c r="G1127" s="55"/>
    </row>
    <row r="1128" spans="2:7">
      <c r="B1128" s="56" t="s">
        <v>327</v>
      </c>
      <c r="C1128" s="83" t="str">
        <f>VLOOKUP(C1127,功能索引!$C$3:$D$269,2,FALSE)</f>
        <v>客户实时成交查询</v>
      </c>
      <c r="D1128" s="84"/>
      <c r="E1128" s="85"/>
      <c r="F1128" s="57" t="s">
        <v>148</v>
      </c>
      <c r="G1128" s="58" t="str">
        <f>VLOOKUP(C1127,功能索引!$C$3:$E1553,3,FALSE)</f>
        <v>Y</v>
      </c>
    </row>
    <row r="1129" spans="2:7">
      <c r="B1129" s="269" t="s">
        <v>328</v>
      </c>
      <c r="C1129" s="95"/>
      <c r="D1129" s="96"/>
      <c r="E1129" s="96"/>
      <c r="F1129" s="96"/>
      <c r="G1129" s="97"/>
    </row>
    <row r="1130" spans="2:7">
      <c r="B1130" s="270"/>
      <c r="C1130" s="98"/>
      <c r="D1130" s="99"/>
      <c r="E1130" s="99"/>
      <c r="F1130" s="99"/>
      <c r="G1130" s="100"/>
    </row>
    <row r="1131" spans="2:7">
      <c r="B1131" s="271" t="s">
        <v>329</v>
      </c>
      <c r="C1131" s="54" t="s">
        <v>330</v>
      </c>
      <c r="D1131" s="54" t="s">
        <v>331</v>
      </c>
      <c r="E1131" s="54" t="s">
        <v>332</v>
      </c>
      <c r="F1131" s="54" t="s">
        <v>333</v>
      </c>
      <c r="G1131" s="60" t="s">
        <v>334</v>
      </c>
    </row>
    <row r="1132" spans="2:7">
      <c r="B1132" s="269"/>
      <c r="C1132" s="61" t="s">
        <v>402</v>
      </c>
      <c r="D1132" s="62">
        <f>VLOOKUP(C1132,基本字段定义!$B$3:$C$3008,2,FALSE)</f>
        <v>605</v>
      </c>
      <c r="E1132" s="63" t="s">
        <v>403</v>
      </c>
      <c r="F1132" s="63" t="s">
        <v>152</v>
      </c>
      <c r="G1132" s="64" t="s">
        <v>404</v>
      </c>
    </row>
    <row r="1133" spans="2:7">
      <c r="B1133" s="269"/>
      <c r="C1133" s="61" t="s">
        <v>405</v>
      </c>
      <c r="D1133" s="62">
        <f>VLOOKUP(C1133,基本字段定义!$B$3:$C$3008,2,FALSE)</f>
        <v>571</v>
      </c>
      <c r="E1133" s="63" t="s">
        <v>406</v>
      </c>
      <c r="F1133" s="63"/>
      <c r="G1133" s="64" t="s">
        <v>407</v>
      </c>
    </row>
    <row r="1134" spans="2:7">
      <c r="B1134" s="269"/>
      <c r="C1134" s="61" t="s">
        <v>361</v>
      </c>
      <c r="D1134" s="62">
        <f>VLOOKUP(C1134,基本字段定义!$B$3:$C$3008,2,FALSE)</f>
        <v>599</v>
      </c>
      <c r="E1134" s="63" t="s">
        <v>362</v>
      </c>
      <c r="F1134" s="63"/>
      <c r="G1134" s="64" t="s">
        <v>363</v>
      </c>
    </row>
    <row r="1135" spans="2:7">
      <c r="B1135" s="269"/>
      <c r="C1135" s="61" t="s">
        <v>640</v>
      </c>
      <c r="D1135" s="62">
        <f>VLOOKUP(C1135,基本字段定义!$B$3:$C$3008,2,FALSE)</f>
        <v>719</v>
      </c>
      <c r="E1135" s="63" t="s">
        <v>480</v>
      </c>
      <c r="F1135" s="63"/>
      <c r="G1135" s="64" t="s">
        <v>657</v>
      </c>
    </row>
    <row r="1136" spans="2:7">
      <c r="B1136" s="269"/>
      <c r="C1136" s="61" t="s">
        <v>559</v>
      </c>
      <c r="D1136" s="62">
        <f>VLOOKUP(C1136,基本字段定义!$B$3:$C$3008,2,FALSE)</f>
        <v>9020</v>
      </c>
      <c r="E1136" s="63" t="s">
        <v>337</v>
      </c>
      <c r="F1136" s="63"/>
      <c r="G1136" s="64" t="s">
        <v>928</v>
      </c>
    </row>
    <row r="1137" spans="2:7">
      <c r="B1137" s="269"/>
      <c r="C1137" s="61" t="s">
        <v>590</v>
      </c>
      <c r="D1137" s="62">
        <f>VLOOKUP(C1137,基本字段定义!$B$3:$C$3008,2,FALSE)</f>
        <v>9110</v>
      </c>
      <c r="E1137" s="63" t="s">
        <v>337</v>
      </c>
      <c r="F1137" s="63"/>
      <c r="G1137" s="64" t="s">
        <v>903</v>
      </c>
    </row>
    <row r="1138" spans="2:7">
      <c r="B1138" s="269"/>
      <c r="C1138" s="61" t="s">
        <v>588</v>
      </c>
      <c r="D1138" s="62">
        <f>VLOOKUP(C1138,基本字段定义!$B$3:$C$3008,2,FALSE)</f>
        <v>763</v>
      </c>
      <c r="E1138" s="63" t="s">
        <v>471</v>
      </c>
      <c r="F1138" s="63"/>
      <c r="G1138" s="64" t="s">
        <v>589</v>
      </c>
    </row>
    <row r="1139" spans="2:7">
      <c r="B1139" s="266" t="s">
        <v>335</v>
      </c>
      <c r="C1139" s="65" t="s">
        <v>588</v>
      </c>
      <c r="D1139" s="66">
        <f>VLOOKUP(C1139,基本字段定义!$B$3:$C$3008,2,FALSE)</f>
        <v>763</v>
      </c>
      <c r="E1139" s="67" t="s">
        <v>339</v>
      </c>
      <c r="F1139" s="67"/>
      <c r="G1139" s="69" t="s">
        <v>592</v>
      </c>
    </row>
    <row r="1140" spans="2:7">
      <c r="B1140" s="267"/>
      <c r="C1140" s="65" t="s">
        <v>361</v>
      </c>
      <c r="D1140" s="66">
        <f>VLOOKUP(C1140,基本字段定义!$B$3:$C$3008,2,FALSE)</f>
        <v>599</v>
      </c>
      <c r="E1140" s="67" t="s">
        <v>339</v>
      </c>
      <c r="F1140" s="67"/>
      <c r="G1140" s="69" t="s">
        <v>363</v>
      </c>
    </row>
    <row r="1141" spans="2:7">
      <c r="B1141" s="267"/>
      <c r="C1141" s="65" t="s">
        <v>405</v>
      </c>
      <c r="D1141" s="66">
        <f>VLOOKUP(C1141,基本字段定义!$B$3:$C$3008,2,FALSE)</f>
        <v>571</v>
      </c>
      <c r="E1141" s="67" t="s">
        <v>339</v>
      </c>
      <c r="F1141" s="67"/>
      <c r="G1141" s="69" t="s">
        <v>407</v>
      </c>
    </row>
    <row r="1142" spans="2:7">
      <c r="B1142" s="267"/>
      <c r="C1142" s="65" t="s">
        <v>882</v>
      </c>
      <c r="D1142" s="66">
        <f>VLOOKUP(C1142,基本字段定义!$B$3:$C$3008,2,FALSE)</f>
        <v>681</v>
      </c>
      <c r="E1142" s="67" t="s">
        <v>337</v>
      </c>
      <c r="F1142" s="67"/>
      <c r="G1142" s="69" t="s">
        <v>884</v>
      </c>
    </row>
    <row r="1143" spans="2:7">
      <c r="B1143" s="267"/>
      <c r="C1143" s="65" t="s">
        <v>925</v>
      </c>
      <c r="D1143" s="66">
        <f>VLOOKUP(C1143,基本字段定义!$B$3:$C$3008,2,FALSE)</f>
        <v>1011</v>
      </c>
      <c r="E1143" s="67" t="s">
        <v>339</v>
      </c>
      <c r="F1143" s="67"/>
      <c r="G1143" s="69" t="s">
        <v>929</v>
      </c>
    </row>
    <row r="1144" spans="2:7">
      <c r="B1144" s="267"/>
      <c r="C1144" s="65" t="s">
        <v>899</v>
      </c>
      <c r="D1144" s="66">
        <f>VLOOKUP(C1144,基本字段定义!$B$3:$C$3008,2,FALSE)</f>
        <v>755</v>
      </c>
      <c r="E1144" s="67" t="s">
        <v>339</v>
      </c>
      <c r="F1144" s="67"/>
      <c r="G1144" s="69" t="s">
        <v>930</v>
      </c>
    </row>
    <row r="1145" spans="2:7">
      <c r="B1145" s="267"/>
      <c r="C1145" s="65" t="s">
        <v>640</v>
      </c>
      <c r="D1145" s="66">
        <f>VLOOKUP(C1145,基本字段定义!$B$3:$C$3008,2,FALSE)</f>
        <v>719</v>
      </c>
      <c r="E1145" s="67" t="s">
        <v>339</v>
      </c>
      <c r="F1145" s="67"/>
      <c r="G1145" s="69" t="s">
        <v>657</v>
      </c>
    </row>
    <row r="1146" spans="2:7">
      <c r="B1146" s="267"/>
      <c r="C1146" s="65" t="s">
        <v>659</v>
      </c>
      <c r="D1146" s="66">
        <f>VLOOKUP(C1146,基本字段定义!$B$3:$C$3008,2,FALSE)</f>
        <v>722</v>
      </c>
      <c r="E1146" s="67" t="s">
        <v>339</v>
      </c>
      <c r="F1146" s="67"/>
      <c r="G1146" s="69" t="s">
        <v>660</v>
      </c>
    </row>
    <row r="1147" spans="2:7">
      <c r="B1147" s="267"/>
      <c r="C1147" s="65" t="s">
        <v>772</v>
      </c>
      <c r="D1147" s="66">
        <f>VLOOKUP(C1147,基本字段定义!$B$3:$C$3008,2,FALSE)</f>
        <v>683</v>
      </c>
      <c r="E1147" s="67" t="s">
        <v>337</v>
      </c>
      <c r="F1147" s="67"/>
      <c r="G1147" s="69" t="s">
        <v>896</v>
      </c>
    </row>
    <row r="1148" spans="2:7">
      <c r="B1148" s="267"/>
      <c r="C1148" s="65" t="s">
        <v>681</v>
      </c>
      <c r="D1148" s="66">
        <f>VLOOKUP(C1148,基本字段定义!$B$3:$C$3008,2,FALSE)</f>
        <v>528</v>
      </c>
      <c r="E1148" s="67" t="s">
        <v>337</v>
      </c>
      <c r="F1148" s="67"/>
      <c r="G1148" s="69" t="s">
        <v>916</v>
      </c>
    </row>
    <row r="1149" spans="2:7">
      <c r="B1149" s="267"/>
      <c r="C1149" s="65" t="s">
        <v>918</v>
      </c>
      <c r="D1149" s="66">
        <f>VLOOKUP(C1149,基本字段定义!$B$3:$C$3008,2,FALSE)</f>
        <v>525</v>
      </c>
      <c r="E1149" s="67" t="s">
        <v>537</v>
      </c>
      <c r="F1149" s="67"/>
      <c r="G1149" s="69" t="s">
        <v>931</v>
      </c>
    </row>
    <row r="1150" spans="2:7">
      <c r="B1150" s="267"/>
      <c r="C1150" s="65" t="s">
        <v>683</v>
      </c>
      <c r="D1150" s="66">
        <f>VLOOKUP(C1150,基本字段定义!$B$3:$C$3008,2,FALSE)</f>
        <v>524</v>
      </c>
      <c r="E1150" s="67" t="s">
        <v>537</v>
      </c>
      <c r="F1150" s="67"/>
      <c r="G1150" s="69" t="s">
        <v>917</v>
      </c>
    </row>
    <row r="1151" spans="2:7">
      <c r="B1151" s="268"/>
      <c r="C1151" s="71"/>
      <c r="D1151" s="79"/>
      <c r="E1151" s="73"/>
      <c r="F1151" s="73"/>
      <c r="G1151" s="74"/>
    </row>
    <row r="1153" spans="2:7">
      <c r="B1153" s="53" t="s">
        <v>146</v>
      </c>
      <c r="C1153" s="80">
        <v>304110</v>
      </c>
      <c r="D1153" s="81"/>
      <c r="E1153" s="82"/>
      <c r="F1153" s="54" t="s">
        <v>326</v>
      </c>
      <c r="G1153" s="55"/>
    </row>
    <row r="1154" spans="2:7">
      <c r="B1154" s="56" t="s">
        <v>327</v>
      </c>
      <c r="C1154" s="83" t="str">
        <f>VLOOKUP(C1153,功能索引!$C$3:$D$269,2,FALSE)</f>
        <v>客户分笔成交查询</v>
      </c>
      <c r="D1154" s="84"/>
      <c r="E1154" s="85"/>
      <c r="F1154" s="57" t="s">
        <v>148</v>
      </c>
      <c r="G1154" s="58" t="str">
        <f>VLOOKUP(C1153,功能索引!$C$3:$E1587,3,FALSE)</f>
        <v>Y</v>
      </c>
    </row>
    <row r="1155" spans="2:7">
      <c r="B1155" s="269" t="s">
        <v>328</v>
      </c>
      <c r="C1155" s="95"/>
      <c r="D1155" s="96"/>
      <c r="E1155" s="96"/>
      <c r="F1155" s="96"/>
      <c r="G1155" s="97"/>
    </row>
    <row r="1156" spans="2:7">
      <c r="B1156" s="270"/>
      <c r="C1156" s="98"/>
      <c r="D1156" s="99"/>
      <c r="E1156" s="99"/>
      <c r="F1156" s="99"/>
      <c r="G1156" s="100"/>
    </row>
    <row r="1157" spans="2:7">
      <c r="B1157" s="271" t="s">
        <v>329</v>
      </c>
      <c r="C1157" s="54" t="s">
        <v>330</v>
      </c>
      <c r="D1157" s="54" t="s">
        <v>331</v>
      </c>
      <c r="E1157" s="54" t="s">
        <v>332</v>
      </c>
      <c r="F1157" s="54" t="s">
        <v>333</v>
      </c>
      <c r="G1157" s="60" t="s">
        <v>334</v>
      </c>
    </row>
    <row r="1158" spans="2:7">
      <c r="B1158" s="269"/>
      <c r="C1158" s="61" t="s">
        <v>402</v>
      </c>
      <c r="D1158" s="62">
        <f>VLOOKUP(C1158,基本字段定义!$B$3:$C$3008,2,FALSE)</f>
        <v>605</v>
      </c>
      <c r="E1158" s="63" t="s">
        <v>403</v>
      </c>
      <c r="F1158" s="63" t="s">
        <v>152</v>
      </c>
      <c r="G1158" s="64" t="s">
        <v>404</v>
      </c>
    </row>
    <row r="1159" spans="2:7">
      <c r="B1159" s="269"/>
      <c r="C1159" s="61" t="s">
        <v>894</v>
      </c>
      <c r="D1159" s="62">
        <f>VLOOKUP(C1159,基本字段定义!$B$3:$C$3008,2,FALSE)</f>
        <v>705</v>
      </c>
      <c r="E1159" s="63" t="s">
        <v>471</v>
      </c>
      <c r="F1159" s="63" t="s">
        <v>152</v>
      </c>
      <c r="G1159" s="64" t="s">
        <v>932</v>
      </c>
    </row>
    <row r="1160" spans="2:7">
      <c r="B1160" s="269"/>
      <c r="C1160" s="61" t="s">
        <v>590</v>
      </c>
      <c r="D1160" s="62">
        <f>VLOOKUP(C1160,基本字段定义!$B$3:$C$3008,2,FALSE)</f>
        <v>9110</v>
      </c>
      <c r="E1160" s="63" t="s">
        <v>337</v>
      </c>
      <c r="F1160" s="63"/>
      <c r="G1160" s="64" t="s">
        <v>903</v>
      </c>
    </row>
    <row r="1161" spans="2:7">
      <c r="B1161" s="269"/>
      <c r="C1161" s="61" t="s">
        <v>588</v>
      </c>
      <c r="D1161" s="62">
        <f>VLOOKUP(C1161,基本字段定义!$B$3:$C$3008,2,FALSE)</f>
        <v>763</v>
      </c>
      <c r="E1161" s="63" t="s">
        <v>471</v>
      </c>
      <c r="F1161" s="63"/>
      <c r="G1161" s="64" t="s">
        <v>933</v>
      </c>
    </row>
    <row r="1162" spans="2:7">
      <c r="B1162" s="269" t="s">
        <v>335</v>
      </c>
      <c r="C1162" s="65" t="s">
        <v>588</v>
      </c>
      <c r="D1162" s="66">
        <f>VLOOKUP(C1162,基本字段定义!$B$3:$C$3008,2,FALSE)</f>
        <v>763</v>
      </c>
      <c r="E1162" s="67" t="s">
        <v>339</v>
      </c>
      <c r="F1162" s="67"/>
      <c r="G1162" s="68" t="s">
        <v>592</v>
      </c>
    </row>
    <row r="1163" spans="2:7">
      <c r="B1163" s="269"/>
      <c r="C1163" s="65" t="s">
        <v>361</v>
      </c>
      <c r="D1163" s="66">
        <f>VLOOKUP(C1163,基本字段定义!$B$3:$C$3008,2,FALSE)</f>
        <v>599</v>
      </c>
      <c r="E1163" s="67" t="s">
        <v>339</v>
      </c>
      <c r="F1163" s="67"/>
      <c r="G1163" s="69" t="s">
        <v>363</v>
      </c>
    </row>
    <row r="1164" spans="2:7">
      <c r="B1164" s="269"/>
      <c r="C1164" s="65" t="s">
        <v>405</v>
      </c>
      <c r="D1164" s="66">
        <f>VLOOKUP(C1164,基本字段定义!$B$3:$C$3008,2,FALSE)</f>
        <v>571</v>
      </c>
      <c r="E1164" s="67" t="s">
        <v>339</v>
      </c>
      <c r="F1164" s="67"/>
      <c r="G1164" s="69" t="s">
        <v>407</v>
      </c>
    </row>
    <row r="1165" spans="2:7">
      <c r="B1165" s="269"/>
      <c r="C1165" s="65" t="s">
        <v>882</v>
      </c>
      <c r="D1165" s="66">
        <f>VLOOKUP(C1165,基本字段定义!$B$3:$C$3008,2,FALSE)</f>
        <v>681</v>
      </c>
      <c r="E1165" s="67" t="s">
        <v>337</v>
      </c>
      <c r="F1165" s="67"/>
      <c r="G1165" s="69" t="s">
        <v>884</v>
      </c>
    </row>
    <row r="1166" spans="2:7">
      <c r="B1166" s="269"/>
      <c r="C1166" s="65" t="s">
        <v>925</v>
      </c>
      <c r="D1166" s="66">
        <f>VLOOKUP(C1166,基本字段定义!$B$3:$C$3008,2,FALSE)</f>
        <v>1011</v>
      </c>
      <c r="E1166" s="67" t="s">
        <v>339</v>
      </c>
      <c r="F1166" s="67"/>
      <c r="G1166" s="69" t="s">
        <v>929</v>
      </c>
    </row>
    <row r="1167" spans="2:7">
      <c r="B1167" s="269"/>
      <c r="C1167" s="65" t="s">
        <v>899</v>
      </c>
      <c r="D1167" s="66">
        <f>VLOOKUP(C1167,基本字段定义!$B$3:$C$3008,2,FALSE)</f>
        <v>755</v>
      </c>
      <c r="E1167" s="67" t="s">
        <v>339</v>
      </c>
      <c r="F1167" s="67"/>
      <c r="G1167" s="69" t="s">
        <v>930</v>
      </c>
    </row>
    <row r="1168" spans="2:7">
      <c r="B1168" s="269"/>
      <c r="C1168" s="65" t="s">
        <v>640</v>
      </c>
      <c r="D1168" s="66">
        <f>VLOOKUP(C1168,基本字段定义!$B$3:$C$3008,2,FALSE)</f>
        <v>719</v>
      </c>
      <c r="E1168" s="67" t="s">
        <v>339</v>
      </c>
      <c r="F1168" s="67"/>
      <c r="G1168" s="69" t="s">
        <v>657</v>
      </c>
    </row>
    <row r="1169" spans="2:7">
      <c r="B1169" s="269"/>
      <c r="C1169" s="65" t="s">
        <v>659</v>
      </c>
      <c r="D1169" s="66">
        <f>VLOOKUP(C1169,基本字段定义!$B$3:$C$3008,2,FALSE)</f>
        <v>722</v>
      </c>
      <c r="E1169" s="67" t="s">
        <v>339</v>
      </c>
      <c r="F1169" s="67"/>
      <c r="G1169" s="69" t="s">
        <v>660</v>
      </c>
    </row>
    <row r="1170" spans="2:7">
      <c r="B1170" s="269"/>
      <c r="C1170" s="65" t="s">
        <v>772</v>
      </c>
      <c r="D1170" s="66">
        <f>VLOOKUP(C1170,基本字段定义!$B$3:$C$3008,2,FALSE)</f>
        <v>683</v>
      </c>
      <c r="E1170" s="67" t="s">
        <v>337</v>
      </c>
      <c r="F1170" s="67"/>
      <c r="G1170" s="69" t="s">
        <v>896</v>
      </c>
    </row>
    <row r="1171" spans="2:7">
      <c r="B1171" s="269"/>
      <c r="C1171" s="65" t="s">
        <v>681</v>
      </c>
      <c r="D1171" s="66">
        <f>VLOOKUP(C1171,基本字段定义!$B$3:$C$3008,2,FALSE)</f>
        <v>528</v>
      </c>
      <c r="E1171" s="67" t="s">
        <v>337</v>
      </c>
      <c r="F1171" s="67"/>
      <c r="G1171" s="69" t="s">
        <v>916</v>
      </c>
    </row>
    <row r="1172" spans="2:7">
      <c r="B1172" s="269"/>
      <c r="C1172" s="65" t="s">
        <v>918</v>
      </c>
      <c r="D1172" s="66">
        <f>VLOOKUP(C1172,基本字段定义!$B$3:$C$3008,2,FALSE)</f>
        <v>525</v>
      </c>
      <c r="E1172" s="67" t="s">
        <v>537</v>
      </c>
      <c r="F1172" s="67"/>
      <c r="G1172" s="69" t="s">
        <v>931</v>
      </c>
    </row>
    <row r="1173" spans="2:7">
      <c r="B1173" s="269"/>
      <c r="C1173" s="65" t="s">
        <v>683</v>
      </c>
      <c r="D1173" s="66">
        <f>VLOOKUP(C1173,基本字段定义!$B$3:$C$3008,2,FALSE)</f>
        <v>524</v>
      </c>
      <c r="E1173" s="67" t="s">
        <v>537</v>
      </c>
      <c r="F1173" s="67"/>
      <c r="G1173" s="69" t="s">
        <v>917</v>
      </c>
    </row>
    <row r="1174" spans="2:7">
      <c r="B1174" s="269"/>
      <c r="C1174" s="65" t="s">
        <v>934</v>
      </c>
      <c r="D1174" s="66">
        <f>VLOOKUP(C1174,基本字段定义!$B$3:$C$3008,2,FALSE)</f>
        <v>646</v>
      </c>
      <c r="E1174" s="67" t="s">
        <v>537</v>
      </c>
      <c r="F1174" s="67"/>
      <c r="G1174" s="69" t="s">
        <v>935</v>
      </c>
    </row>
    <row r="1175" spans="2:7">
      <c r="B1175" s="269"/>
      <c r="C1175" s="65" t="s">
        <v>936</v>
      </c>
      <c r="D1175" s="66">
        <f>VLOOKUP(C1175,基本字段定义!$B$3:$C$3008,2,FALSE)</f>
        <v>527</v>
      </c>
      <c r="E1175" s="67" t="s">
        <v>339</v>
      </c>
      <c r="F1175" s="67"/>
      <c r="G1175" s="69" t="s">
        <v>937</v>
      </c>
    </row>
    <row r="1176" spans="2:7">
      <c r="B1176" s="269"/>
      <c r="C1176" s="65" t="s">
        <v>524</v>
      </c>
      <c r="D1176" s="66">
        <f>VLOOKUP(C1176,基本字段定义!$B$3:$C$3008,2,FALSE)</f>
        <v>511</v>
      </c>
      <c r="E1176" s="67" t="s">
        <v>339</v>
      </c>
      <c r="F1176" s="67"/>
      <c r="G1176" s="69" t="s">
        <v>525</v>
      </c>
    </row>
    <row r="1177" spans="2:7">
      <c r="B1177" s="269"/>
      <c r="C1177" s="65" t="s">
        <v>869</v>
      </c>
      <c r="D1177" s="66">
        <f>VLOOKUP(C1177,基本字段定义!$B$3:$C$3008,2,FALSE)</f>
        <v>522</v>
      </c>
      <c r="E1177" s="67" t="s">
        <v>339</v>
      </c>
      <c r="F1177" s="67"/>
      <c r="G1177" s="69" t="s">
        <v>938</v>
      </c>
    </row>
    <row r="1178" spans="2:7">
      <c r="B1178" s="270"/>
      <c r="C1178" s="71"/>
      <c r="D1178" s="79"/>
      <c r="E1178" s="73"/>
      <c r="F1178" s="73"/>
      <c r="G1178" s="74"/>
    </row>
    <row r="1180" spans="2:7">
      <c r="B1180" s="53" t="s">
        <v>146</v>
      </c>
      <c r="C1180" s="80">
        <v>304111</v>
      </c>
      <c r="D1180" s="81"/>
      <c r="E1180" s="82"/>
      <c r="F1180" s="54" t="s">
        <v>326</v>
      </c>
      <c r="G1180" s="55"/>
    </row>
    <row r="1181" spans="2:7">
      <c r="B1181" s="56" t="s">
        <v>327</v>
      </c>
      <c r="C1181" s="83" t="str">
        <f>VLOOKUP(C1180,功能索引!$C$3:$D$269,2,FALSE)</f>
        <v>客户实时成交汇总查询</v>
      </c>
      <c r="D1181" s="84"/>
      <c r="E1181" s="85"/>
      <c r="F1181" s="57" t="s">
        <v>148</v>
      </c>
      <c r="G1181" s="58" t="str">
        <f>VLOOKUP(C1180,功能索引!$C$3:$E1626,3,FALSE)</f>
        <v>Y</v>
      </c>
    </row>
    <row r="1182" spans="2:7">
      <c r="B1182" s="269" t="s">
        <v>328</v>
      </c>
      <c r="C1182" s="95"/>
      <c r="D1182" s="96"/>
      <c r="E1182" s="96"/>
      <c r="F1182" s="96"/>
      <c r="G1182" s="97"/>
    </row>
    <row r="1183" spans="2:7">
      <c r="B1183" s="270"/>
      <c r="C1183" s="98"/>
      <c r="D1183" s="99"/>
      <c r="E1183" s="99"/>
      <c r="F1183" s="99"/>
      <c r="G1183" s="100"/>
    </row>
    <row r="1184" spans="2:7">
      <c r="B1184" s="271" t="s">
        <v>329</v>
      </c>
      <c r="C1184" s="54" t="s">
        <v>330</v>
      </c>
      <c r="D1184" s="54" t="s">
        <v>331</v>
      </c>
      <c r="E1184" s="54" t="s">
        <v>332</v>
      </c>
      <c r="F1184" s="54" t="s">
        <v>333</v>
      </c>
      <c r="G1184" s="60" t="s">
        <v>334</v>
      </c>
    </row>
    <row r="1185" spans="2:7">
      <c r="B1185" s="269"/>
      <c r="C1185" s="61" t="s">
        <v>402</v>
      </c>
      <c r="D1185" s="62">
        <f>VLOOKUP(C1185,基本字段定义!$B$3:$C$3008,2,FALSE)</f>
        <v>605</v>
      </c>
      <c r="E1185" s="63" t="s">
        <v>403</v>
      </c>
      <c r="F1185" s="63" t="s">
        <v>152</v>
      </c>
      <c r="G1185" s="64" t="s">
        <v>404</v>
      </c>
    </row>
    <row r="1186" spans="2:7">
      <c r="B1186" s="269"/>
      <c r="C1186" s="61" t="s">
        <v>361</v>
      </c>
      <c r="D1186" s="62">
        <f>VLOOKUP(C1186,基本字段定义!$B$3:$C$3008,2,FALSE)</f>
        <v>599</v>
      </c>
      <c r="E1186" s="63" t="s">
        <v>362</v>
      </c>
      <c r="F1186" s="63"/>
      <c r="G1186" s="64" t="s">
        <v>363</v>
      </c>
    </row>
    <row r="1187" spans="2:7">
      <c r="B1187" s="269"/>
      <c r="C1187" s="61" t="s">
        <v>640</v>
      </c>
      <c r="D1187" s="62">
        <f>VLOOKUP(C1187,基本字段定义!$B$3:$C$3008,2,FALSE)</f>
        <v>719</v>
      </c>
      <c r="E1187" s="63" t="s">
        <v>480</v>
      </c>
      <c r="F1187" s="63"/>
      <c r="G1187" s="64" t="s">
        <v>657</v>
      </c>
    </row>
    <row r="1188" spans="2:7">
      <c r="B1188" s="269"/>
      <c r="C1188" s="61" t="s">
        <v>524</v>
      </c>
      <c r="D1188" s="62">
        <f>VLOOKUP(C1188,基本字段定义!$B$3:$C$3008,2,FALSE)</f>
        <v>511</v>
      </c>
      <c r="E1188" s="63" t="s">
        <v>527</v>
      </c>
      <c r="F1188" s="63"/>
      <c r="G1188" s="64" t="s">
        <v>525</v>
      </c>
    </row>
    <row r="1189" spans="2:7">
      <c r="B1189" s="269"/>
      <c r="C1189" s="61" t="s">
        <v>559</v>
      </c>
      <c r="D1189" s="62">
        <f>VLOOKUP(C1189,基本字段定义!$B$3:$C$3008,2,FALSE)</f>
        <v>9020</v>
      </c>
      <c r="E1189" s="63" t="s">
        <v>337</v>
      </c>
      <c r="F1189" s="63"/>
      <c r="G1189" s="64" t="s">
        <v>939</v>
      </c>
    </row>
    <row r="1190" spans="2:7">
      <c r="B1190" s="269" t="s">
        <v>335</v>
      </c>
      <c r="C1190" s="65" t="s">
        <v>361</v>
      </c>
      <c r="D1190" s="66">
        <f>VLOOKUP(C1190,基本字段定义!$B$3:$C$3008,2,FALSE)</f>
        <v>599</v>
      </c>
      <c r="E1190" s="67" t="s">
        <v>339</v>
      </c>
      <c r="F1190" s="67"/>
      <c r="G1190" s="69" t="s">
        <v>363</v>
      </c>
    </row>
    <row r="1191" spans="2:7">
      <c r="B1191" s="269"/>
      <c r="C1191" s="65" t="s">
        <v>640</v>
      </c>
      <c r="D1191" s="66">
        <f>VLOOKUP(C1191,基本字段定义!$B$3:$C$3008,2,FALSE)</f>
        <v>719</v>
      </c>
      <c r="E1191" s="67" t="s">
        <v>339</v>
      </c>
      <c r="F1191" s="67"/>
      <c r="G1191" s="69" t="s">
        <v>657</v>
      </c>
    </row>
    <row r="1192" spans="2:7">
      <c r="B1192" s="269"/>
      <c r="C1192" s="65" t="s">
        <v>524</v>
      </c>
      <c r="D1192" s="66">
        <f>VLOOKUP(C1192,基本字段定义!$B$3:$C$3008,2,FALSE)</f>
        <v>511</v>
      </c>
      <c r="E1192" s="67" t="s">
        <v>339</v>
      </c>
      <c r="F1192" s="67"/>
      <c r="G1192" s="69" t="s">
        <v>525</v>
      </c>
    </row>
    <row r="1193" spans="2:7">
      <c r="B1193" s="269"/>
      <c r="C1193" s="65" t="s">
        <v>772</v>
      </c>
      <c r="D1193" s="66">
        <f>VLOOKUP(C1193,基本字段定义!$B$3:$C$3008,2,FALSE)</f>
        <v>683</v>
      </c>
      <c r="E1193" s="67" t="s">
        <v>337</v>
      </c>
      <c r="F1193" s="67"/>
      <c r="G1193" s="69" t="s">
        <v>896</v>
      </c>
    </row>
    <row r="1194" spans="2:7">
      <c r="B1194" s="269"/>
      <c r="C1194" s="65" t="s">
        <v>681</v>
      </c>
      <c r="D1194" s="66">
        <f>VLOOKUP(C1194,基本字段定义!$B$3:$C$3008,2,FALSE)</f>
        <v>528</v>
      </c>
      <c r="E1194" s="67" t="s">
        <v>337</v>
      </c>
      <c r="F1194" s="67"/>
      <c r="G1194" s="69" t="s">
        <v>916</v>
      </c>
    </row>
    <row r="1195" spans="2:7">
      <c r="B1195" s="269"/>
      <c r="C1195" s="65" t="s">
        <v>683</v>
      </c>
      <c r="D1195" s="66">
        <f>VLOOKUP(C1195,基本字段定义!$B$3:$C$3008,2,FALSE)</f>
        <v>524</v>
      </c>
      <c r="E1195" s="67" t="s">
        <v>537</v>
      </c>
      <c r="F1195" s="67"/>
      <c r="G1195" s="69" t="s">
        <v>917</v>
      </c>
    </row>
    <row r="1196" spans="2:7">
      <c r="B1196" s="269"/>
      <c r="C1196" s="65" t="s">
        <v>934</v>
      </c>
      <c r="D1196" s="66">
        <f>VLOOKUP(C1196,基本字段定义!$B$3:$C$3008,2,FALSE)</f>
        <v>646</v>
      </c>
      <c r="E1196" s="67" t="s">
        <v>537</v>
      </c>
      <c r="F1196" s="67"/>
      <c r="G1196" s="69" t="s">
        <v>935</v>
      </c>
    </row>
    <row r="1197" spans="2:7">
      <c r="B1197" s="270"/>
      <c r="C1197" s="71"/>
      <c r="D1197" s="79"/>
      <c r="E1197" s="73"/>
      <c r="F1197" s="73"/>
      <c r="G1197" s="74"/>
    </row>
    <row r="1199" spans="2:7">
      <c r="B1199" s="53" t="s">
        <v>146</v>
      </c>
      <c r="C1199" s="80">
        <v>304104</v>
      </c>
      <c r="D1199" s="81"/>
      <c r="E1199" s="82"/>
      <c r="F1199" s="54" t="s">
        <v>326</v>
      </c>
      <c r="G1199" s="55">
        <v>20120425</v>
      </c>
    </row>
    <row r="1200" spans="2:7">
      <c r="B1200" s="56" t="s">
        <v>327</v>
      </c>
      <c r="C1200" s="83" t="str">
        <f>VLOOKUP(C1199,功能索引!$C$3:$D$269,2,FALSE)</f>
        <v>待购回数据查询</v>
      </c>
      <c r="D1200" s="84"/>
      <c r="E1200" s="85"/>
      <c r="F1200" s="57" t="s">
        <v>148</v>
      </c>
      <c r="G1200" s="58" t="str">
        <f>VLOOKUP(C1199,功能索引!$C$3:$E1625,3,FALSE)</f>
        <v>Y</v>
      </c>
    </row>
    <row r="1201" spans="2:7">
      <c r="B1201" s="269" t="s">
        <v>328</v>
      </c>
      <c r="C1201" s="95"/>
      <c r="D1201" s="96"/>
      <c r="E1201" s="96"/>
      <c r="F1201" s="96"/>
      <c r="G1201" s="97"/>
    </row>
    <row r="1202" spans="2:7">
      <c r="B1202" s="270"/>
      <c r="C1202" s="98"/>
      <c r="D1202" s="99"/>
      <c r="E1202" s="99"/>
      <c r="F1202" s="99"/>
      <c r="G1202" s="100"/>
    </row>
    <row r="1203" spans="2:7">
      <c r="B1203" s="271" t="s">
        <v>329</v>
      </c>
      <c r="C1203" s="54" t="s">
        <v>330</v>
      </c>
      <c r="D1203" s="54" t="s">
        <v>331</v>
      </c>
      <c r="E1203" s="54" t="s">
        <v>332</v>
      </c>
      <c r="F1203" s="54" t="s">
        <v>333</v>
      </c>
      <c r="G1203" s="60" t="s">
        <v>334</v>
      </c>
    </row>
    <row r="1204" spans="2:7">
      <c r="B1204" s="269"/>
      <c r="C1204" s="61" t="s">
        <v>402</v>
      </c>
      <c r="D1204" s="62">
        <f>VLOOKUP(C1204,基本字段定义!$B$3:$C$3008,2,FALSE)</f>
        <v>605</v>
      </c>
      <c r="E1204" s="63" t="s">
        <v>403</v>
      </c>
      <c r="F1204" s="63" t="s">
        <v>152</v>
      </c>
      <c r="G1204" s="64" t="s">
        <v>404</v>
      </c>
    </row>
    <row r="1205" spans="2:7">
      <c r="B1205" s="266" t="s">
        <v>335</v>
      </c>
      <c r="C1205" s="65" t="s">
        <v>361</v>
      </c>
      <c r="D1205" s="66">
        <f>VLOOKUP(C1205,基本字段定义!$B$3:$C$3008,2,FALSE)</f>
        <v>599</v>
      </c>
      <c r="E1205" s="67" t="s">
        <v>339</v>
      </c>
      <c r="F1205" s="67"/>
      <c r="G1205" s="69" t="s">
        <v>363</v>
      </c>
    </row>
    <row r="1206" spans="2:7">
      <c r="B1206" s="267"/>
      <c r="C1206" s="65" t="s">
        <v>405</v>
      </c>
      <c r="D1206" s="66">
        <f>VLOOKUP(C1206,基本字段定义!$B$3:$C$3008,2,FALSE)</f>
        <v>571</v>
      </c>
      <c r="E1206" s="67" t="s">
        <v>339</v>
      </c>
      <c r="F1206" s="67"/>
      <c r="G1206" s="69" t="s">
        <v>407</v>
      </c>
    </row>
    <row r="1207" spans="2:7">
      <c r="B1207" s="267"/>
      <c r="C1207" s="65" t="s">
        <v>733</v>
      </c>
      <c r="D1207" s="66">
        <f>VLOOKUP(C1207,基本字段定义!$B$3:$C$3008,2,FALSE)</f>
        <v>526</v>
      </c>
      <c r="E1207" s="67" t="s">
        <v>337</v>
      </c>
      <c r="F1207" s="67"/>
      <c r="G1207" s="69" t="s">
        <v>940</v>
      </c>
    </row>
    <row r="1208" spans="2:7">
      <c r="B1208" s="267"/>
      <c r="C1208" s="65" t="s">
        <v>486</v>
      </c>
      <c r="D1208" s="66">
        <f>VLOOKUP(C1208,基本字段定义!$B$3:$C$3008,2,FALSE)</f>
        <v>590</v>
      </c>
      <c r="E1208" s="67" t="s">
        <v>337</v>
      </c>
      <c r="F1208" s="67"/>
      <c r="G1208" s="69" t="s">
        <v>941</v>
      </c>
    </row>
    <row r="1209" spans="2:7">
      <c r="B1209" s="267"/>
      <c r="C1209" s="65" t="s">
        <v>882</v>
      </c>
      <c r="D1209" s="66">
        <f>VLOOKUP(C1209,基本字段定义!$B$3:$C$3008,2,FALSE)</f>
        <v>681</v>
      </c>
      <c r="E1209" s="67" t="s">
        <v>337</v>
      </c>
      <c r="F1209" s="67"/>
      <c r="G1209" s="69" t="s">
        <v>884</v>
      </c>
    </row>
    <row r="1210" spans="2:7">
      <c r="B1210" s="267"/>
      <c r="C1210" s="65" t="s">
        <v>640</v>
      </c>
      <c r="D1210" s="66">
        <f>VLOOKUP(C1210,基本字段定义!$B$3:$C$3008,2,FALSE)</f>
        <v>719</v>
      </c>
      <c r="E1210" s="67" t="s">
        <v>339</v>
      </c>
      <c r="F1210" s="67"/>
      <c r="G1210" s="69" t="s">
        <v>657</v>
      </c>
    </row>
    <row r="1211" spans="2:7">
      <c r="B1211" s="267"/>
      <c r="C1211" s="65" t="s">
        <v>659</v>
      </c>
      <c r="D1211" s="66">
        <f>VLOOKUP(C1211,基本字段定义!$B$3:$C$3008,2,FALSE)</f>
        <v>722</v>
      </c>
      <c r="E1211" s="67" t="s">
        <v>339</v>
      </c>
      <c r="F1211" s="67"/>
      <c r="G1211" s="69" t="s">
        <v>660</v>
      </c>
    </row>
    <row r="1212" spans="2:7">
      <c r="B1212" s="267"/>
      <c r="C1212" s="65" t="s">
        <v>727</v>
      </c>
      <c r="D1212" s="66">
        <f>VLOOKUP(C1212,基本字段定义!$B$3:$C$3008,2,FALSE)</f>
        <v>720</v>
      </c>
      <c r="E1212" s="67" t="s">
        <v>339</v>
      </c>
      <c r="F1212" s="67"/>
      <c r="G1212" s="111" t="s">
        <v>942</v>
      </c>
    </row>
    <row r="1213" spans="2:7">
      <c r="B1213" s="267"/>
      <c r="C1213" s="65" t="s">
        <v>772</v>
      </c>
      <c r="D1213" s="66">
        <f>VLOOKUP(C1213,基本字段定义!$B$3:$C$3008,2,FALSE)</f>
        <v>683</v>
      </c>
      <c r="E1213" s="67" t="s">
        <v>337</v>
      </c>
      <c r="F1213" s="67"/>
      <c r="G1213" s="69" t="s">
        <v>943</v>
      </c>
    </row>
    <row r="1214" spans="2:7">
      <c r="B1214" s="267"/>
      <c r="C1214" s="65" t="s">
        <v>681</v>
      </c>
      <c r="D1214" s="66">
        <f>VLOOKUP(C1214,基本字段定义!$B$3:$C$3008,2,FALSE)</f>
        <v>528</v>
      </c>
      <c r="E1214" s="67" t="s">
        <v>337</v>
      </c>
      <c r="F1214" s="67"/>
      <c r="G1214" s="69" t="s">
        <v>916</v>
      </c>
    </row>
    <row r="1215" spans="2:7">
      <c r="B1215" s="267"/>
      <c r="C1215" s="65" t="s">
        <v>918</v>
      </c>
      <c r="D1215" s="66">
        <f>VLOOKUP(C1215,基本字段定义!$B$3:$C$3008,2,FALSE)</f>
        <v>525</v>
      </c>
      <c r="E1215" s="67" t="s">
        <v>537</v>
      </c>
      <c r="F1215" s="67"/>
      <c r="G1215" s="69" t="s">
        <v>931</v>
      </c>
    </row>
    <row r="1216" spans="2:7">
      <c r="B1216" s="267"/>
      <c r="C1216" s="65" t="s">
        <v>683</v>
      </c>
      <c r="D1216" s="66">
        <f>VLOOKUP(C1216,基本字段定义!$B$3:$C$3008,2,FALSE)</f>
        <v>524</v>
      </c>
      <c r="E1216" s="67" t="s">
        <v>537</v>
      </c>
      <c r="F1216" s="67"/>
      <c r="G1216" s="69" t="s">
        <v>917</v>
      </c>
    </row>
    <row r="1217" spans="2:7">
      <c r="B1217" s="267"/>
      <c r="C1217" s="65" t="s">
        <v>869</v>
      </c>
      <c r="D1217" s="66">
        <f>VLOOKUP(C1217,基本字段定义!$B$3:$C$3008,2,FALSE)</f>
        <v>522</v>
      </c>
      <c r="E1217" s="67" t="s">
        <v>339</v>
      </c>
      <c r="F1217" s="67"/>
      <c r="G1217" s="69" t="s">
        <v>938</v>
      </c>
    </row>
    <row r="1218" spans="2:7">
      <c r="B1218" s="267"/>
      <c r="C1218" s="87" t="s">
        <v>944</v>
      </c>
      <c r="D1218" s="89">
        <f>VLOOKUP(C1218,基本字段定义!$B$3:$C$3008,2,FALSE)</f>
        <v>772</v>
      </c>
      <c r="E1218" s="88" t="s">
        <v>537</v>
      </c>
      <c r="F1218" s="88"/>
      <c r="G1218" s="90" t="s">
        <v>945</v>
      </c>
    </row>
    <row r="1219" spans="2:7">
      <c r="B1219" s="268"/>
      <c r="C1219" s="71"/>
      <c r="D1219" s="79"/>
      <c r="E1219" s="73"/>
      <c r="F1219" s="73"/>
      <c r="G1219" s="74"/>
    </row>
    <row r="1221" spans="2:7">
      <c r="B1221" s="53" t="s">
        <v>146</v>
      </c>
      <c r="C1221" s="80">
        <v>204610</v>
      </c>
      <c r="D1221" s="81"/>
      <c r="E1221" s="82"/>
      <c r="F1221" s="54" t="s">
        <v>326</v>
      </c>
      <c r="G1221" s="55"/>
    </row>
    <row r="1222" spans="2:7">
      <c r="B1222" s="56" t="s">
        <v>327</v>
      </c>
      <c r="C1222" s="83" t="str">
        <f>VLOOKUP(C1221,功能索引!$C$3:$D$269,2,FALSE)</f>
        <v>持仓成本调整</v>
      </c>
      <c r="D1222" s="84"/>
      <c r="E1222" s="85"/>
      <c r="F1222" s="57" t="s">
        <v>148</v>
      </c>
      <c r="G1222" s="58">
        <f>VLOOKUP(C1221,功能索引!$C$3:$E1643,3,FALSE)</f>
        <v>0</v>
      </c>
    </row>
    <row r="1223" spans="2:7" ht="13.5" customHeight="1">
      <c r="B1223" s="269" t="s">
        <v>328</v>
      </c>
      <c r="C1223" s="95" t="s">
        <v>946</v>
      </c>
      <c r="D1223" s="96"/>
      <c r="E1223" s="96"/>
      <c r="F1223" s="96"/>
      <c r="G1223" s="97"/>
    </row>
    <row r="1224" spans="2:7">
      <c r="B1224" s="270"/>
      <c r="C1224" s="98"/>
      <c r="D1224" s="99"/>
      <c r="E1224" s="99"/>
      <c r="F1224" s="99"/>
      <c r="G1224" s="100"/>
    </row>
    <row r="1225" spans="2:7">
      <c r="B1225" s="271" t="s">
        <v>329</v>
      </c>
      <c r="C1225" s="54" t="s">
        <v>330</v>
      </c>
      <c r="D1225" s="54" t="s">
        <v>331</v>
      </c>
      <c r="E1225" s="54" t="s">
        <v>332</v>
      </c>
      <c r="F1225" s="54" t="s">
        <v>333</v>
      </c>
      <c r="G1225" s="60" t="s">
        <v>334</v>
      </c>
    </row>
    <row r="1226" spans="2:7">
      <c r="B1226" s="269"/>
      <c r="C1226" s="61" t="s">
        <v>402</v>
      </c>
      <c r="D1226" s="62">
        <f>VLOOKUP(C1226,基本字段定义!$B$3:$C$3008,2,FALSE)</f>
        <v>605</v>
      </c>
      <c r="E1226" s="63" t="s">
        <v>403</v>
      </c>
      <c r="F1226" s="63" t="s">
        <v>152</v>
      </c>
      <c r="G1226" s="64" t="s">
        <v>404</v>
      </c>
    </row>
    <row r="1227" spans="2:7">
      <c r="B1227" s="269"/>
      <c r="C1227" s="61" t="s">
        <v>405</v>
      </c>
      <c r="D1227" s="62">
        <f>VLOOKUP(C1227,基本字段定义!$B$3:$C$3008,2,FALSE)</f>
        <v>571</v>
      </c>
      <c r="E1227" s="63" t="s">
        <v>406</v>
      </c>
      <c r="F1227" s="63" t="s">
        <v>152</v>
      </c>
      <c r="G1227" s="64" t="s">
        <v>407</v>
      </c>
    </row>
    <row r="1228" spans="2:7">
      <c r="B1228" s="269"/>
      <c r="C1228" s="61" t="s">
        <v>361</v>
      </c>
      <c r="D1228" s="62">
        <f>VLOOKUP(C1228,基本字段定义!$B$3:$C$3008,2,FALSE)</f>
        <v>599</v>
      </c>
      <c r="E1228" s="63" t="s">
        <v>362</v>
      </c>
      <c r="F1228" s="63" t="s">
        <v>152</v>
      </c>
      <c r="G1228" s="64" t="s">
        <v>363</v>
      </c>
    </row>
    <row r="1229" spans="2:7">
      <c r="B1229" s="269"/>
      <c r="C1229" s="61" t="s">
        <v>640</v>
      </c>
      <c r="D1229" s="62">
        <f>VLOOKUP(C1229,基本字段定义!$B$3:$C$3008,2,FALSE)</f>
        <v>719</v>
      </c>
      <c r="E1229" s="63" t="s">
        <v>480</v>
      </c>
      <c r="F1229" s="63" t="s">
        <v>152</v>
      </c>
      <c r="G1229" s="64" t="s">
        <v>657</v>
      </c>
    </row>
    <row r="1230" spans="2:7">
      <c r="B1230" s="269"/>
      <c r="C1230" s="61" t="s">
        <v>832</v>
      </c>
      <c r="D1230" s="62">
        <f>VLOOKUP(C1230,基本字段定义!$B$3:$C$3008,2,FALSE)</f>
        <v>671</v>
      </c>
      <c r="E1230" s="63" t="s">
        <v>537</v>
      </c>
      <c r="F1230" s="63" t="s">
        <v>152</v>
      </c>
      <c r="G1230" s="64" t="s">
        <v>947</v>
      </c>
    </row>
    <row r="1231" spans="2:7">
      <c r="B1231" s="269" t="s">
        <v>335</v>
      </c>
      <c r="C1231" s="65" t="s">
        <v>336</v>
      </c>
      <c r="D1231" s="66">
        <f>VLOOKUP(C1231,基本字段定义!$B$3:$C$3008,2,FALSE)</f>
        <v>507</v>
      </c>
      <c r="E1231" s="67" t="s">
        <v>337</v>
      </c>
      <c r="F1231" s="67"/>
      <c r="G1231" s="69"/>
    </row>
    <row r="1232" spans="2:7">
      <c r="B1232" s="269"/>
      <c r="C1232" s="65" t="s">
        <v>338</v>
      </c>
      <c r="D1232" s="66">
        <f>VLOOKUP(C1232,基本字段定义!$B$3:$C$3008,2,FALSE)</f>
        <v>508</v>
      </c>
      <c r="E1232" s="67" t="s">
        <v>339</v>
      </c>
      <c r="F1232" s="67"/>
      <c r="G1232" s="68"/>
    </row>
    <row r="1233" spans="2:7">
      <c r="B1233" s="270"/>
      <c r="C1233" s="71"/>
      <c r="D1233" s="79"/>
      <c r="E1233" s="73"/>
      <c r="F1233" s="73"/>
      <c r="G1233" s="74"/>
    </row>
    <row r="1235" spans="2:7">
      <c r="B1235" s="53" t="s">
        <v>146</v>
      </c>
      <c r="C1235" s="80">
        <v>204518</v>
      </c>
      <c r="D1235" s="81"/>
      <c r="E1235" s="82"/>
      <c r="F1235" s="54" t="s">
        <v>326</v>
      </c>
      <c r="G1235" s="55"/>
    </row>
    <row r="1236" spans="2:7">
      <c r="B1236" s="56" t="s">
        <v>327</v>
      </c>
      <c r="C1236" s="83" t="str">
        <f>VLOOKUP(C1235,功能索引!$C$3:$D$269,2,FALSE)</f>
        <v>ETF网下预约委托</v>
      </c>
      <c r="D1236" s="84"/>
      <c r="E1236" s="85"/>
      <c r="F1236" s="57" t="s">
        <v>148</v>
      </c>
      <c r="G1236" s="58">
        <f>VLOOKUP(C1235,功能索引!$C$3:$E1658,3,FALSE)</f>
        <v>0</v>
      </c>
    </row>
    <row r="1237" spans="2:7" ht="13.5" customHeight="1">
      <c r="B1237" s="269" t="s">
        <v>328</v>
      </c>
      <c r="C1237" s="95" t="s">
        <v>948</v>
      </c>
      <c r="D1237" s="96"/>
      <c r="E1237" s="96"/>
      <c r="F1237" s="96"/>
      <c r="G1237" s="97"/>
    </row>
    <row r="1238" spans="2:7">
      <c r="B1238" s="270"/>
      <c r="C1238" s="98"/>
      <c r="D1238" s="99"/>
      <c r="E1238" s="99"/>
      <c r="F1238" s="99"/>
      <c r="G1238" s="100"/>
    </row>
    <row r="1239" spans="2:7">
      <c r="B1239" s="271" t="s">
        <v>329</v>
      </c>
      <c r="C1239" s="54" t="s">
        <v>330</v>
      </c>
      <c r="D1239" s="54" t="s">
        <v>331</v>
      </c>
      <c r="E1239" s="54" t="s">
        <v>332</v>
      </c>
      <c r="F1239" s="54" t="s">
        <v>333</v>
      </c>
      <c r="G1239" s="60" t="s">
        <v>334</v>
      </c>
    </row>
    <row r="1240" spans="2:7">
      <c r="B1240" s="269"/>
      <c r="C1240" s="61" t="s">
        <v>402</v>
      </c>
      <c r="D1240" s="62">
        <f>VLOOKUP(C1240,基本字段定义!$B$3:$C$3008,2,FALSE)</f>
        <v>605</v>
      </c>
      <c r="E1240" s="63" t="s">
        <v>403</v>
      </c>
      <c r="F1240" s="63" t="s">
        <v>152</v>
      </c>
      <c r="G1240" s="64" t="s">
        <v>404</v>
      </c>
    </row>
    <row r="1241" spans="2:7">
      <c r="B1241" s="269"/>
      <c r="C1241" s="61" t="s">
        <v>405</v>
      </c>
      <c r="D1241" s="62">
        <f>VLOOKUP(C1241,基本字段定义!$B$3:$C$3008,2,FALSE)</f>
        <v>571</v>
      </c>
      <c r="E1241" s="63" t="s">
        <v>406</v>
      </c>
      <c r="F1241" s="63" t="s">
        <v>152</v>
      </c>
      <c r="G1241" s="64" t="s">
        <v>407</v>
      </c>
    </row>
    <row r="1242" spans="2:7">
      <c r="B1242" s="269"/>
      <c r="C1242" s="61" t="s">
        <v>361</v>
      </c>
      <c r="D1242" s="62">
        <f>VLOOKUP(C1242,基本字段定义!$B$3:$C$3008,2,FALSE)</f>
        <v>599</v>
      </c>
      <c r="E1242" s="63" t="s">
        <v>362</v>
      </c>
      <c r="F1242" s="63" t="s">
        <v>152</v>
      </c>
      <c r="G1242" s="64" t="s">
        <v>363</v>
      </c>
    </row>
    <row r="1243" spans="2:7">
      <c r="B1243" s="269"/>
      <c r="C1243" s="61" t="s">
        <v>745</v>
      </c>
      <c r="D1243" s="62">
        <f>VLOOKUP(C1243,基本字段定义!$B$3:$C$3008,2,FALSE)</f>
        <v>1394</v>
      </c>
      <c r="E1243" s="63" t="s">
        <v>480</v>
      </c>
      <c r="F1243" s="63" t="s">
        <v>152</v>
      </c>
      <c r="G1243" s="64" t="s">
        <v>949</v>
      </c>
    </row>
    <row r="1244" spans="2:7">
      <c r="B1244" s="269"/>
      <c r="C1244" s="61" t="s">
        <v>772</v>
      </c>
      <c r="D1244" s="62">
        <f>VLOOKUP(C1244,基本字段定义!$B$3:$C$3008,2,FALSE)</f>
        <v>683</v>
      </c>
      <c r="E1244" s="63" t="s">
        <v>337</v>
      </c>
      <c r="F1244" s="63" t="s">
        <v>152</v>
      </c>
      <c r="G1244" s="64" t="s">
        <v>950</v>
      </c>
    </row>
    <row r="1245" spans="2:7">
      <c r="B1245" s="269"/>
      <c r="C1245" s="61" t="s">
        <v>951</v>
      </c>
      <c r="D1245" s="62">
        <f>VLOOKUP(C1245,基本字段定义!$B$3:$C$3008,2,FALSE)</f>
        <v>1564</v>
      </c>
      <c r="E1245" s="63" t="s">
        <v>337</v>
      </c>
      <c r="F1245" s="63" t="s">
        <v>152</v>
      </c>
      <c r="G1245" s="64" t="s">
        <v>952</v>
      </c>
    </row>
    <row r="1246" spans="2:7">
      <c r="B1246" s="269"/>
      <c r="C1246" s="61" t="s">
        <v>640</v>
      </c>
      <c r="D1246" s="62">
        <f>VLOOKUP(C1246,基本字段定义!$B$3:$C$3008,2,FALSE)</f>
        <v>719</v>
      </c>
      <c r="E1246" s="63" t="s">
        <v>480</v>
      </c>
      <c r="F1246" s="63"/>
      <c r="G1246" s="64" t="s">
        <v>953</v>
      </c>
    </row>
    <row r="1247" spans="2:7">
      <c r="B1247" s="269" t="s">
        <v>335</v>
      </c>
      <c r="C1247" s="65" t="s">
        <v>336</v>
      </c>
      <c r="D1247" s="66">
        <f>VLOOKUP(C1247,基本字段定义!$B$3:$C$3008,2,FALSE)</f>
        <v>507</v>
      </c>
      <c r="E1247" s="67" t="s">
        <v>337</v>
      </c>
      <c r="F1247" s="67"/>
      <c r="G1247" s="68"/>
    </row>
    <row r="1248" spans="2:7">
      <c r="B1248" s="269"/>
      <c r="C1248" s="65" t="s">
        <v>338</v>
      </c>
      <c r="D1248" s="66">
        <f>VLOOKUP(C1248,基本字段定义!$B$3:$C$3008,2,FALSE)</f>
        <v>508</v>
      </c>
      <c r="E1248" s="67" t="s">
        <v>339</v>
      </c>
      <c r="F1248" s="67"/>
      <c r="G1248" s="69"/>
    </row>
    <row r="1249" spans="2:7">
      <c r="B1249" s="266"/>
      <c r="C1249" s="65" t="s">
        <v>575</v>
      </c>
      <c r="D1249" s="66">
        <f>VLOOKUP(C1249,基本字段定义!$B$3:$C$3008,2,FALSE)</f>
        <v>797</v>
      </c>
      <c r="E1249" s="67" t="s">
        <v>337</v>
      </c>
      <c r="F1249" s="67"/>
      <c r="G1249" s="77" t="s">
        <v>615</v>
      </c>
    </row>
    <row r="1250" spans="2:7">
      <c r="B1250" s="270"/>
      <c r="C1250" s="71"/>
      <c r="D1250" s="79"/>
      <c r="E1250" s="73"/>
      <c r="F1250" s="73"/>
      <c r="G1250" s="74"/>
    </row>
    <row r="1252" spans="2:7">
      <c r="B1252" s="53" t="s">
        <v>146</v>
      </c>
      <c r="C1252" s="80">
        <v>204519</v>
      </c>
      <c r="D1252" s="81"/>
      <c r="E1252" s="82"/>
      <c r="F1252" s="54" t="s">
        <v>326</v>
      </c>
      <c r="G1252" s="55"/>
    </row>
    <row r="1253" spans="2:7">
      <c r="B1253" s="56" t="s">
        <v>327</v>
      </c>
      <c r="C1253" s="83" t="str">
        <f>VLOOKUP(C1252,功能索引!$C$3:$D$269,2,FALSE)</f>
        <v>ETF网下预约委托撤单</v>
      </c>
      <c r="D1253" s="84"/>
      <c r="E1253" s="85"/>
      <c r="F1253" s="57" t="s">
        <v>148</v>
      </c>
      <c r="G1253" s="58">
        <f>VLOOKUP(C1252,功能索引!$C$3:$E1676,3,FALSE)</f>
        <v>0</v>
      </c>
    </row>
    <row r="1254" spans="2:7">
      <c r="B1254" s="269" t="s">
        <v>328</v>
      </c>
      <c r="C1254" s="95"/>
      <c r="D1254" s="96"/>
      <c r="E1254" s="96"/>
      <c r="F1254" s="96"/>
      <c r="G1254" s="97"/>
    </row>
    <row r="1255" spans="2:7">
      <c r="B1255" s="270"/>
      <c r="C1255" s="98"/>
      <c r="D1255" s="99"/>
      <c r="E1255" s="99"/>
      <c r="F1255" s="99"/>
      <c r="G1255" s="100"/>
    </row>
    <row r="1256" spans="2:7">
      <c r="B1256" s="271" t="s">
        <v>329</v>
      </c>
      <c r="C1256" s="54" t="s">
        <v>330</v>
      </c>
      <c r="D1256" s="54" t="s">
        <v>331</v>
      </c>
      <c r="E1256" s="54" t="s">
        <v>332</v>
      </c>
      <c r="F1256" s="54" t="s">
        <v>333</v>
      </c>
      <c r="G1256" s="60" t="s">
        <v>334</v>
      </c>
    </row>
    <row r="1257" spans="2:7">
      <c r="B1257" s="269"/>
      <c r="C1257" s="61" t="s">
        <v>402</v>
      </c>
      <c r="D1257" s="62">
        <f>VLOOKUP(C1257,基本字段定义!$B$3:$C$3008,2,FALSE)</f>
        <v>605</v>
      </c>
      <c r="E1257" s="63" t="s">
        <v>403</v>
      </c>
      <c r="F1257" s="63" t="s">
        <v>152</v>
      </c>
      <c r="G1257" s="64" t="s">
        <v>404</v>
      </c>
    </row>
    <row r="1258" spans="2:7">
      <c r="B1258" s="269"/>
      <c r="C1258" s="61" t="s">
        <v>361</v>
      </c>
      <c r="D1258" s="62">
        <f>VLOOKUP(C1258,基本字段定义!$B$3:$C$3008,2,FALSE)</f>
        <v>599</v>
      </c>
      <c r="E1258" s="63" t="s">
        <v>362</v>
      </c>
      <c r="F1258" s="63" t="s">
        <v>152</v>
      </c>
      <c r="G1258" s="64" t="s">
        <v>363</v>
      </c>
    </row>
    <row r="1259" spans="2:7">
      <c r="B1259" s="269"/>
      <c r="C1259" s="61" t="s">
        <v>405</v>
      </c>
      <c r="D1259" s="62">
        <f>VLOOKUP(C1259,基本字段定义!$B$3:$C$3008,2,FALSE)</f>
        <v>571</v>
      </c>
      <c r="E1259" s="63" t="s">
        <v>406</v>
      </c>
      <c r="F1259" s="63" t="s">
        <v>152</v>
      </c>
      <c r="G1259" s="64" t="s">
        <v>407</v>
      </c>
    </row>
    <row r="1260" spans="2:7">
      <c r="B1260" s="269"/>
      <c r="C1260" s="61" t="s">
        <v>575</v>
      </c>
      <c r="D1260" s="62">
        <f>VLOOKUP(C1260,基本字段定义!$B$3:$C$3008,2,FALSE)</f>
        <v>797</v>
      </c>
      <c r="E1260" s="63" t="s">
        <v>337</v>
      </c>
      <c r="F1260" s="63" t="s">
        <v>152</v>
      </c>
      <c r="G1260" s="64" t="s">
        <v>615</v>
      </c>
    </row>
    <row r="1261" spans="2:7">
      <c r="B1261" s="269" t="s">
        <v>335</v>
      </c>
      <c r="C1261" s="65" t="s">
        <v>336</v>
      </c>
      <c r="D1261" s="66">
        <f>VLOOKUP(C1261,基本字段定义!$B$3:$C$3008,2,FALSE)</f>
        <v>507</v>
      </c>
      <c r="E1261" s="67" t="s">
        <v>337</v>
      </c>
      <c r="F1261" s="67"/>
      <c r="G1261" s="68"/>
    </row>
    <row r="1262" spans="2:7">
      <c r="B1262" s="269"/>
      <c r="C1262" s="65" t="s">
        <v>338</v>
      </c>
      <c r="D1262" s="66">
        <f>VLOOKUP(C1262,基本字段定义!$B$3:$C$3008,2,FALSE)</f>
        <v>508</v>
      </c>
      <c r="E1262" s="67" t="s">
        <v>339</v>
      </c>
      <c r="F1262" s="67"/>
      <c r="G1262" s="69"/>
    </row>
    <row r="1263" spans="2:7">
      <c r="B1263" s="270"/>
      <c r="C1263" s="71"/>
      <c r="D1263" s="79"/>
      <c r="E1263" s="73"/>
      <c r="F1263" s="73"/>
      <c r="G1263" s="74"/>
    </row>
    <row r="1265" spans="2:7">
      <c r="B1265" s="53" t="s">
        <v>146</v>
      </c>
      <c r="C1265" s="80">
        <v>304108</v>
      </c>
      <c r="D1265" s="81"/>
      <c r="E1265" s="82"/>
      <c r="F1265" s="54" t="s">
        <v>326</v>
      </c>
      <c r="G1265" s="55"/>
    </row>
    <row r="1266" spans="2:7">
      <c r="B1266" s="56" t="s">
        <v>327</v>
      </c>
      <c r="C1266" s="83" t="str">
        <f>VLOOKUP(C1265,功能索引!$C$3:$D$269,2,FALSE)</f>
        <v>查询客户ETF网下申购委托</v>
      </c>
      <c r="D1266" s="84"/>
      <c r="E1266" s="85"/>
      <c r="F1266" s="57" t="s">
        <v>148</v>
      </c>
      <c r="G1266" s="58" t="str">
        <f>VLOOKUP(C1265,功能索引!$C$3:$E1689,3,FALSE)</f>
        <v>Y</v>
      </c>
    </row>
    <row r="1267" spans="2:7">
      <c r="B1267" s="269" t="s">
        <v>328</v>
      </c>
      <c r="C1267" s="95"/>
      <c r="D1267" s="96"/>
      <c r="E1267" s="96"/>
      <c r="F1267" s="96"/>
      <c r="G1267" s="97"/>
    </row>
    <row r="1268" spans="2:7">
      <c r="B1268" s="270"/>
      <c r="C1268" s="98"/>
      <c r="D1268" s="99"/>
      <c r="E1268" s="99"/>
      <c r="F1268" s="99"/>
      <c r="G1268" s="100"/>
    </row>
    <row r="1269" spans="2:7">
      <c r="B1269" s="271" t="s">
        <v>329</v>
      </c>
      <c r="C1269" s="54" t="s">
        <v>330</v>
      </c>
      <c r="D1269" s="54" t="s">
        <v>331</v>
      </c>
      <c r="E1269" s="54" t="s">
        <v>332</v>
      </c>
      <c r="F1269" s="54" t="s">
        <v>333</v>
      </c>
      <c r="G1269" s="60" t="s">
        <v>334</v>
      </c>
    </row>
    <row r="1270" spans="2:7">
      <c r="B1270" s="269"/>
      <c r="C1270" s="61" t="s">
        <v>402</v>
      </c>
      <c r="D1270" s="62">
        <f>VLOOKUP(C1270,基本字段定义!$B$3:$C$3008,2,FALSE)</f>
        <v>605</v>
      </c>
      <c r="E1270" s="63" t="s">
        <v>403</v>
      </c>
      <c r="F1270" s="63" t="s">
        <v>152</v>
      </c>
      <c r="G1270" s="64" t="s">
        <v>404</v>
      </c>
    </row>
    <row r="1271" spans="2:7">
      <c r="B1271" s="269"/>
      <c r="C1271" s="61" t="s">
        <v>484</v>
      </c>
      <c r="D1271" s="62">
        <f>VLOOKUP(C1271,基本字段定义!$B$3:$C$3008,2,FALSE)</f>
        <v>618</v>
      </c>
      <c r="E1271" s="63" t="s">
        <v>337</v>
      </c>
      <c r="F1271" s="63"/>
      <c r="G1271" s="64" t="s">
        <v>954</v>
      </c>
    </row>
    <row r="1272" spans="2:7">
      <c r="B1272" s="269"/>
      <c r="C1272" s="61" t="s">
        <v>486</v>
      </c>
      <c r="D1272" s="62">
        <f>VLOOKUP(C1272,基本字段定义!$B$3:$C$3008,2,FALSE)</f>
        <v>590</v>
      </c>
      <c r="E1272" s="63" t="s">
        <v>337</v>
      </c>
      <c r="F1272" s="63"/>
      <c r="G1272" s="64" t="s">
        <v>955</v>
      </c>
    </row>
    <row r="1273" spans="2:7">
      <c r="B1273" s="269"/>
      <c r="C1273" s="61" t="s">
        <v>361</v>
      </c>
      <c r="D1273" s="62">
        <f>VLOOKUP(C1273,基本字段定义!$B$3:$C$3008,2,FALSE)</f>
        <v>599</v>
      </c>
      <c r="E1273" s="63" t="s">
        <v>362</v>
      </c>
      <c r="F1273" s="63"/>
      <c r="G1273" s="64" t="s">
        <v>363</v>
      </c>
    </row>
    <row r="1274" spans="2:7">
      <c r="B1274" s="269"/>
      <c r="C1274" s="61" t="s">
        <v>745</v>
      </c>
      <c r="D1274" s="62">
        <f>VLOOKUP(C1274,基本字段定义!$B$3:$C$3008,2,FALSE)</f>
        <v>1394</v>
      </c>
      <c r="E1274" s="63" t="s">
        <v>480</v>
      </c>
      <c r="F1274" s="63"/>
      <c r="G1274" s="64" t="s">
        <v>949</v>
      </c>
    </row>
    <row r="1275" spans="2:7">
      <c r="B1275" s="269" t="s">
        <v>335</v>
      </c>
      <c r="C1275" s="65" t="s">
        <v>575</v>
      </c>
      <c r="D1275" s="66">
        <f>VLOOKUP(C1275,基本字段定义!$B$3:$C$3008,2,FALSE)</f>
        <v>797</v>
      </c>
      <c r="E1275" s="67" t="s">
        <v>339</v>
      </c>
      <c r="F1275" s="67"/>
      <c r="G1275" s="69" t="s">
        <v>576</v>
      </c>
    </row>
    <row r="1276" spans="2:7">
      <c r="B1276" s="269"/>
      <c r="C1276" s="65" t="s">
        <v>405</v>
      </c>
      <c r="D1276" s="66">
        <f>VLOOKUP(C1276,基本字段定义!$B$3:$C$3008,2,FALSE)</f>
        <v>571</v>
      </c>
      <c r="E1276" s="67" t="s">
        <v>339</v>
      </c>
      <c r="F1276" s="67"/>
      <c r="G1276" s="69" t="s">
        <v>407</v>
      </c>
    </row>
    <row r="1277" spans="2:7">
      <c r="B1277" s="269"/>
      <c r="C1277" s="65" t="s">
        <v>361</v>
      </c>
      <c r="D1277" s="66">
        <f>VLOOKUP(C1277,基本字段定义!$B$3:$C$3008,2,FALSE)</f>
        <v>599</v>
      </c>
      <c r="E1277" s="67" t="s">
        <v>339</v>
      </c>
      <c r="F1277" s="67"/>
      <c r="G1277" s="69" t="s">
        <v>363</v>
      </c>
    </row>
    <row r="1278" spans="2:7">
      <c r="B1278" s="269"/>
      <c r="C1278" s="65" t="s">
        <v>524</v>
      </c>
      <c r="D1278" s="66">
        <f>VLOOKUP(C1278,基本字段定义!$B$3:$C$3008,2,FALSE)</f>
        <v>511</v>
      </c>
      <c r="E1278" s="67" t="s">
        <v>339</v>
      </c>
      <c r="F1278" s="67"/>
      <c r="G1278" s="69" t="s">
        <v>525</v>
      </c>
    </row>
    <row r="1279" spans="2:7">
      <c r="B1279" s="269"/>
      <c r="C1279" s="65" t="s">
        <v>956</v>
      </c>
      <c r="D1279" s="66">
        <f>VLOOKUP(C1279,基本字段定义!$B$3:$C$3008,2,FALSE)</f>
        <v>1898</v>
      </c>
      <c r="E1279" s="67" t="s">
        <v>337</v>
      </c>
      <c r="F1279" s="67"/>
      <c r="G1279" s="69" t="s">
        <v>957</v>
      </c>
    </row>
    <row r="1280" spans="2:7">
      <c r="B1280" s="269"/>
      <c r="C1280" s="65" t="s">
        <v>907</v>
      </c>
      <c r="D1280" s="66">
        <f>VLOOKUP(C1280,基本字段定义!$B$3:$C$3008,2,FALSE)</f>
        <v>750</v>
      </c>
      <c r="E1280" s="67" t="s">
        <v>339</v>
      </c>
      <c r="F1280" s="67"/>
      <c r="G1280" s="69" t="s">
        <v>908</v>
      </c>
    </row>
    <row r="1281" spans="2:7">
      <c r="B1281" s="269"/>
      <c r="C1281" s="65" t="s">
        <v>772</v>
      </c>
      <c r="D1281" s="66">
        <f>VLOOKUP(C1281,基本字段定义!$B$3:$C$3008,2,FALSE)</f>
        <v>683</v>
      </c>
      <c r="E1281" s="67" t="s">
        <v>337</v>
      </c>
      <c r="F1281" s="67"/>
      <c r="G1281" s="69" t="s">
        <v>958</v>
      </c>
    </row>
    <row r="1282" spans="2:7">
      <c r="B1282" s="269"/>
      <c r="C1282" s="65" t="s">
        <v>745</v>
      </c>
      <c r="D1282" s="66">
        <f>VLOOKUP(C1282,基本字段定义!$B$3:$C$3008,2,FALSE)</f>
        <v>1394</v>
      </c>
      <c r="E1282" s="67" t="s">
        <v>339</v>
      </c>
      <c r="F1282" s="67"/>
      <c r="G1282" s="69" t="s">
        <v>746</v>
      </c>
    </row>
    <row r="1283" spans="2:7">
      <c r="B1283" s="269"/>
      <c r="C1283" s="65" t="s">
        <v>959</v>
      </c>
      <c r="D1283" s="66">
        <f>VLOOKUP(C1283,基本字段定义!$B$3:$C$3008,2,FALSE)</f>
        <v>9306</v>
      </c>
      <c r="E1283" s="67" t="s">
        <v>537</v>
      </c>
      <c r="F1283" s="67"/>
      <c r="G1283" s="69" t="s">
        <v>960</v>
      </c>
    </row>
    <row r="1284" spans="2:7">
      <c r="B1284" s="269"/>
      <c r="C1284" s="65" t="s">
        <v>640</v>
      </c>
      <c r="D1284" s="66">
        <f>VLOOKUP(C1284,基本字段定义!$B$3:$C$3008,2,FALSE)</f>
        <v>719</v>
      </c>
      <c r="E1284" s="67" t="s">
        <v>339</v>
      </c>
      <c r="F1284" s="67"/>
      <c r="G1284" s="69" t="s">
        <v>961</v>
      </c>
    </row>
    <row r="1285" spans="2:7">
      <c r="B1285" s="269"/>
      <c r="C1285" s="65" t="s">
        <v>951</v>
      </c>
      <c r="D1285" s="66">
        <f>VLOOKUP(C1285,基本字段定义!$B$3:$C$3008,2,FALSE)</f>
        <v>1564</v>
      </c>
      <c r="E1285" s="67" t="s">
        <v>337</v>
      </c>
      <c r="F1285" s="67"/>
      <c r="G1285" s="69" t="s">
        <v>962</v>
      </c>
    </row>
    <row r="1286" spans="2:7">
      <c r="B1286" s="269"/>
      <c r="C1286" s="65" t="s">
        <v>659</v>
      </c>
      <c r="D1286" s="66">
        <f>VLOOKUP(C1286,基本字段定义!$B$3:$C$3008,2,FALSE)</f>
        <v>722</v>
      </c>
      <c r="E1286" s="67" t="s">
        <v>339</v>
      </c>
      <c r="F1286" s="67"/>
      <c r="G1286" s="69" t="s">
        <v>963</v>
      </c>
    </row>
    <row r="1287" spans="2:7">
      <c r="B1287" s="269"/>
      <c r="C1287" s="65" t="s">
        <v>964</v>
      </c>
      <c r="D1287" s="66">
        <f>VLOOKUP(C1287,基本字段定义!$B$3:$C$3008,2,FALSE)</f>
        <v>1234</v>
      </c>
      <c r="E1287" s="67" t="s">
        <v>537</v>
      </c>
      <c r="F1287" s="67"/>
      <c r="G1287" s="69" t="s">
        <v>965</v>
      </c>
    </row>
    <row r="1288" spans="2:7">
      <c r="B1288" s="269"/>
      <c r="C1288" s="65" t="s">
        <v>922</v>
      </c>
      <c r="D1288" s="66">
        <f>VLOOKUP(C1288,基本字段定义!$B$3:$C$3008,2,FALSE)</f>
        <v>641</v>
      </c>
      <c r="E1288" s="67" t="s">
        <v>339</v>
      </c>
      <c r="F1288" s="67"/>
      <c r="G1288" s="69" t="s">
        <v>966</v>
      </c>
    </row>
    <row r="1289" spans="2:7">
      <c r="B1289" s="270"/>
      <c r="C1289" s="71"/>
      <c r="D1289" s="79"/>
      <c r="E1289" s="73"/>
      <c r="F1289" s="73"/>
      <c r="G1289" s="74"/>
    </row>
    <row r="1291" spans="2:7">
      <c r="B1291" s="53" t="s">
        <v>146</v>
      </c>
      <c r="C1291" s="80">
        <v>304119</v>
      </c>
      <c r="D1291" s="81"/>
      <c r="E1291" s="82"/>
      <c r="F1291" s="54" t="s">
        <v>326</v>
      </c>
      <c r="G1291" s="55"/>
    </row>
    <row r="1292" spans="2:7">
      <c r="B1292" s="56" t="s">
        <v>327</v>
      </c>
      <c r="C1292" s="83" t="str">
        <f>VLOOKUP(C1291,功能索引!$C$3:$D$269,2,FALSE)</f>
        <v>查询客户ETF成份股的持仓信息</v>
      </c>
      <c r="D1292" s="84"/>
      <c r="E1292" s="85"/>
      <c r="F1292" s="57" t="s">
        <v>148</v>
      </c>
      <c r="G1292" s="58" t="str">
        <f>VLOOKUP(C1291,功能索引!$C$3:$E1737,3,FALSE)</f>
        <v>Y</v>
      </c>
    </row>
    <row r="1293" spans="2:7" ht="13.5" customHeight="1">
      <c r="B1293" s="269" t="s">
        <v>328</v>
      </c>
      <c r="C1293" s="95" t="s">
        <v>967</v>
      </c>
      <c r="D1293" s="96"/>
      <c r="E1293" s="96"/>
      <c r="F1293" s="96"/>
      <c r="G1293" s="97"/>
    </row>
    <row r="1294" spans="2:7">
      <c r="B1294" s="270"/>
      <c r="C1294" s="98"/>
      <c r="D1294" s="99"/>
      <c r="E1294" s="99"/>
      <c r="F1294" s="99"/>
      <c r="G1294" s="100"/>
    </row>
    <row r="1295" spans="2:7">
      <c r="B1295" s="271" t="s">
        <v>329</v>
      </c>
      <c r="C1295" s="54" t="s">
        <v>330</v>
      </c>
      <c r="D1295" s="54" t="s">
        <v>331</v>
      </c>
      <c r="E1295" s="54" t="s">
        <v>332</v>
      </c>
      <c r="F1295" s="54" t="s">
        <v>333</v>
      </c>
      <c r="G1295" s="60" t="s">
        <v>334</v>
      </c>
    </row>
    <row r="1296" spans="2:7">
      <c r="B1296" s="269"/>
      <c r="C1296" s="61" t="s">
        <v>402</v>
      </c>
      <c r="D1296" s="62">
        <f>VLOOKUP(C1296,基本字段定义!$B$3:$C$3008,2,FALSE)</f>
        <v>605</v>
      </c>
      <c r="E1296" s="63" t="s">
        <v>403</v>
      </c>
      <c r="F1296" s="63" t="s">
        <v>152</v>
      </c>
      <c r="G1296" s="64" t="s">
        <v>404</v>
      </c>
    </row>
    <row r="1297" spans="2:7">
      <c r="B1297" s="269"/>
      <c r="C1297" s="61" t="s">
        <v>405</v>
      </c>
      <c r="D1297" s="62">
        <f>VLOOKUP(C1297,基本字段定义!$B$3:$C$3008,2,FALSE)</f>
        <v>571</v>
      </c>
      <c r="E1297" s="63" t="s">
        <v>406</v>
      </c>
      <c r="F1297" s="63" t="s">
        <v>152</v>
      </c>
      <c r="G1297" s="64" t="s">
        <v>407</v>
      </c>
    </row>
    <row r="1298" spans="2:7">
      <c r="B1298" s="269"/>
      <c r="C1298" s="61" t="s">
        <v>361</v>
      </c>
      <c r="D1298" s="62">
        <f>VLOOKUP(C1298,基本字段定义!$B$3:$C$3008,2,FALSE)</f>
        <v>599</v>
      </c>
      <c r="E1298" s="63" t="s">
        <v>362</v>
      </c>
      <c r="F1298" s="63" t="s">
        <v>152</v>
      </c>
      <c r="G1298" s="64" t="s">
        <v>363</v>
      </c>
    </row>
    <row r="1299" spans="2:7">
      <c r="B1299" s="269"/>
      <c r="C1299" s="61" t="s">
        <v>739</v>
      </c>
      <c r="D1299" s="62">
        <f>VLOOKUP(C1299,基本字段定义!$B$3:$C$3008,2,FALSE)</f>
        <v>9129</v>
      </c>
      <c r="E1299" s="63" t="s">
        <v>480</v>
      </c>
      <c r="F1299" s="63" t="s">
        <v>152</v>
      </c>
      <c r="G1299" s="64" t="s">
        <v>740</v>
      </c>
    </row>
    <row r="1300" spans="2:7">
      <c r="B1300" s="269"/>
      <c r="C1300" s="61" t="s">
        <v>432</v>
      </c>
      <c r="D1300" s="62">
        <f>VLOOKUP(C1300,基本字段定义!$B$3:$C$3008,2,FALSE)</f>
        <v>988</v>
      </c>
      <c r="E1300" s="63" t="s">
        <v>337</v>
      </c>
      <c r="F1300" s="63"/>
      <c r="G1300" s="64" t="s">
        <v>968</v>
      </c>
    </row>
    <row r="1301" spans="2:7">
      <c r="B1301" s="269" t="s">
        <v>335</v>
      </c>
      <c r="C1301" s="65" t="s">
        <v>640</v>
      </c>
      <c r="D1301" s="66">
        <f>VLOOKUP(C1301,基本字段定义!$B$3:$C$3008,2,FALSE)</f>
        <v>719</v>
      </c>
      <c r="E1301" s="67" t="s">
        <v>339</v>
      </c>
      <c r="F1301" s="67"/>
      <c r="G1301" s="69" t="s">
        <v>657</v>
      </c>
    </row>
    <row r="1302" spans="2:7">
      <c r="B1302" s="269"/>
      <c r="C1302" s="65" t="s">
        <v>659</v>
      </c>
      <c r="D1302" s="66">
        <f>VLOOKUP(C1302,基本字段定义!$B$3:$C$3008,2,FALSE)</f>
        <v>722</v>
      </c>
      <c r="E1302" s="67" t="s">
        <v>339</v>
      </c>
      <c r="F1302" s="67"/>
      <c r="G1302" s="69" t="s">
        <v>660</v>
      </c>
    </row>
    <row r="1303" spans="2:7">
      <c r="B1303" s="269"/>
      <c r="C1303" s="65" t="s">
        <v>524</v>
      </c>
      <c r="D1303" s="66">
        <f>VLOOKUP(C1303,基本字段定义!$B$3:$C$3008,2,FALSE)</f>
        <v>511</v>
      </c>
      <c r="E1303" s="67" t="s">
        <v>339</v>
      </c>
      <c r="F1303" s="67"/>
      <c r="G1303" s="69" t="s">
        <v>525</v>
      </c>
    </row>
    <row r="1304" spans="2:7">
      <c r="B1304" s="269"/>
      <c r="C1304" s="65" t="s">
        <v>762</v>
      </c>
      <c r="D1304" s="66">
        <f>VLOOKUP(C1304,基本字段定义!$B$3:$C$3008,2,FALSE)</f>
        <v>724</v>
      </c>
      <c r="E1304" s="67" t="s">
        <v>337</v>
      </c>
      <c r="F1304" s="67"/>
      <c r="G1304" s="69" t="s">
        <v>794</v>
      </c>
    </row>
    <row r="1305" spans="2:7">
      <c r="B1305" s="269"/>
      <c r="C1305" s="65" t="s">
        <v>795</v>
      </c>
      <c r="D1305" s="66">
        <f>VLOOKUP(C1305,基本字段定义!$B$3:$C$3008,2,FALSE)</f>
        <v>543</v>
      </c>
      <c r="E1305" s="67" t="s">
        <v>337</v>
      </c>
      <c r="F1305" s="67"/>
      <c r="G1305" s="69" t="s">
        <v>796</v>
      </c>
    </row>
    <row r="1306" spans="2:7">
      <c r="B1306" s="269"/>
      <c r="C1306" s="65" t="s">
        <v>797</v>
      </c>
      <c r="D1306" s="66">
        <f>VLOOKUP(C1306,基本字段定义!$B$3:$C$3008,2,FALSE)</f>
        <v>545</v>
      </c>
      <c r="E1306" s="67" t="s">
        <v>337</v>
      </c>
      <c r="F1306" s="67"/>
      <c r="G1306" s="69" t="s">
        <v>798</v>
      </c>
    </row>
    <row r="1307" spans="2:7">
      <c r="B1307" s="269"/>
      <c r="C1307" s="65" t="s">
        <v>799</v>
      </c>
      <c r="D1307" s="66">
        <f>VLOOKUP(C1307,基本字段定义!$B$3:$C$3008,2,FALSE)</f>
        <v>541</v>
      </c>
      <c r="E1307" s="67" t="s">
        <v>337</v>
      </c>
      <c r="F1307" s="67"/>
      <c r="G1307" s="69" t="s">
        <v>800</v>
      </c>
    </row>
    <row r="1308" spans="2:7">
      <c r="B1308" s="269"/>
      <c r="C1308" s="65" t="s">
        <v>803</v>
      </c>
      <c r="D1308" s="66">
        <f>VLOOKUP(C1308,基本字段定义!$B$3:$C$3008,2,FALSE)</f>
        <v>1179</v>
      </c>
      <c r="E1308" s="67" t="s">
        <v>337</v>
      </c>
      <c r="F1308" s="67"/>
      <c r="G1308" s="69" t="s">
        <v>804</v>
      </c>
    </row>
    <row r="1309" spans="2:7">
      <c r="B1309" s="269"/>
      <c r="C1309" s="65" t="s">
        <v>805</v>
      </c>
      <c r="D1309" s="66">
        <f>VLOOKUP(C1309,基本字段定义!$B$3:$C$3008,2,FALSE)</f>
        <v>615</v>
      </c>
      <c r="E1309" s="67" t="s">
        <v>337</v>
      </c>
      <c r="F1309" s="67"/>
      <c r="G1309" s="69" t="s">
        <v>806</v>
      </c>
    </row>
    <row r="1310" spans="2:7">
      <c r="B1310" s="269"/>
      <c r="C1310" s="65" t="s">
        <v>807</v>
      </c>
      <c r="D1310" s="66">
        <f>VLOOKUP(C1310,基本字段定义!$B$3:$C$3008,2,FALSE)</f>
        <v>1235</v>
      </c>
      <c r="E1310" s="67" t="s">
        <v>337</v>
      </c>
      <c r="F1310" s="67"/>
      <c r="G1310" s="69" t="s">
        <v>808</v>
      </c>
    </row>
    <row r="1311" spans="2:7">
      <c r="B1311" s="269"/>
      <c r="C1311" s="65" t="s">
        <v>811</v>
      </c>
      <c r="D1311" s="66">
        <f>VLOOKUP(C1311,基本字段定义!$B$3:$C$3008,2,FALSE)</f>
        <v>757</v>
      </c>
      <c r="E1311" s="67" t="s">
        <v>337</v>
      </c>
      <c r="F1311" s="67"/>
      <c r="G1311" s="69" t="s">
        <v>812</v>
      </c>
    </row>
    <row r="1312" spans="2:7">
      <c r="B1312" s="269"/>
      <c r="C1312" s="112" t="s">
        <v>766</v>
      </c>
      <c r="D1312" s="113">
        <f>VLOOKUP(C1312,基本字段定义!$B$3:$C$3008,2,FALSE)</f>
        <v>9137</v>
      </c>
      <c r="E1312" s="113" t="s">
        <v>537</v>
      </c>
      <c r="F1312" s="113"/>
      <c r="G1312" s="114" t="s">
        <v>767</v>
      </c>
    </row>
    <row r="1313" spans="2:7">
      <c r="B1313" s="269"/>
      <c r="C1313" s="112" t="s">
        <v>764</v>
      </c>
      <c r="D1313" s="113">
        <f>VLOOKUP(C1313,基本字段定义!$B$3:$C$3008,2,FALSE)</f>
        <v>9134</v>
      </c>
      <c r="E1313" s="113" t="s">
        <v>337</v>
      </c>
      <c r="F1313" s="113"/>
      <c r="G1313" s="111" t="s">
        <v>765</v>
      </c>
    </row>
    <row r="1314" spans="2:7">
      <c r="B1314" s="269"/>
      <c r="C1314" s="112" t="s">
        <v>768</v>
      </c>
      <c r="D1314" s="113">
        <f>VLOOKUP(C1314,基本字段定义!$B$3:$C$3008,2,FALSE)</f>
        <v>1603</v>
      </c>
      <c r="E1314" s="113" t="s">
        <v>537</v>
      </c>
      <c r="F1314" s="113"/>
      <c r="G1314" s="111" t="s">
        <v>769</v>
      </c>
    </row>
    <row r="1315" spans="2:7">
      <c r="B1315" s="270"/>
      <c r="C1315" s="71"/>
      <c r="D1315" s="79"/>
      <c r="E1315" s="73"/>
      <c r="F1315" s="73"/>
      <c r="G1315" s="74"/>
    </row>
    <row r="1317" spans="2:7">
      <c r="B1317" s="53" t="s">
        <v>146</v>
      </c>
      <c r="C1317" s="80">
        <v>304222</v>
      </c>
      <c r="D1317" s="81"/>
      <c r="E1317" s="82"/>
      <c r="F1317" s="54" t="s">
        <v>326</v>
      </c>
      <c r="G1317" s="55"/>
    </row>
    <row r="1318" spans="2:7">
      <c r="B1318" s="56" t="s">
        <v>327</v>
      </c>
      <c r="C1318" s="83" t="str">
        <f>VLOOKUP(C1317,功能索引!$C$3:$D$269,2,FALSE)</f>
        <v>客户各委托批次号证券持仓成本的查询</v>
      </c>
      <c r="D1318" s="84"/>
      <c r="E1318" s="85"/>
      <c r="F1318" s="57" t="s">
        <v>148</v>
      </c>
      <c r="G1318" s="58" t="str">
        <f>VLOOKUP(C1317,功能索引!$C$3:$E1777,3,FALSE)</f>
        <v>Y</v>
      </c>
    </row>
    <row r="1319" spans="2:7">
      <c r="B1319" s="269" t="s">
        <v>328</v>
      </c>
      <c r="C1319" s="95"/>
      <c r="D1319" s="96"/>
      <c r="E1319" s="96"/>
      <c r="F1319" s="96"/>
      <c r="G1319" s="97"/>
    </row>
    <row r="1320" spans="2:7">
      <c r="B1320" s="270"/>
      <c r="C1320" s="98"/>
      <c r="D1320" s="99"/>
      <c r="E1320" s="99"/>
      <c r="F1320" s="99"/>
      <c r="G1320" s="100"/>
    </row>
    <row r="1321" spans="2:7">
      <c r="B1321" s="271" t="s">
        <v>329</v>
      </c>
      <c r="C1321" s="54" t="s">
        <v>330</v>
      </c>
      <c r="D1321" s="54" t="s">
        <v>331</v>
      </c>
      <c r="E1321" s="54" t="s">
        <v>332</v>
      </c>
      <c r="F1321" s="54" t="s">
        <v>333</v>
      </c>
      <c r="G1321" s="60" t="s">
        <v>334</v>
      </c>
    </row>
    <row r="1322" spans="2:7">
      <c r="B1322" s="269"/>
      <c r="C1322" s="61" t="s">
        <v>402</v>
      </c>
      <c r="D1322" s="62">
        <f>VLOOKUP(C1322,基本字段定义!$B$3:$C$3008,2,FALSE)</f>
        <v>605</v>
      </c>
      <c r="E1322" s="63" t="s">
        <v>403</v>
      </c>
      <c r="F1322" s="63" t="s">
        <v>152</v>
      </c>
      <c r="G1322" s="64" t="s">
        <v>404</v>
      </c>
    </row>
    <row r="1323" spans="2:7">
      <c r="B1323" s="269"/>
      <c r="C1323" s="61" t="s">
        <v>969</v>
      </c>
      <c r="D1323" s="62">
        <f>VLOOKUP(C1323,基本字段定义!$B$3:$C$3008,2,FALSE)</f>
        <v>9149</v>
      </c>
      <c r="E1323" s="63" t="s">
        <v>337</v>
      </c>
      <c r="F1323" s="63"/>
      <c r="G1323" s="64" t="s">
        <v>877</v>
      </c>
    </row>
    <row r="1324" spans="2:7">
      <c r="B1324" s="269"/>
      <c r="C1324" s="61" t="s">
        <v>361</v>
      </c>
      <c r="D1324" s="62">
        <f>VLOOKUP(C1324,基本字段定义!$B$3:$C$3008,2,FALSE)</f>
        <v>599</v>
      </c>
      <c r="E1324" s="63" t="s">
        <v>362</v>
      </c>
      <c r="F1324" s="63"/>
      <c r="G1324" s="64" t="s">
        <v>363</v>
      </c>
    </row>
    <row r="1325" spans="2:7">
      <c r="B1325" s="269"/>
      <c r="C1325" s="61" t="s">
        <v>588</v>
      </c>
      <c r="D1325" s="62">
        <f>VLOOKUP(C1325,基本字段定义!$B$3:$C$3008,2,FALSE)</f>
        <v>763</v>
      </c>
      <c r="E1325" s="63" t="s">
        <v>471</v>
      </c>
      <c r="F1325" s="63"/>
      <c r="G1325" s="64" t="s">
        <v>589</v>
      </c>
    </row>
    <row r="1326" spans="2:7">
      <c r="B1326" s="269"/>
      <c r="C1326" s="61" t="s">
        <v>590</v>
      </c>
      <c r="D1326" s="62">
        <f>VLOOKUP(C1326,基本字段定义!$B$3:$C$3008,2,FALSE)</f>
        <v>9110</v>
      </c>
      <c r="E1326" s="63" t="s">
        <v>337</v>
      </c>
      <c r="F1326" s="63"/>
      <c r="G1326" s="64" t="s">
        <v>591</v>
      </c>
    </row>
    <row r="1327" spans="2:7">
      <c r="B1327" s="266" t="s">
        <v>335</v>
      </c>
      <c r="C1327" s="65" t="s">
        <v>588</v>
      </c>
      <c r="D1327" s="66">
        <f>VLOOKUP(C1327,基本字段定义!$B$3:$C$3008,2,FALSE)</f>
        <v>763</v>
      </c>
      <c r="E1327" s="67" t="s">
        <v>339</v>
      </c>
      <c r="F1327" s="67"/>
      <c r="G1327" s="69" t="s">
        <v>592</v>
      </c>
    </row>
    <row r="1328" spans="2:7">
      <c r="B1328" s="267"/>
      <c r="C1328" s="65" t="s">
        <v>815</v>
      </c>
      <c r="D1328" s="66">
        <f>VLOOKUP(C1328,基本字段定义!$B$3:$C$3008,2,FALSE)</f>
        <v>603</v>
      </c>
      <c r="E1328" s="67" t="s">
        <v>337</v>
      </c>
      <c r="F1328" s="67"/>
      <c r="G1328" s="69" t="s">
        <v>816</v>
      </c>
    </row>
    <row r="1329" spans="2:7">
      <c r="B1329" s="267"/>
      <c r="C1329" s="65" t="s">
        <v>969</v>
      </c>
      <c r="D1329" s="66">
        <f>VLOOKUP(C1329,基本字段定义!$B$3:$C$3008,2,FALSE)</f>
        <v>9149</v>
      </c>
      <c r="E1329" s="67" t="s">
        <v>339</v>
      </c>
      <c r="F1329" s="67"/>
      <c r="G1329" s="69" t="s">
        <v>877</v>
      </c>
    </row>
    <row r="1330" spans="2:7">
      <c r="B1330" s="267"/>
      <c r="C1330" s="65" t="s">
        <v>405</v>
      </c>
      <c r="D1330" s="66">
        <f>VLOOKUP(C1330,基本字段定义!$B$3:$C$3008,2,FALSE)</f>
        <v>571</v>
      </c>
      <c r="E1330" s="67" t="s">
        <v>339</v>
      </c>
      <c r="F1330" s="67"/>
      <c r="G1330" s="69" t="s">
        <v>407</v>
      </c>
    </row>
    <row r="1331" spans="2:7">
      <c r="B1331" s="267"/>
      <c r="C1331" s="65" t="s">
        <v>361</v>
      </c>
      <c r="D1331" s="66">
        <f>VLOOKUP(C1331,基本字段定义!$B$3:$C$3008,2,FALSE)</f>
        <v>599</v>
      </c>
      <c r="E1331" s="67" t="s">
        <v>339</v>
      </c>
      <c r="F1331" s="67"/>
      <c r="G1331" s="69" t="s">
        <v>363</v>
      </c>
    </row>
    <row r="1332" spans="2:7">
      <c r="B1332" s="267"/>
      <c r="C1332" s="65" t="s">
        <v>640</v>
      </c>
      <c r="D1332" s="66">
        <f>VLOOKUP(C1332,基本字段定义!$B$3:$C$3008,2,FALSE)</f>
        <v>719</v>
      </c>
      <c r="E1332" s="67" t="s">
        <v>339</v>
      </c>
      <c r="F1332" s="67"/>
      <c r="G1332" s="69" t="s">
        <v>657</v>
      </c>
    </row>
    <row r="1333" spans="2:7">
      <c r="B1333" s="267"/>
      <c r="C1333" s="65" t="s">
        <v>659</v>
      </c>
      <c r="D1333" s="66">
        <f>VLOOKUP(C1333,基本字段定义!$B$3:$C$3008,2,FALSE)</f>
        <v>722</v>
      </c>
      <c r="E1333" s="67" t="s">
        <v>339</v>
      </c>
      <c r="F1333" s="67"/>
      <c r="G1333" s="69" t="s">
        <v>660</v>
      </c>
    </row>
    <row r="1334" spans="2:7">
      <c r="B1334" s="267"/>
      <c r="C1334" s="65" t="s">
        <v>524</v>
      </c>
      <c r="D1334" s="66">
        <f>VLOOKUP(C1334,基本字段定义!$B$3:$C$3008,2,FALSE)</f>
        <v>511</v>
      </c>
      <c r="E1334" s="67" t="s">
        <v>339</v>
      </c>
      <c r="F1334" s="67"/>
      <c r="G1334" s="69" t="s">
        <v>525</v>
      </c>
    </row>
    <row r="1335" spans="2:7">
      <c r="B1335" s="267"/>
      <c r="C1335" s="65" t="s">
        <v>762</v>
      </c>
      <c r="D1335" s="66">
        <f>VLOOKUP(C1335,基本字段定义!$B$3:$C$3008,2,FALSE)</f>
        <v>724</v>
      </c>
      <c r="E1335" s="67" t="s">
        <v>337</v>
      </c>
      <c r="F1335" s="67"/>
      <c r="G1335" s="69" t="s">
        <v>794</v>
      </c>
    </row>
    <row r="1336" spans="2:7">
      <c r="B1336" s="267"/>
      <c r="C1336" s="65" t="s">
        <v>547</v>
      </c>
      <c r="D1336" s="66">
        <f>VLOOKUP(C1336,基本字段定义!$B$3:$C$3008,2,FALSE)</f>
        <v>760</v>
      </c>
      <c r="E1336" s="67" t="s">
        <v>537</v>
      </c>
      <c r="F1336" s="67"/>
      <c r="G1336" s="69" t="s">
        <v>970</v>
      </c>
    </row>
    <row r="1337" spans="2:7">
      <c r="B1337" s="267"/>
      <c r="C1337" s="65" t="s">
        <v>665</v>
      </c>
      <c r="D1337" s="66">
        <f>VLOOKUP(C1337,基本字段定义!$B$3:$C$3008,2,FALSE)</f>
        <v>729</v>
      </c>
      <c r="E1337" s="67" t="s">
        <v>537</v>
      </c>
      <c r="F1337" s="67"/>
      <c r="G1337" s="69" t="s">
        <v>666</v>
      </c>
    </row>
    <row r="1338" spans="2:7">
      <c r="B1338" s="267"/>
      <c r="C1338" s="65" t="s">
        <v>821</v>
      </c>
      <c r="D1338" s="66">
        <f>VLOOKUP(C1338,基本字段定义!$B$3:$C$3008,2,FALSE)</f>
        <v>636</v>
      </c>
      <c r="E1338" s="67" t="s">
        <v>537</v>
      </c>
      <c r="F1338" s="67"/>
      <c r="G1338" s="69" t="s">
        <v>971</v>
      </c>
    </row>
    <row r="1339" spans="2:7">
      <c r="B1339" s="267"/>
      <c r="C1339" s="65" t="s">
        <v>823</v>
      </c>
      <c r="D1339" s="66">
        <f>VLOOKUP(C1339,基本字段定义!$B$3:$C$3008,2,FALSE)</f>
        <v>1209</v>
      </c>
      <c r="E1339" s="67" t="s">
        <v>537</v>
      </c>
      <c r="F1339" s="67" t="s">
        <v>824</v>
      </c>
      <c r="G1339" s="69" t="s">
        <v>972</v>
      </c>
    </row>
    <row r="1340" spans="2:7">
      <c r="B1340" s="267"/>
      <c r="C1340" s="65" t="s">
        <v>826</v>
      </c>
      <c r="D1340" s="66">
        <f>VLOOKUP(C1340,基本字段定义!$B$3:$C$3008,2,FALSE)</f>
        <v>1098</v>
      </c>
      <c r="E1340" s="67" t="s">
        <v>537</v>
      </c>
      <c r="F1340" s="67"/>
      <c r="G1340" s="69" t="s">
        <v>973</v>
      </c>
    </row>
    <row r="1341" spans="2:7">
      <c r="B1341" s="267"/>
      <c r="C1341" s="65" t="s">
        <v>828</v>
      </c>
      <c r="D1341" s="66">
        <f>VLOOKUP(C1341,基本字段定义!$B$3:$C$3008,2,FALSE)</f>
        <v>761</v>
      </c>
      <c r="E1341" s="67" t="s">
        <v>537</v>
      </c>
      <c r="F1341" s="67"/>
      <c r="G1341" s="69" t="s">
        <v>974</v>
      </c>
    </row>
    <row r="1342" spans="2:7">
      <c r="B1342" s="267"/>
      <c r="C1342" s="65" t="s">
        <v>830</v>
      </c>
      <c r="D1342" s="66">
        <f>VLOOKUP(C1342,基本字段定义!$B$3:$C$3008,2,FALSE)</f>
        <v>1210</v>
      </c>
      <c r="E1342" s="67" t="s">
        <v>537</v>
      </c>
      <c r="F1342" s="67"/>
      <c r="G1342" s="69" t="s">
        <v>975</v>
      </c>
    </row>
    <row r="1343" spans="2:7">
      <c r="B1343" s="267"/>
      <c r="C1343" s="65" t="s">
        <v>832</v>
      </c>
      <c r="D1343" s="66">
        <f>VLOOKUP(C1343,基本字段定义!$B$3:$C$3008,2,FALSE)</f>
        <v>671</v>
      </c>
      <c r="E1343" s="67" t="s">
        <v>537</v>
      </c>
      <c r="F1343" s="67" t="s">
        <v>833</v>
      </c>
      <c r="G1343" s="69" t="s">
        <v>976</v>
      </c>
    </row>
    <row r="1344" spans="2:7">
      <c r="B1344" s="267"/>
      <c r="C1344" s="65" t="s">
        <v>835</v>
      </c>
      <c r="D1344" s="66">
        <f>VLOOKUP(C1344,基本字段定义!$B$3:$C$3008,2,FALSE)</f>
        <v>748</v>
      </c>
      <c r="E1344" s="67" t="s">
        <v>537</v>
      </c>
      <c r="F1344" s="67"/>
      <c r="G1344" s="69" t="s">
        <v>977</v>
      </c>
    </row>
    <row r="1345" spans="2:7">
      <c r="B1345" s="267"/>
      <c r="C1345" s="65" t="s">
        <v>837</v>
      </c>
      <c r="D1345" s="66">
        <f>VLOOKUP(C1345,基本字段定义!$B$3:$C$3008,2,FALSE)</f>
        <v>749</v>
      </c>
      <c r="E1345" s="67" t="s">
        <v>537</v>
      </c>
      <c r="F1345" s="67"/>
      <c r="G1345" s="69" t="s">
        <v>978</v>
      </c>
    </row>
    <row r="1346" spans="2:7">
      <c r="B1346" s="268"/>
      <c r="C1346" s="71"/>
      <c r="D1346" s="79"/>
      <c r="E1346" s="73"/>
      <c r="F1346" s="73"/>
      <c r="G1346" s="74"/>
    </row>
    <row r="1348" spans="2:7">
      <c r="B1348" s="53" t="s">
        <v>146</v>
      </c>
      <c r="C1348" s="80">
        <v>104211</v>
      </c>
      <c r="D1348" s="81"/>
      <c r="E1348" s="82"/>
      <c r="F1348" s="54" t="s">
        <v>326</v>
      </c>
      <c r="G1348" s="55">
        <v>20140122</v>
      </c>
    </row>
    <row r="1349" spans="2:7">
      <c r="B1349" s="56" t="s">
        <v>327</v>
      </c>
      <c r="C1349" s="83" t="str">
        <f>VLOOKUP(C1348,功能索引!$C$3:$D$269,2,FALSE)</f>
        <v>查询北交所协议行情</v>
      </c>
      <c r="D1349" s="84"/>
      <c r="E1349" s="85"/>
      <c r="F1349" s="57" t="s">
        <v>148</v>
      </c>
      <c r="G1349" s="58" t="str">
        <f>VLOOKUP(C1348,功能索引!$C$3:$E1794,3,FALSE)</f>
        <v>Y</v>
      </c>
    </row>
    <row r="1350" spans="2:7">
      <c r="B1350" s="266" t="s">
        <v>328</v>
      </c>
      <c r="C1350" s="95"/>
      <c r="D1350" s="96"/>
      <c r="E1350" s="96"/>
      <c r="F1350" s="96"/>
      <c r="G1350" s="97"/>
    </row>
    <row r="1351" spans="2:7">
      <c r="B1351" s="268"/>
      <c r="C1351" s="98"/>
      <c r="D1351" s="99"/>
      <c r="E1351" s="99"/>
      <c r="F1351" s="99"/>
      <c r="G1351" s="100"/>
    </row>
    <row r="1352" spans="2:7">
      <c r="B1352" s="287" t="s">
        <v>329</v>
      </c>
      <c r="C1352" s="54" t="s">
        <v>330</v>
      </c>
      <c r="D1352" s="54" t="s">
        <v>331</v>
      </c>
      <c r="E1352" s="54" t="s">
        <v>332</v>
      </c>
      <c r="F1352" s="54" t="s">
        <v>333</v>
      </c>
      <c r="G1352" s="60" t="s">
        <v>334</v>
      </c>
    </row>
    <row r="1353" spans="2:7">
      <c r="B1353" s="267"/>
      <c r="C1353" s="61" t="s">
        <v>640</v>
      </c>
      <c r="D1353" s="62">
        <f>VLOOKUP(C1353,基本字段定义!$B$3:$C$3008,2,FALSE)</f>
        <v>719</v>
      </c>
      <c r="E1353" s="63" t="s">
        <v>339</v>
      </c>
      <c r="F1353" s="63" t="s">
        <v>152</v>
      </c>
      <c r="G1353" s="64" t="s">
        <v>657</v>
      </c>
    </row>
    <row r="1354" spans="2:7">
      <c r="B1354" s="267"/>
      <c r="C1354" s="61" t="s">
        <v>772</v>
      </c>
      <c r="D1354" s="62">
        <f>VLOOKUP(C1354,基本字段定义!$B$3:$C$3008,2,FALSE)</f>
        <v>683</v>
      </c>
      <c r="E1354" s="63" t="s">
        <v>337</v>
      </c>
      <c r="F1354" s="63"/>
      <c r="G1354" s="64" t="s">
        <v>979</v>
      </c>
    </row>
    <row r="1355" spans="2:7">
      <c r="B1355" s="286"/>
      <c r="C1355" s="61" t="s">
        <v>980</v>
      </c>
      <c r="D1355" s="62">
        <f>VLOOKUP(C1355,基本字段定义!$B$3:$C$3008,2,FALSE)</f>
        <v>4176</v>
      </c>
      <c r="E1355" s="63" t="s">
        <v>339</v>
      </c>
      <c r="F1355" s="63"/>
      <c r="G1355" s="64" t="s">
        <v>981</v>
      </c>
    </row>
    <row r="1356" spans="2:7">
      <c r="B1356" s="266" t="s">
        <v>335</v>
      </c>
      <c r="C1356" s="65" t="s">
        <v>982</v>
      </c>
      <c r="D1356" s="66">
        <f>VLOOKUP(C1356,基本字段定义!$B$3:$C$3008,2,FALSE)</f>
        <v>2703</v>
      </c>
      <c r="E1356" s="67" t="s">
        <v>339</v>
      </c>
      <c r="F1356" s="67"/>
      <c r="G1356" s="69" t="s">
        <v>983</v>
      </c>
    </row>
    <row r="1357" spans="2:7">
      <c r="B1357" s="267"/>
      <c r="C1357" s="65" t="s">
        <v>772</v>
      </c>
      <c r="D1357" s="66">
        <f>VLOOKUP(C1357,基本字段定义!$B$3:$C$3008,2,FALSE)</f>
        <v>683</v>
      </c>
      <c r="E1357" s="67" t="s">
        <v>337</v>
      </c>
      <c r="F1357" s="67"/>
      <c r="G1357" s="69" t="s">
        <v>979</v>
      </c>
    </row>
    <row r="1358" spans="2:7">
      <c r="B1358" s="267"/>
      <c r="C1358" s="65" t="s">
        <v>640</v>
      </c>
      <c r="D1358" s="66">
        <f>VLOOKUP(C1358,基本字段定义!$B$3:$C$3008,2,FALSE)</f>
        <v>719</v>
      </c>
      <c r="E1358" s="67" t="s">
        <v>339</v>
      </c>
      <c r="F1358" s="67"/>
      <c r="G1358" s="69" t="s">
        <v>657</v>
      </c>
    </row>
    <row r="1359" spans="2:7">
      <c r="B1359" s="267"/>
      <c r="C1359" s="65" t="s">
        <v>776</v>
      </c>
      <c r="D1359" s="66">
        <f>VLOOKUP(C1359,基本字段定义!$B$3:$C$3008,2,FALSE)</f>
        <v>684</v>
      </c>
      <c r="E1359" s="67" t="s">
        <v>537</v>
      </c>
      <c r="F1359" s="67"/>
      <c r="G1359" s="69" t="s">
        <v>984</v>
      </c>
    </row>
    <row r="1360" spans="2:7">
      <c r="B1360" s="267"/>
      <c r="C1360" s="65" t="s">
        <v>778</v>
      </c>
      <c r="D1360" s="66">
        <f>VLOOKUP(C1360,基本字段定义!$B$3:$C$3008,2,FALSE)</f>
        <v>682</v>
      </c>
      <c r="E1360" s="67" t="s">
        <v>537</v>
      </c>
      <c r="F1360" s="67"/>
      <c r="G1360" s="69" t="s">
        <v>985</v>
      </c>
    </row>
    <row r="1361" spans="2:7">
      <c r="B1361" s="267"/>
      <c r="C1361" s="65" t="s">
        <v>986</v>
      </c>
      <c r="D1361" s="66">
        <f>VLOOKUP(C1361,基本字段定义!$B$3:$C$3008,2,FALSE)</f>
        <v>9076</v>
      </c>
      <c r="E1361" s="67" t="s">
        <v>339</v>
      </c>
      <c r="F1361" s="67"/>
      <c r="G1361" s="69" t="s">
        <v>987</v>
      </c>
    </row>
    <row r="1362" spans="2:7">
      <c r="B1362" s="267"/>
      <c r="C1362" s="87" t="s">
        <v>988</v>
      </c>
      <c r="D1362" s="66">
        <f>VLOOKUP(C1362,基本字段定义!$B$3:$C$3008,2,FALSE)</f>
        <v>2808</v>
      </c>
      <c r="E1362" s="88" t="s">
        <v>339</v>
      </c>
      <c r="F1362" s="88"/>
      <c r="G1362" s="90" t="s">
        <v>989</v>
      </c>
    </row>
    <row r="1363" spans="2:7">
      <c r="B1363" s="267"/>
      <c r="C1363" s="87" t="s">
        <v>980</v>
      </c>
      <c r="D1363" s="66">
        <f>VLOOKUP(C1363,基本字段定义!$B$3:$C$3008,2,FALSE)</f>
        <v>4176</v>
      </c>
      <c r="E1363" s="88" t="s">
        <v>339</v>
      </c>
      <c r="F1363" s="88"/>
      <c r="G1363" s="90" t="s">
        <v>990</v>
      </c>
    </row>
    <row r="1364" spans="2:7">
      <c r="B1364" s="267"/>
      <c r="C1364" s="87" t="s">
        <v>907</v>
      </c>
      <c r="D1364" s="66">
        <f>VLOOKUP(C1364,基本字段定义!$B$3:$C$3008,2,FALSE)</f>
        <v>750</v>
      </c>
      <c r="E1364" s="88" t="s">
        <v>337</v>
      </c>
      <c r="F1364" s="88"/>
      <c r="G1364" s="90" t="s">
        <v>910</v>
      </c>
    </row>
    <row r="1365" spans="2:7">
      <c r="B1365" s="268"/>
      <c r="C1365" s="71" t="s">
        <v>659</v>
      </c>
      <c r="D1365" s="79">
        <f>VLOOKUP(C1365,基本字段定义!$B$3:$C$3008,2,FALSE)</f>
        <v>722</v>
      </c>
      <c r="E1365" s="73" t="s">
        <v>339</v>
      </c>
      <c r="F1365" s="73"/>
      <c r="G1365" s="74" t="s">
        <v>660</v>
      </c>
    </row>
    <row r="1367" spans="2:7">
      <c r="B1367" s="53" t="s">
        <v>146</v>
      </c>
      <c r="C1367" s="80">
        <v>104212</v>
      </c>
      <c r="D1367" s="81"/>
      <c r="E1367" s="82"/>
      <c r="F1367" s="54" t="s">
        <v>326</v>
      </c>
      <c r="G1367" s="55">
        <v>20140313</v>
      </c>
    </row>
    <row r="1368" spans="2:7">
      <c r="B1368" s="56" t="s">
        <v>327</v>
      </c>
      <c r="C1368" s="83" t="str">
        <f>VLOOKUP(C1367,功能索引!$C$3:$D$269,2,FALSE)</f>
        <v>查询北交所做市行情</v>
      </c>
      <c r="D1368" s="84"/>
      <c r="E1368" s="85"/>
      <c r="F1368" s="57" t="s">
        <v>148</v>
      </c>
      <c r="G1368" s="58" t="str">
        <f>VLOOKUP(C1367,功能索引!$C$3:$E1813,3,FALSE)</f>
        <v>Y</v>
      </c>
    </row>
    <row r="1369" spans="2:7">
      <c r="B1369" s="266" t="s">
        <v>328</v>
      </c>
      <c r="C1369" s="95"/>
      <c r="D1369" s="96"/>
      <c r="E1369" s="96"/>
      <c r="F1369" s="96"/>
      <c r="G1369" s="97"/>
    </row>
    <row r="1370" spans="2:7">
      <c r="B1370" s="268"/>
      <c r="C1370" s="98"/>
      <c r="D1370" s="99"/>
      <c r="E1370" s="99"/>
      <c r="F1370" s="99"/>
      <c r="G1370" s="100"/>
    </row>
    <row r="1371" spans="2:7">
      <c r="B1371" s="287" t="s">
        <v>329</v>
      </c>
      <c r="C1371" s="54" t="s">
        <v>330</v>
      </c>
      <c r="D1371" s="54" t="s">
        <v>331</v>
      </c>
      <c r="E1371" s="54" t="s">
        <v>332</v>
      </c>
      <c r="F1371" s="54" t="s">
        <v>333</v>
      </c>
      <c r="G1371" s="60" t="s">
        <v>334</v>
      </c>
    </row>
    <row r="1372" spans="2:7">
      <c r="B1372" s="267"/>
      <c r="C1372" s="61" t="s">
        <v>640</v>
      </c>
      <c r="D1372" s="62">
        <f>VLOOKUP(C1372,基本字段定义!$B$3:$C$3008,2,FALSE)</f>
        <v>719</v>
      </c>
      <c r="E1372" s="63" t="s">
        <v>339</v>
      </c>
      <c r="F1372" s="63" t="s">
        <v>152</v>
      </c>
      <c r="G1372" s="64" t="s">
        <v>657</v>
      </c>
    </row>
    <row r="1373" spans="2:7">
      <c r="B1373" s="267"/>
      <c r="C1373" s="61" t="s">
        <v>772</v>
      </c>
      <c r="D1373" s="62">
        <f>VLOOKUP(C1373,基本字段定义!$B$3:$C$3008,2,FALSE)</f>
        <v>683</v>
      </c>
      <c r="E1373" s="63" t="s">
        <v>337</v>
      </c>
      <c r="F1373" s="63"/>
      <c r="G1373" s="64" t="s">
        <v>979</v>
      </c>
    </row>
    <row r="1374" spans="2:7">
      <c r="B1374" s="266" t="s">
        <v>335</v>
      </c>
      <c r="C1374" s="65" t="s">
        <v>772</v>
      </c>
      <c r="D1374" s="66">
        <f>VLOOKUP(C1374,基本字段定义!$B$3:$C$3008,2,FALSE)</f>
        <v>683</v>
      </c>
      <c r="E1374" s="67" t="s">
        <v>337</v>
      </c>
      <c r="F1374" s="67"/>
      <c r="G1374" s="69" t="s">
        <v>991</v>
      </c>
    </row>
    <row r="1375" spans="2:7">
      <c r="B1375" s="267"/>
      <c r="C1375" s="65" t="s">
        <v>640</v>
      </c>
      <c r="D1375" s="66">
        <f>VLOOKUP(C1375,基本字段定义!$B$3:$C$3008,2,FALSE)</f>
        <v>719</v>
      </c>
      <c r="E1375" s="67" t="s">
        <v>339</v>
      </c>
      <c r="F1375" s="67"/>
      <c r="G1375" s="69" t="s">
        <v>657</v>
      </c>
    </row>
    <row r="1376" spans="2:7">
      <c r="B1376" s="267"/>
      <c r="C1376" s="65" t="s">
        <v>776</v>
      </c>
      <c r="D1376" s="66">
        <f>VLOOKUP(C1376,基本字段定义!$B$3:$C$3008,2,FALSE)</f>
        <v>684</v>
      </c>
      <c r="E1376" s="67" t="s">
        <v>537</v>
      </c>
      <c r="F1376" s="67"/>
      <c r="G1376" s="69" t="s">
        <v>984</v>
      </c>
    </row>
    <row r="1377" spans="2:7">
      <c r="B1377" s="267"/>
      <c r="C1377" s="65" t="s">
        <v>778</v>
      </c>
      <c r="D1377" s="66">
        <f>VLOOKUP(C1377,基本字段定义!$B$3:$C$3008,2,FALSE)</f>
        <v>682</v>
      </c>
      <c r="E1377" s="67" t="s">
        <v>537</v>
      </c>
      <c r="F1377" s="67"/>
      <c r="G1377" s="69" t="s">
        <v>985</v>
      </c>
    </row>
    <row r="1378" spans="2:7">
      <c r="B1378" s="267"/>
      <c r="C1378" s="65" t="s">
        <v>992</v>
      </c>
      <c r="D1378" s="66">
        <f>VLOOKUP(C1378,基本字段定义!$B$3:$C$3008,2,FALSE)</f>
        <v>3082</v>
      </c>
      <c r="E1378" s="67" t="s">
        <v>339</v>
      </c>
      <c r="F1378" s="67"/>
      <c r="G1378" s="69" t="s">
        <v>993</v>
      </c>
    </row>
    <row r="1379" spans="2:7">
      <c r="B1379" s="267"/>
      <c r="C1379" s="87" t="s">
        <v>994</v>
      </c>
      <c r="D1379" s="66">
        <f>VLOOKUP(C1379,基本字段定义!$B$3:$C$3008,2,FALSE)</f>
        <v>1173</v>
      </c>
      <c r="E1379" s="88" t="s">
        <v>339</v>
      </c>
      <c r="F1379" s="88"/>
      <c r="G1379" s="90" t="s">
        <v>995</v>
      </c>
    </row>
    <row r="1380" spans="2:7">
      <c r="B1380" s="267"/>
      <c r="C1380" s="87" t="s">
        <v>907</v>
      </c>
      <c r="D1380" s="66">
        <f>VLOOKUP(C1380,基本字段定义!$B$3:$C$3008,2,FALSE)</f>
        <v>750</v>
      </c>
      <c r="E1380" s="88" t="s">
        <v>337</v>
      </c>
      <c r="F1380" s="88"/>
      <c r="G1380" s="90" t="s">
        <v>910</v>
      </c>
    </row>
    <row r="1381" spans="2:7">
      <c r="B1381" s="268"/>
      <c r="C1381" s="71" t="s">
        <v>659</v>
      </c>
      <c r="D1381" s="79">
        <f>VLOOKUP(C1381,基本字段定义!$B$3:$C$3008,2,FALSE)</f>
        <v>722</v>
      </c>
      <c r="E1381" s="73" t="s">
        <v>339</v>
      </c>
      <c r="F1381" s="73"/>
      <c r="G1381" s="74" t="s">
        <v>660</v>
      </c>
    </row>
    <row r="1383" spans="2:7">
      <c r="B1383" s="53" t="s">
        <v>146</v>
      </c>
      <c r="C1383" s="80">
        <v>104040</v>
      </c>
      <c r="D1383" s="81"/>
      <c r="E1383" s="82"/>
      <c r="F1383" s="54" t="s">
        <v>326</v>
      </c>
      <c r="G1383" s="55">
        <v>20120425</v>
      </c>
    </row>
    <row r="1384" spans="2:7">
      <c r="B1384" s="56" t="s">
        <v>327</v>
      </c>
      <c r="C1384" s="83" t="str">
        <f>VLOOKUP(C1383,功能索引!$C$3:$D$269,2,FALSE)</f>
        <v>报价回购品种参数查询</v>
      </c>
      <c r="D1384" s="84"/>
      <c r="E1384" s="85"/>
      <c r="F1384" s="57" t="s">
        <v>148</v>
      </c>
      <c r="G1384" s="58" t="str">
        <f>VLOOKUP(C1383,功能索引!$C$3:$E1808,3,FALSE)</f>
        <v>Y</v>
      </c>
    </row>
    <row r="1385" spans="2:7">
      <c r="B1385" s="266" t="s">
        <v>328</v>
      </c>
      <c r="C1385" s="95"/>
      <c r="D1385" s="96"/>
      <c r="E1385" s="96"/>
      <c r="F1385" s="96"/>
      <c r="G1385" s="97"/>
    </row>
    <row r="1386" spans="2:7">
      <c r="B1386" s="268"/>
      <c r="C1386" s="98"/>
      <c r="D1386" s="99"/>
      <c r="E1386" s="99"/>
      <c r="F1386" s="99"/>
      <c r="G1386" s="100"/>
    </row>
    <row r="1387" spans="2:7">
      <c r="B1387" s="287" t="s">
        <v>329</v>
      </c>
      <c r="C1387" s="54" t="s">
        <v>330</v>
      </c>
      <c r="D1387" s="54" t="s">
        <v>331</v>
      </c>
      <c r="E1387" s="54" t="s">
        <v>332</v>
      </c>
      <c r="F1387" s="54" t="s">
        <v>333</v>
      </c>
      <c r="G1387" s="60" t="s">
        <v>334</v>
      </c>
    </row>
    <row r="1388" spans="2:7">
      <c r="B1388" s="286"/>
      <c r="C1388" s="61" t="s">
        <v>361</v>
      </c>
      <c r="D1388" s="62">
        <f>VLOOKUP(C1388,基本字段定义!$B$3:$C$3008,2,FALSE)</f>
        <v>599</v>
      </c>
      <c r="E1388" s="63" t="s">
        <v>362</v>
      </c>
      <c r="F1388" s="63"/>
      <c r="G1388" s="64" t="s">
        <v>363</v>
      </c>
    </row>
    <row r="1389" spans="2:7">
      <c r="B1389" s="266" t="s">
        <v>335</v>
      </c>
      <c r="C1389" s="65" t="s">
        <v>361</v>
      </c>
      <c r="D1389" s="66">
        <f>VLOOKUP(C1389,基本字段定义!$B$3:$C$3008,2,FALSE)</f>
        <v>599</v>
      </c>
      <c r="E1389" s="67" t="s">
        <v>339</v>
      </c>
      <c r="F1389" s="67"/>
      <c r="G1389" s="69" t="s">
        <v>363</v>
      </c>
    </row>
    <row r="1390" spans="2:7">
      <c r="B1390" s="267"/>
      <c r="C1390" s="65" t="s">
        <v>996</v>
      </c>
      <c r="D1390" s="66">
        <f>VLOOKUP(C1390,基本字段定义!$B$3:$C$3008,2,FALSE)</f>
        <v>2300</v>
      </c>
      <c r="E1390" s="67" t="s">
        <v>339</v>
      </c>
      <c r="F1390" s="67"/>
      <c r="G1390" s="69" t="s">
        <v>997</v>
      </c>
    </row>
    <row r="1391" spans="2:7">
      <c r="B1391" s="267"/>
      <c r="C1391" s="65" t="s">
        <v>998</v>
      </c>
      <c r="D1391" s="66">
        <f>VLOOKUP(C1391,基本字段定义!$B$3:$C$3008,2,FALSE)</f>
        <v>2301</v>
      </c>
      <c r="E1391" s="67" t="s">
        <v>339</v>
      </c>
      <c r="F1391" s="67"/>
      <c r="G1391" s="69" t="s">
        <v>999</v>
      </c>
    </row>
    <row r="1392" spans="2:7">
      <c r="B1392" s="267"/>
      <c r="C1392" s="65" t="s">
        <v>1000</v>
      </c>
      <c r="D1392" s="66">
        <f>VLOOKUP(C1392,基本字段定义!$B$3:$C$3008,2,FALSE)</f>
        <v>2302</v>
      </c>
      <c r="E1392" s="67" t="s">
        <v>537</v>
      </c>
      <c r="F1392" s="67"/>
      <c r="G1392" s="69" t="s">
        <v>1001</v>
      </c>
    </row>
    <row r="1393" spans="2:7">
      <c r="B1393" s="267"/>
      <c r="C1393" s="65" t="s">
        <v>1002</v>
      </c>
      <c r="D1393" s="66">
        <f>VLOOKUP(C1393,基本字段定义!$B$3:$C$3008,2,FALSE)</f>
        <v>2303</v>
      </c>
      <c r="E1393" s="67" t="s">
        <v>537</v>
      </c>
      <c r="F1393" s="67"/>
      <c r="G1393" s="69" t="s">
        <v>1003</v>
      </c>
    </row>
    <row r="1394" spans="2:7">
      <c r="B1394" s="267"/>
      <c r="C1394" s="65" t="s">
        <v>1004</v>
      </c>
      <c r="D1394" s="66">
        <f>VLOOKUP(C1394,基本字段定义!$B$3:$C$3008,2,FALSE)</f>
        <v>1223</v>
      </c>
      <c r="E1394" s="67" t="s">
        <v>337</v>
      </c>
      <c r="F1394" s="67"/>
      <c r="G1394" s="69" t="s">
        <v>1005</v>
      </c>
    </row>
    <row r="1395" spans="2:7">
      <c r="B1395" s="268"/>
      <c r="C1395" s="71"/>
      <c r="D1395" s="79"/>
      <c r="E1395" s="73"/>
      <c r="F1395" s="73"/>
      <c r="G1395" s="74"/>
    </row>
    <row r="1397" spans="2:7">
      <c r="B1397" s="53" t="s">
        <v>146</v>
      </c>
      <c r="C1397" s="80">
        <v>104042</v>
      </c>
      <c r="D1397" s="81"/>
      <c r="E1397" s="82"/>
      <c r="F1397" s="54" t="s">
        <v>326</v>
      </c>
      <c r="G1397" s="55">
        <v>20120425</v>
      </c>
    </row>
    <row r="1398" spans="2:7">
      <c r="B1398" s="56" t="s">
        <v>327</v>
      </c>
      <c r="C1398" s="83" t="str">
        <f>VLOOKUP(C1397,功能索引!$C$3:$D$269,2,FALSE)</f>
        <v>报价回购预约委托信息查询</v>
      </c>
      <c r="D1398" s="84"/>
      <c r="E1398" s="85"/>
      <c r="F1398" s="57" t="s">
        <v>148</v>
      </c>
      <c r="G1398" s="58" t="str">
        <f>VLOOKUP(C1397,功能索引!$C$3:$E1786,3,FALSE)</f>
        <v>Y</v>
      </c>
    </row>
    <row r="1399" spans="2:7" ht="13.5" customHeight="1">
      <c r="B1399" s="269" t="s">
        <v>328</v>
      </c>
      <c r="C1399" s="95" t="s">
        <v>1006</v>
      </c>
      <c r="D1399" s="96"/>
      <c r="E1399" s="96"/>
      <c r="F1399" s="96"/>
      <c r="G1399" s="97"/>
    </row>
    <row r="1400" spans="2:7">
      <c r="B1400" s="270"/>
      <c r="C1400" s="98"/>
      <c r="D1400" s="99"/>
      <c r="E1400" s="99"/>
      <c r="F1400" s="99"/>
      <c r="G1400" s="100"/>
    </row>
    <row r="1401" spans="2:7">
      <c r="B1401" s="271" t="s">
        <v>329</v>
      </c>
      <c r="C1401" s="54" t="s">
        <v>330</v>
      </c>
      <c r="D1401" s="54" t="s">
        <v>331</v>
      </c>
      <c r="E1401" s="54" t="s">
        <v>332</v>
      </c>
      <c r="F1401" s="54" t="s">
        <v>333</v>
      </c>
      <c r="G1401" s="60" t="s">
        <v>334</v>
      </c>
    </row>
    <row r="1402" spans="2:7">
      <c r="B1402" s="269"/>
      <c r="C1402" s="61" t="s">
        <v>402</v>
      </c>
      <c r="D1402" s="62">
        <f>VLOOKUP(C1402,基本字段定义!$B$3:$C$3008,2,FALSE)</f>
        <v>605</v>
      </c>
      <c r="E1402" s="63" t="s">
        <v>403</v>
      </c>
      <c r="F1402" s="63" t="s">
        <v>152</v>
      </c>
      <c r="G1402" s="64" t="s">
        <v>404</v>
      </c>
    </row>
    <row r="1403" spans="2:7">
      <c r="B1403" s="269"/>
      <c r="C1403" s="61" t="s">
        <v>1007</v>
      </c>
      <c r="D1403" s="62">
        <f>VLOOKUP(C1403,基本字段定义!$B$3:$C$3008,2,FALSE)</f>
        <v>1080</v>
      </c>
      <c r="E1403" s="63" t="s">
        <v>337</v>
      </c>
      <c r="F1403" s="63" t="s">
        <v>152</v>
      </c>
      <c r="G1403" s="115" t="s">
        <v>1008</v>
      </c>
    </row>
    <row r="1404" spans="2:7">
      <c r="B1404" s="269"/>
      <c r="C1404" s="61" t="s">
        <v>1009</v>
      </c>
      <c r="D1404" s="62">
        <f>VLOOKUP(C1404,基本字段定义!$B$3:$C$3008,2,FALSE)</f>
        <v>2306</v>
      </c>
      <c r="E1404" s="63" t="s">
        <v>578</v>
      </c>
      <c r="F1404" s="63"/>
      <c r="G1404" s="64" t="s">
        <v>1010</v>
      </c>
    </row>
    <row r="1405" spans="2:7">
      <c r="B1405" s="269" t="s">
        <v>335</v>
      </c>
      <c r="C1405" s="65" t="s">
        <v>1011</v>
      </c>
      <c r="D1405" s="66">
        <f>VLOOKUP(C1405,基本字段定义!$B$3:$C$3008,2,FALSE)</f>
        <v>9150</v>
      </c>
      <c r="E1405" s="67" t="s">
        <v>339</v>
      </c>
      <c r="F1405" s="67"/>
      <c r="G1405" s="69" t="s">
        <v>1012</v>
      </c>
    </row>
    <row r="1406" spans="2:7">
      <c r="B1406" s="269"/>
      <c r="C1406" s="65" t="s">
        <v>956</v>
      </c>
      <c r="D1406" s="66">
        <f>VLOOKUP(C1406,基本字段定义!$B$3:$C$3008,2,FALSE)</f>
        <v>1898</v>
      </c>
      <c r="E1406" s="67" t="s">
        <v>339</v>
      </c>
      <c r="F1406" s="67"/>
      <c r="G1406" s="69" t="s">
        <v>1013</v>
      </c>
    </row>
    <row r="1407" spans="2:7">
      <c r="B1407" s="269"/>
      <c r="C1407" s="65" t="s">
        <v>882</v>
      </c>
      <c r="D1407" s="66">
        <f>VLOOKUP(C1407,基本字段定义!$B$3:$C$3008,2,FALSE)</f>
        <v>681</v>
      </c>
      <c r="E1407" s="67" t="s">
        <v>339</v>
      </c>
      <c r="F1407" s="67"/>
      <c r="G1407" s="69" t="s">
        <v>1014</v>
      </c>
    </row>
    <row r="1408" spans="2:7">
      <c r="B1408" s="269"/>
      <c r="C1408" s="65" t="s">
        <v>361</v>
      </c>
      <c r="D1408" s="66">
        <f>VLOOKUP(C1408,基本字段定义!$B$3:$C$3008,2,FALSE)</f>
        <v>599</v>
      </c>
      <c r="E1408" s="67" t="s">
        <v>339</v>
      </c>
      <c r="F1408" s="67"/>
      <c r="G1408" s="69" t="s">
        <v>363</v>
      </c>
    </row>
    <row r="1409" spans="2:7">
      <c r="B1409" s="269"/>
      <c r="C1409" s="65" t="s">
        <v>640</v>
      </c>
      <c r="D1409" s="66">
        <f>VLOOKUP(C1409,基本字段定义!$B$3:$C$3008,2,FALSE)</f>
        <v>719</v>
      </c>
      <c r="E1409" s="67" t="s">
        <v>339</v>
      </c>
      <c r="F1409" s="67"/>
      <c r="G1409" s="69" t="s">
        <v>657</v>
      </c>
    </row>
    <row r="1410" spans="2:7">
      <c r="B1410" s="269"/>
      <c r="C1410" s="65" t="s">
        <v>659</v>
      </c>
      <c r="D1410" s="66">
        <f>VLOOKUP(C1410,基本字段定义!$B$3:$C$3008,2,FALSE)</f>
        <v>722</v>
      </c>
      <c r="E1410" s="67" t="s">
        <v>337</v>
      </c>
      <c r="F1410" s="67"/>
      <c r="G1410" s="69" t="s">
        <v>660</v>
      </c>
    </row>
    <row r="1411" spans="2:7">
      <c r="B1411" s="269"/>
      <c r="C1411" s="65" t="s">
        <v>405</v>
      </c>
      <c r="D1411" s="66">
        <f>VLOOKUP(C1411,基本字段定义!$B$3:$C$3008,2,FALSE)</f>
        <v>571</v>
      </c>
      <c r="E1411" s="67" t="s">
        <v>337</v>
      </c>
      <c r="F1411" s="67"/>
      <c r="G1411" s="69" t="s">
        <v>407</v>
      </c>
    </row>
    <row r="1412" spans="2:7">
      <c r="B1412" s="269"/>
      <c r="C1412" s="65" t="s">
        <v>772</v>
      </c>
      <c r="D1412" s="66">
        <f>VLOOKUP(C1412,基本字段定义!$B$3:$C$3008,2,FALSE)</f>
        <v>683</v>
      </c>
      <c r="E1412" s="67" t="s">
        <v>339</v>
      </c>
      <c r="F1412" s="67"/>
      <c r="G1412" s="111" t="s">
        <v>1015</v>
      </c>
    </row>
    <row r="1413" spans="2:7">
      <c r="B1413" s="269"/>
      <c r="C1413" s="65" t="s">
        <v>776</v>
      </c>
      <c r="D1413" s="66">
        <f>VLOOKUP(C1413,基本字段定义!$B$3:$C$3008,2,FALSE)</f>
        <v>684</v>
      </c>
      <c r="E1413" s="67" t="s">
        <v>537</v>
      </c>
      <c r="F1413" s="67"/>
      <c r="G1413" s="69" t="s">
        <v>777</v>
      </c>
    </row>
    <row r="1414" spans="2:7">
      <c r="B1414" s="269"/>
      <c r="C1414" s="65" t="s">
        <v>778</v>
      </c>
      <c r="D1414" s="66">
        <f>VLOOKUP(C1414,基本字段定义!$B$3:$C$3008,2,FALSE)</f>
        <v>682</v>
      </c>
      <c r="E1414" s="67" t="s">
        <v>537</v>
      </c>
      <c r="F1414" s="67"/>
      <c r="G1414" s="69" t="s">
        <v>1016</v>
      </c>
    </row>
    <row r="1415" spans="2:7">
      <c r="B1415" s="269"/>
      <c r="C1415" s="65" t="s">
        <v>1009</v>
      </c>
      <c r="D1415" s="66">
        <f>VLOOKUP(C1415,基本字段定义!$B$3:$C$3008,2,FALSE)</f>
        <v>2306</v>
      </c>
      <c r="E1415" s="67" t="s">
        <v>337</v>
      </c>
      <c r="F1415" s="67"/>
      <c r="G1415" s="69" t="s">
        <v>1010</v>
      </c>
    </row>
    <row r="1416" spans="2:7">
      <c r="B1416" s="269"/>
      <c r="C1416" s="65" t="s">
        <v>625</v>
      </c>
      <c r="D1416" s="66">
        <f>VLOOKUP(C1416,基本字段定义!$B$3:$C$3008,2,FALSE)</f>
        <v>9227</v>
      </c>
      <c r="E1416" s="67" t="s">
        <v>337</v>
      </c>
      <c r="F1416" s="67"/>
      <c r="G1416" s="69" t="s">
        <v>1017</v>
      </c>
    </row>
    <row r="1417" spans="2:7">
      <c r="B1417" s="266"/>
      <c r="C1417" s="65" t="s">
        <v>569</v>
      </c>
      <c r="D1417" s="66">
        <f>VLOOKUP(C1417,基本字段定义!$B$3:$C$3008,2,FALSE)</f>
        <v>1458</v>
      </c>
      <c r="E1417" s="67" t="s">
        <v>337</v>
      </c>
      <c r="F1417" s="67"/>
      <c r="G1417" s="69" t="s">
        <v>1017</v>
      </c>
    </row>
    <row r="1418" spans="2:7">
      <c r="B1418" s="270"/>
      <c r="C1418" s="71"/>
      <c r="D1418" s="79"/>
      <c r="E1418" s="73"/>
      <c r="F1418" s="73"/>
      <c r="G1418" s="74"/>
    </row>
    <row r="1420" spans="2:7">
      <c r="B1420" s="53" t="s">
        <v>146</v>
      </c>
      <c r="C1420" s="80">
        <v>204568</v>
      </c>
      <c r="D1420" s="81"/>
      <c r="E1420" s="82"/>
      <c r="F1420" s="54" t="s">
        <v>326</v>
      </c>
      <c r="G1420" s="55">
        <v>20120425</v>
      </c>
    </row>
    <row r="1421" spans="2:7">
      <c r="B1421" s="56" t="s">
        <v>327</v>
      </c>
      <c r="C1421" s="83" t="str">
        <f>VLOOKUP(C1420,功能索引!$C$3:$D$269,2,FALSE)</f>
        <v>报价回购预约委托管理</v>
      </c>
      <c r="D1421" s="84"/>
      <c r="E1421" s="85"/>
      <c r="F1421" s="57" t="s">
        <v>148</v>
      </c>
      <c r="G1421" s="58">
        <f>VLOOKUP(C1420,功能索引!$C$3:$E1734,3,FALSE)</f>
        <v>0</v>
      </c>
    </row>
    <row r="1422" spans="2:7" ht="13.5" customHeight="1">
      <c r="B1422" s="269" t="s">
        <v>328</v>
      </c>
      <c r="C1422" s="95" t="s">
        <v>1018</v>
      </c>
      <c r="D1422" s="96"/>
      <c r="E1422" s="96"/>
      <c r="F1422" s="96"/>
      <c r="G1422" s="97"/>
    </row>
    <row r="1423" spans="2:7">
      <c r="B1423" s="266"/>
      <c r="C1423" s="107"/>
      <c r="D1423" s="108"/>
      <c r="E1423" s="108"/>
      <c r="F1423" s="108"/>
      <c r="G1423" s="109"/>
    </row>
    <row r="1424" spans="2:7">
      <c r="B1424" s="266"/>
      <c r="C1424" s="107"/>
      <c r="D1424" s="108"/>
      <c r="E1424" s="108"/>
      <c r="F1424" s="108"/>
      <c r="G1424" s="109"/>
    </row>
    <row r="1425" spans="2:7">
      <c r="B1425" s="270"/>
      <c r="C1425" s="98"/>
      <c r="D1425" s="99"/>
      <c r="E1425" s="99"/>
      <c r="F1425" s="99"/>
      <c r="G1425" s="100"/>
    </row>
    <row r="1426" spans="2:7">
      <c r="B1426" s="271" t="s">
        <v>329</v>
      </c>
      <c r="C1426" s="54" t="s">
        <v>330</v>
      </c>
      <c r="D1426" s="54" t="s">
        <v>331</v>
      </c>
      <c r="E1426" s="54" t="s">
        <v>332</v>
      </c>
      <c r="F1426" s="54" t="s">
        <v>333</v>
      </c>
      <c r="G1426" s="60" t="s">
        <v>334</v>
      </c>
    </row>
    <row r="1427" spans="2:7">
      <c r="B1427" s="269"/>
      <c r="C1427" s="61" t="s">
        <v>402</v>
      </c>
      <c r="D1427" s="62">
        <f>VLOOKUP(C1427,基本字段定义!$B$3:$C$3008,2,FALSE)</f>
        <v>605</v>
      </c>
      <c r="E1427" s="63" t="s">
        <v>403</v>
      </c>
      <c r="F1427" s="63" t="s">
        <v>152</v>
      </c>
      <c r="G1427" s="64" t="s">
        <v>404</v>
      </c>
    </row>
    <row r="1428" spans="2:7">
      <c r="B1428" s="269"/>
      <c r="C1428" s="61" t="s">
        <v>405</v>
      </c>
      <c r="D1428" s="62">
        <f>VLOOKUP(C1428,基本字段定义!$B$3:$C$3008,2,FALSE)</f>
        <v>571</v>
      </c>
      <c r="E1428" s="63" t="s">
        <v>406</v>
      </c>
      <c r="F1428" s="63" t="s">
        <v>152</v>
      </c>
      <c r="G1428" s="64" t="s">
        <v>407</v>
      </c>
    </row>
    <row r="1429" spans="2:7">
      <c r="B1429" s="269"/>
      <c r="C1429" s="61" t="s">
        <v>361</v>
      </c>
      <c r="D1429" s="62">
        <f>VLOOKUP(C1429,基本字段定义!$B$3:$C$3008,2,FALSE)</f>
        <v>599</v>
      </c>
      <c r="E1429" s="63" t="s">
        <v>362</v>
      </c>
      <c r="F1429" s="63" t="s">
        <v>152</v>
      </c>
      <c r="G1429" s="64" t="s">
        <v>363</v>
      </c>
    </row>
    <row r="1430" spans="2:7">
      <c r="B1430" s="269"/>
      <c r="C1430" s="61" t="s">
        <v>640</v>
      </c>
      <c r="D1430" s="62">
        <f>VLOOKUP(C1430,基本字段定义!$B$3:$C$3008,2,FALSE)</f>
        <v>719</v>
      </c>
      <c r="E1430" s="63" t="s">
        <v>480</v>
      </c>
      <c r="F1430" s="63" t="s">
        <v>152</v>
      </c>
      <c r="G1430" s="64" t="s">
        <v>657</v>
      </c>
    </row>
    <row r="1431" spans="2:7">
      <c r="B1431" s="269"/>
      <c r="C1431" s="61" t="s">
        <v>1019</v>
      </c>
      <c r="D1431" s="62">
        <f>VLOOKUP(C1431,基本字段定义!$B$3:$C$3008,2,FALSE)</f>
        <v>2314</v>
      </c>
      <c r="E1431" s="63" t="s">
        <v>578</v>
      </c>
      <c r="F1431" s="63" t="s">
        <v>152</v>
      </c>
      <c r="G1431" s="64" t="s">
        <v>1020</v>
      </c>
    </row>
    <row r="1432" spans="2:7" ht="25.5">
      <c r="B1432" s="269"/>
      <c r="C1432" s="61" t="s">
        <v>841</v>
      </c>
      <c r="D1432" s="62">
        <f>VLOOKUP(C1432,基本字段定义!$B$3:$C$3008,2,FALSE)</f>
        <v>595</v>
      </c>
      <c r="E1432" s="63" t="s">
        <v>337</v>
      </c>
      <c r="F1432" s="116" t="s">
        <v>1021</v>
      </c>
      <c r="G1432" s="64" t="s">
        <v>1022</v>
      </c>
    </row>
    <row r="1433" spans="2:7">
      <c r="B1433" s="269"/>
      <c r="C1433" s="61" t="s">
        <v>733</v>
      </c>
      <c r="D1433" s="62">
        <f>VLOOKUP(C1433,基本字段定义!$B$3:$C$3008,2,FALSE)</f>
        <v>526</v>
      </c>
      <c r="E1433" s="63" t="s">
        <v>537</v>
      </c>
      <c r="F1433" s="117"/>
      <c r="G1433" s="64" t="s">
        <v>1023</v>
      </c>
    </row>
    <row r="1434" spans="2:7">
      <c r="B1434" s="269"/>
      <c r="C1434" s="61" t="s">
        <v>882</v>
      </c>
      <c r="D1434" s="62">
        <f>VLOOKUP(C1434,基本字段定义!$B$3:$C$3008,2,FALSE)</f>
        <v>681</v>
      </c>
      <c r="E1434" s="63" t="s">
        <v>412</v>
      </c>
      <c r="F1434" s="117"/>
      <c r="G1434" s="64" t="s">
        <v>1024</v>
      </c>
    </row>
    <row r="1435" spans="2:7">
      <c r="B1435" s="269"/>
      <c r="C1435" s="61" t="s">
        <v>625</v>
      </c>
      <c r="D1435" s="62">
        <f>VLOOKUP(C1435,基本字段定义!$B$3:$C$3008,2,FALSE)</f>
        <v>9227</v>
      </c>
      <c r="E1435" s="63" t="s">
        <v>480</v>
      </c>
      <c r="F1435" s="118"/>
      <c r="G1435" s="64" t="s">
        <v>1025</v>
      </c>
    </row>
    <row r="1436" spans="2:7">
      <c r="B1436" s="269"/>
      <c r="C1436" s="61" t="s">
        <v>1011</v>
      </c>
      <c r="D1436" s="62">
        <f>VLOOKUP(C1436,基本字段定义!$B$3:$C$3008,2,FALSE)</f>
        <v>9150</v>
      </c>
      <c r="E1436" s="63" t="s">
        <v>337</v>
      </c>
      <c r="F1436" s="119" t="s">
        <v>1026</v>
      </c>
      <c r="G1436" s="64" t="s">
        <v>1027</v>
      </c>
    </row>
    <row r="1437" spans="2:7">
      <c r="B1437" s="269" t="s">
        <v>335</v>
      </c>
      <c r="C1437" s="65" t="s">
        <v>336</v>
      </c>
      <c r="D1437" s="66">
        <f>VLOOKUP(C1437,基本字段定义!$B$3:$C$3008,2,FALSE)</f>
        <v>507</v>
      </c>
      <c r="E1437" s="67" t="s">
        <v>337</v>
      </c>
      <c r="F1437" s="67"/>
      <c r="G1437" s="68"/>
    </row>
    <row r="1438" spans="2:7">
      <c r="B1438" s="269"/>
      <c r="C1438" s="65" t="s">
        <v>338</v>
      </c>
      <c r="D1438" s="66">
        <f>VLOOKUP(C1438,基本字段定义!$B$3:$C$3008,2,FALSE)</f>
        <v>508</v>
      </c>
      <c r="E1438" s="67" t="s">
        <v>339</v>
      </c>
      <c r="F1438" s="67"/>
      <c r="G1438" s="69"/>
    </row>
    <row r="1439" spans="2:7">
      <c r="B1439" s="269"/>
      <c r="C1439" s="65" t="s">
        <v>882</v>
      </c>
      <c r="D1439" s="66">
        <f>VLOOKUP(C1439,基本字段定义!$B$3:$C$3008,2,FALSE)</f>
        <v>681</v>
      </c>
      <c r="E1439" s="67" t="s">
        <v>337</v>
      </c>
      <c r="F1439" s="67"/>
      <c r="G1439" s="69" t="s">
        <v>883</v>
      </c>
    </row>
    <row r="1440" spans="2:7">
      <c r="B1440" s="270"/>
      <c r="C1440" s="71"/>
      <c r="D1440" s="79"/>
      <c r="E1440" s="73"/>
      <c r="F1440" s="73"/>
      <c r="G1440" s="74"/>
    </row>
    <row r="1442" spans="2:7">
      <c r="B1442" s="53" t="s">
        <v>146</v>
      </c>
      <c r="C1442" s="80">
        <v>105001</v>
      </c>
      <c r="D1442" s="81"/>
      <c r="E1442" s="82"/>
      <c r="F1442" s="54" t="s">
        <v>326</v>
      </c>
      <c r="G1442" s="55"/>
    </row>
    <row r="1443" spans="2:7">
      <c r="B1443" s="56" t="s">
        <v>327</v>
      </c>
      <c r="C1443" s="83" t="str">
        <f>VLOOKUP(C1442,功能索引!$C$3:$D$269,2,FALSE)</f>
        <v>基金公司参数查询</v>
      </c>
      <c r="D1443" s="84"/>
      <c r="E1443" s="85"/>
      <c r="F1443" s="57" t="s">
        <v>148</v>
      </c>
      <c r="G1443" s="58" t="str">
        <f>VLOOKUP(C1442,功能索引!$C$3:$E1807,3,FALSE)</f>
        <v>Y</v>
      </c>
    </row>
    <row r="1444" spans="2:7">
      <c r="B1444" s="269" t="s">
        <v>328</v>
      </c>
      <c r="C1444" s="95"/>
      <c r="D1444" s="96"/>
      <c r="E1444" s="96"/>
      <c r="F1444" s="96"/>
      <c r="G1444" s="97"/>
    </row>
    <row r="1445" spans="2:7">
      <c r="B1445" s="270"/>
      <c r="C1445" s="98"/>
      <c r="D1445" s="99"/>
      <c r="E1445" s="99"/>
      <c r="F1445" s="99"/>
      <c r="G1445" s="100"/>
    </row>
    <row r="1446" spans="2:7">
      <c r="B1446" s="271" t="s">
        <v>329</v>
      </c>
      <c r="C1446" s="54" t="s">
        <v>330</v>
      </c>
      <c r="D1446" s="54" t="s">
        <v>331</v>
      </c>
      <c r="E1446" s="54" t="s">
        <v>332</v>
      </c>
      <c r="F1446" s="54" t="s">
        <v>333</v>
      </c>
      <c r="G1446" s="60" t="s">
        <v>334</v>
      </c>
    </row>
    <row r="1447" spans="2:7">
      <c r="B1447" s="269"/>
      <c r="C1447" s="61" t="s">
        <v>1028</v>
      </c>
      <c r="D1447" s="62">
        <f>VLOOKUP(C1447,基本字段定义!$B$3:$C$3008,2,FALSE)</f>
        <v>9198</v>
      </c>
      <c r="E1447" s="63" t="s">
        <v>362</v>
      </c>
      <c r="F1447" s="63"/>
      <c r="G1447" s="64" t="s">
        <v>1029</v>
      </c>
    </row>
    <row r="1448" spans="2:7">
      <c r="B1448" s="269" t="s">
        <v>335</v>
      </c>
      <c r="C1448" s="65" t="s">
        <v>1028</v>
      </c>
      <c r="D1448" s="66">
        <f>VLOOKUP(C1448,基本字段定义!$B$3:$C$3008,2,FALSE)</f>
        <v>9198</v>
      </c>
      <c r="E1448" s="67" t="s">
        <v>339</v>
      </c>
      <c r="F1448" s="67"/>
      <c r="G1448" s="68" t="s">
        <v>1029</v>
      </c>
    </row>
    <row r="1449" spans="2:7">
      <c r="B1449" s="269"/>
      <c r="C1449" s="65" t="s">
        <v>358</v>
      </c>
      <c r="D1449" s="66">
        <f>VLOOKUP(C1449,基本字段定义!$B$3:$C$3008,2,FALSE)</f>
        <v>834</v>
      </c>
      <c r="E1449" s="67" t="s">
        <v>339</v>
      </c>
      <c r="F1449" s="67"/>
      <c r="G1449" s="69" t="s">
        <v>1030</v>
      </c>
    </row>
    <row r="1450" spans="2:7">
      <c r="B1450" s="269"/>
      <c r="C1450" s="65" t="s">
        <v>1031</v>
      </c>
      <c r="D1450" s="66">
        <f>VLOOKUP(C1450,基本字段定义!$B$3:$C$3008,2,FALSE)</f>
        <v>833</v>
      </c>
      <c r="E1450" s="67" t="s">
        <v>339</v>
      </c>
      <c r="F1450" s="67"/>
      <c r="G1450" s="69" t="s">
        <v>1032</v>
      </c>
    </row>
    <row r="1451" spans="2:7">
      <c r="B1451" s="270"/>
      <c r="C1451" s="71"/>
      <c r="D1451" s="79"/>
      <c r="E1451" s="73"/>
      <c r="F1451" s="73"/>
      <c r="G1451" s="74"/>
    </row>
    <row r="1453" spans="2:7">
      <c r="B1453" s="53" t="s">
        <v>146</v>
      </c>
      <c r="C1453" s="80">
        <v>105002</v>
      </c>
      <c r="D1453" s="81"/>
      <c r="E1453" s="82"/>
      <c r="F1453" s="54" t="s">
        <v>326</v>
      </c>
      <c r="G1453" s="55">
        <v>20120626</v>
      </c>
    </row>
    <row r="1454" spans="2:7">
      <c r="B1454" s="56" t="s">
        <v>327</v>
      </c>
      <c r="C1454" s="83" t="str">
        <f>VLOOKUP(C1453,功能索引!$C$3:$D$269,2,FALSE)</f>
        <v>基金代码查询</v>
      </c>
      <c r="D1454" s="84"/>
      <c r="E1454" s="85"/>
      <c r="F1454" s="57" t="s">
        <v>148</v>
      </c>
      <c r="G1454" s="58" t="str">
        <f>VLOOKUP(C1453,功能索引!$C$3:$E1834,3,FALSE)</f>
        <v>Y</v>
      </c>
    </row>
    <row r="1455" spans="2:7">
      <c r="B1455" s="269" t="s">
        <v>328</v>
      </c>
      <c r="C1455" s="95"/>
      <c r="D1455" s="96"/>
      <c r="E1455" s="96"/>
      <c r="F1455" s="96"/>
      <c r="G1455" s="97"/>
    </row>
    <row r="1456" spans="2:7">
      <c r="B1456" s="270"/>
      <c r="C1456" s="98"/>
      <c r="D1456" s="99"/>
      <c r="E1456" s="99"/>
      <c r="F1456" s="99"/>
      <c r="G1456" s="100"/>
    </row>
    <row r="1457" spans="2:7">
      <c r="B1457" s="271" t="s">
        <v>329</v>
      </c>
      <c r="C1457" s="54" t="s">
        <v>330</v>
      </c>
      <c r="D1457" s="54" t="s">
        <v>331</v>
      </c>
      <c r="E1457" s="54" t="s">
        <v>332</v>
      </c>
      <c r="F1457" s="54" t="s">
        <v>333</v>
      </c>
      <c r="G1457" s="60" t="s">
        <v>334</v>
      </c>
    </row>
    <row r="1458" spans="2:7">
      <c r="B1458" s="286"/>
      <c r="C1458" s="61" t="s">
        <v>1028</v>
      </c>
      <c r="D1458" s="62">
        <f>VLOOKUP(C1458,基本字段定义!$B$3:$C$3008,2,FALSE)</f>
        <v>9198</v>
      </c>
      <c r="E1458" s="63" t="s">
        <v>362</v>
      </c>
      <c r="F1458" s="63"/>
      <c r="G1458" s="64" t="s">
        <v>1029</v>
      </c>
    </row>
    <row r="1459" spans="2:7">
      <c r="B1459" s="286"/>
      <c r="C1459" s="61" t="s">
        <v>1033</v>
      </c>
      <c r="D1459" s="62">
        <f>VLOOKUP(C1459,基本字段定义!$B$3:$C$3008,2,FALSE)</f>
        <v>9357</v>
      </c>
      <c r="E1459" s="63" t="s">
        <v>578</v>
      </c>
      <c r="F1459" s="63"/>
      <c r="G1459" s="64" t="s">
        <v>1034</v>
      </c>
    </row>
    <row r="1460" spans="2:7">
      <c r="B1460" s="269"/>
      <c r="C1460" s="120" t="s">
        <v>1035</v>
      </c>
      <c r="D1460" s="119">
        <f>VLOOKUP(C1460,基本字段定义!$B$3:$C$3008,2,FALSE)</f>
        <v>9364</v>
      </c>
      <c r="E1460" s="119" t="s">
        <v>337</v>
      </c>
      <c r="F1460" s="119"/>
      <c r="G1460" s="115" t="s">
        <v>1036</v>
      </c>
    </row>
    <row r="1461" spans="2:7">
      <c r="B1461" s="269" t="s">
        <v>335</v>
      </c>
      <c r="C1461" s="65" t="s">
        <v>1028</v>
      </c>
      <c r="D1461" s="66">
        <f>VLOOKUP(C1461,基本字段定义!$B$3:$C$3008,2,FALSE)</f>
        <v>9198</v>
      </c>
      <c r="E1461" s="67" t="s">
        <v>339</v>
      </c>
      <c r="F1461" s="67"/>
      <c r="G1461" s="69" t="s">
        <v>1029</v>
      </c>
    </row>
    <row r="1462" spans="2:7">
      <c r="B1462" s="269"/>
      <c r="C1462" s="65" t="s">
        <v>739</v>
      </c>
      <c r="D1462" s="66">
        <f>VLOOKUP(C1462,基本字段定义!$B$3:$C$3008,2,FALSE)</f>
        <v>9129</v>
      </c>
      <c r="E1462" s="67" t="s">
        <v>339</v>
      </c>
      <c r="F1462" s="67"/>
      <c r="G1462" s="68" t="s">
        <v>740</v>
      </c>
    </row>
    <row r="1463" spans="2:7">
      <c r="B1463" s="269"/>
      <c r="C1463" s="65" t="s">
        <v>1037</v>
      </c>
      <c r="D1463" s="66">
        <f>VLOOKUP(C1463,基本字段定义!$B$3:$C$3008,2,FALSE)</f>
        <v>9202</v>
      </c>
      <c r="E1463" s="67" t="s">
        <v>339</v>
      </c>
      <c r="F1463" s="67"/>
      <c r="G1463" s="69" t="s">
        <v>744</v>
      </c>
    </row>
    <row r="1464" spans="2:7">
      <c r="B1464" s="269"/>
      <c r="C1464" s="65" t="s">
        <v>1038</v>
      </c>
      <c r="D1464" s="66">
        <f>VLOOKUP(C1464,基本字段定义!$B$3:$C$3008,2,FALSE)</f>
        <v>9203</v>
      </c>
      <c r="E1464" s="67" t="s">
        <v>339</v>
      </c>
      <c r="F1464" s="67"/>
      <c r="G1464" s="69" t="s">
        <v>1039</v>
      </c>
    </row>
    <row r="1465" spans="2:7">
      <c r="B1465" s="269"/>
      <c r="C1465" s="65" t="s">
        <v>1040</v>
      </c>
      <c r="D1465" s="66">
        <f>VLOOKUP(C1465,基本字段定义!$B$3:$C$3008,2,FALSE)</f>
        <v>9204</v>
      </c>
      <c r="E1465" s="67" t="s">
        <v>537</v>
      </c>
      <c r="F1465" s="67"/>
      <c r="G1465" s="69" t="s">
        <v>1041</v>
      </c>
    </row>
    <row r="1466" spans="2:7">
      <c r="B1466" s="269"/>
      <c r="C1466" s="65" t="s">
        <v>1042</v>
      </c>
      <c r="D1466" s="66">
        <f>VLOOKUP(C1466,基本字段定义!$B$3:$C$3008,2,FALSE)</f>
        <v>874</v>
      </c>
      <c r="E1466" s="67" t="s">
        <v>337</v>
      </c>
      <c r="F1466" s="67"/>
      <c r="G1466" s="69" t="s">
        <v>1043</v>
      </c>
    </row>
    <row r="1467" spans="2:7">
      <c r="B1467" s="269"/>
      <c r="C1467" s="65" t="s">
        <v>1044</v>
      </c>
      <c r="D1467" s="66">
        <f>VLOOKUP(C1467,基本字段定义!$B$3:$C$3008,2,FALSE)</f>
        <v>9322</v>
      </c>
      <c r="E1467" s="67" t="s">
        <v>537</v>
      </c>
      <c r="F1467" s="67"/>
      <c r="G1467" s="69" t="s">
        <v>1045</v>
      </c>
    </row>
    <row r="1468" spans="2:7">
      <c r="B1468" s="269"/>
      <c r="C1468" s="65" t="s">
        <v>1046</v>
      </c>
      <c r="D1468" s="66">
        <f>VLOOKUP(C1468,基本字段定义!$B$3:$C$3008,2,FALSE)</f>
        <v>9323</v>
      </c>
      <c r="E1468" s="67" t="s">
        <v>537</v>
      </c>
      <c r="F1468" s="67"/>
      <c r="G1468" s="69" t="s">
        <v>1047</v>
      </c>
    </row>
    <row r="1469" spans="2:7">
      <c r="B1469" s="269"/>
      <c r="C1469" s="65" t="s">
        <v>1048</v>
      </c>
      <c r="D1469" s="66">
        <f>VLOOKUP(C1469,基本字段定义!$B$3:$C$3008,2,FALSE)</f>
        <v>9324</v>
      </c>
      <c r="E1469" s="67" t="s">
        <v>537</v>
      </c>
      <c r="F1469" s="67"/>
      <c r="G1469" s="69" t="s">
        <v>1049</v>
      </c>
    </row>
    <row r="1470" spans="2:7">
      <c r="B1470" s="269"/>
      <c r="C1470" s="65" t="s">
        <v>1033</v>
      </c>
      <c r="D1470" s="66">
        <f>VLOOKUP(C1470,基本字段定义!$B$3:$C$3008,2,FALSE)</f>
        <v>9357</v>
      </c>
      <c r="E1470" s="67" t="s">
        <v>339</v>
      </c>
      <c r="F1470" s="67"/>
      <c r="G1470" s="69" t="s">
        <v>1034</v>
      </c>
    </row>
    <row r="1471" spans="2:7">
      <c r="B1471" s="266"/>
      <c r="C1471" s="112" t="s">
        <v>1035</v>
      </c>
      <c r="D1471" s="113">
        <f>VLOOKUP(C1471,基本字段定义!$B$3:$C$3008,2,FALSE)</f>
        <v>9364</v>
      </c>
      <c r="E1471" s="113" t="s">
        <v>337</v>
      </c>
      <c r="F1471" s="113"/>
      <c r="G1471" s="111" t="s">
        <v>1036</v>
      </c>
    </row>
    <row r="1472" spans="2:7">
      <c r="B1472" s="270"/>
      <c r="C1472" s="71"/>
      <c r="D1472" s="79"/>
      <c r="E1472" s="73"/>
      <c r="F1472" s="73"/>
      <c r="G1472" s="74"/>
    </row>
    <row r="1474" spans="2:7">
      <c r="B1474" s="53" t="s">
        <v>146</v>
      </c>
      <c r="C1474" s="80">
        <v>105012</v>
      </c>
      <c r="D1474" s="81"/>
      <c r="E1474" s="82"/>
      <c r="F1474" s="54" t="s">
        <v>326</v>
      </c>
      <c r="G1474" s="55"/>
    </row>
    <row r="1475" spans="2:7">
      <c r="B1475" s="56" t="s">
        <v>327</v>
      </c>
      <c r="C1475" s="83" t="str">
        <f>VLOOKUP(C1474,功能索引!$C$3:$D$269,2,FALSE)</f>
        <v>客户风险承受能力相适应的基金代码查询</v>
      </c>
      <c r="D1475" s="84"/>
      <c r="E1475" s="85"/>
      <c r="F1475" s="57" t="s">
        <v>148</v>
      </c>
      <c r="G1475" s="58" t="str">
        <f>VLOOKUP(C1474,功能索引!$C$3:$E1894,3,FALSE)</f>
        <v>Y</v>
      </c>
    </row>
    <row r="1476" spans="2:7">
      <c r="B1476" s="269" t="s">
        <v>328</v>
      </c>
      <c r="C1476" s="95"/>
      <c r="D1476" s="96"/>
      <c r="E1476" s="96"/>
      <c r="F1476" s="96"/>
      <c r="G1476" s="97"/>
    </row>
    <row r="1477" spans="2:7">
      <c r="B1477" s="270"/>
      <c r="C1477" s="98"/>
      <c r="D1477" s="99"/>
      <c r="E1477" s="99"/>
      <c r="F1477" s="99"/>
      <c r="G1477" s="100"/>
    </row>
    <row r="1478" spans="2:7">
      <c r="B1478" s="271" t="s">
        <v>329</v>
      </c>
      <c r="C1478" s="54" t="s">
        <v>330</v>
      </c>
      <c r="D1478" s="54" t="s">
        <v>331</v>
      </c>
      <c r="E1478" s="54" t="s">
        <v>332</v>
      </c>
      <c r="F1478" s="54" t="s">
        <v>333</v>
      </c>
      <c r="G1478" s="60" t="s">
        <v>334</v>
      </c>
    </row>
    <row r="1479" spans="2:7">
      <c r="B1479" s="269"/>
      <c r="C1479" s="61" t="s">
        <v>402</v>
      </c>
      <c r="D1479" s="62">
        <f>VLOOKUP(C1479,基本字段定义!$B$3:$C$3008,2,FALSE)</f>
        <v>605</v>
      </c>
      <c r="E1479" s="63" t="s">
        <v>403</v>
      </c>
      <c r="F1479" s="63" t="s">
        <v>152</v>
      </c>
      <c r="G1479" s="64" t="s">
        <v>404</v>
      </c>
    </row>
    <row r="1480" spans="2:7">
      <c r="B1480" s="269" t="s">
        <v>335</v>
      </c>
      <c r="C1480" s="65" t="s">
        <v>1028</v>
      </c>
      <c r="D1480" s="66">
        <f>VLOOKUP(C1480,基本字段定义!$B$3:$C$3008,2,FALSE)</f>
        <v>9198</v>
      </c>
      <c r="E1480" s="67" t="s">
        <v>339</v>
      </c>
      <c r="F1480" s="67"/>
      <c r="G1480" s="68" t="s">
        <v>1029</v>
      </c>
    </row>
    <row r="1481" spans="2:7">
      <c r="B1481" s="269"/>
      <c r="C1481" s="65" t="s">
        <v>739</v>
      </c>
      <c r="D1481" s="66">
        <f>VLOOKUP(C1481,基本字段定义!$B$3:$C$3008,2,FALSE)</f>
        <v>9129</v>
      </c>
      <c r="E1481" s="67" t="s">
        <v>339</v>
      </c>
      <c r="F1481" s="67"/>
      <c r="G1481" s="69" t="s">
        <v>740</v>
      </c>
    </row>
    <row r="1482" spans="2:7">
      <c r="B1482" s="269"/>
      <c r="C1482" s="65" t="s">
        <v>1037</v>
      </c>
      <c r="D1482" s="66">
        <f>VLOOKUP(C1482,基本字段定义!$B$3:$C$3008,2,FALSE)</f>
        <v>9202</v>
      </c>
      <c r="E1482" s="67" t="s">
        <v>339</v>
      </c>
      <c r="F1482" s="67"/>
      <c r="G1482" s="69" t="s">
        <v>744</v>
      </c>
    </row>
    <row r="1483" spans="2:7">
      <c r="B1483" s="270"/>
      <c r="C1483" s="71"/>
      <c r="D1483" s="79"/>
      <c r="E1483" s="73"/>
      <c r="F1483" s="73"/>
      <c r="G1483" s="74"/>
    </row>
    <row r="1485" spans="2:7">
      <c r="B1485" s="53" t="s">
        <v>146</v>
      </c>
      <c r="C1485" s="80">
        <v>205004</v>
      </c>
      <c r="D1485" s="81"/>
      <c r="E1485" s="82"/>
      <c r="F1485" s="54" t="s">
        <v>326</v>
      </c>
      <c r="G1485" s="55"/>
    </row>
    <row r="1486" spans="2:7">
      <c r="B1486" s="56" t="s">
        <v>327</v>
      </c>
      <c r="C1486" s="83" t="str">
        <f>VLOOKUP(C1485,功能索引!$C$3:$D$269,2,FALSE)</f>
        <v>基金账户自助开户</v>
      </c>
      <c r="D1486" s="84"/>
      <c r="E1486" s="85"/>
      <c r="F1486" s="57" t="s">
        <v>148</v>
      </c>
      <c r="G1486" s="58">
        <f>VLOOKUP(C1485,功能索引!$C$3:$E1911,3,FALSE)</f>
        <v>0</v>
      </c>
    </row>
    <row r="1487" spans="2:7">
      <c r="B1487" s="269" t="s">
        <v>328</v>
      </c>
      <c r="C1487" s="95"/>
      <c r="D1487" s="96"/>
      <c r="E1487" s="96"/>
      <c r="F1487" s="96"/>
      <c r="G1487" s="97"/>
    </row>
    <row r="1488" spans="2:7">
      <c r="B1488" s="270"/>
      <c r="C1488" s="98"/>
      <c r="D1488" s="99"/>
      <c r="E1488" s="99"/>
      <c r="F1488" s="99"/>
      <c r="G1488" s="100"/>
    </row>
    <row r="1489" spans="2:7">
      <c r="B1489" s="271" t="s">
        <v>329</v>
      </c>
      <c r="C1489" s="54" t="s">
        <v>330</v>
      </c>
      <c r="D1489" s="54" t="s">
        <v>331</v>
      </c>
      <c r="E1489" s="54" t="s">
        <v>332</v>
      </c>
      <c r="F1489" s="54" t="s">
        <v>333</v>
      </c>
      <c r="G1489" s="60" t="s">
        <v>334</v>
      </c>
    </row>
    <row r="1490" spans="2:7">
      <c r="B1490" s="269"/>
      <c r="C1490" s="61" t="s">
        <v>402</v>
      </c>
      <c r="D1490" s="62">
        <f>VLOOKUP(C1490,基本字段定义!$B$3:$C$3008,2,FALSE)</f>
        <v>605</v>
      </c>
      <c r="E1490" s="63" t="s">
        <v>403</v>
      </c>
      <c r="F1490" s="63" t="s">
        <v>152</v>
      </c>
      <c r="G1490" s="64" t="s">
        <v>404</v>
      </c>
    </row>
    <row r="1491" spans="2:7">
      <c r="B1491" s="269"/>
      <c r="C1491" s="61" t="s">
        <v>1028</v>
      </c>
      <c r="D1491" s="62">
        <f>VLOOKUP(C1491,基本字段定义!$B$3:$C$3008,2,FALSE)</f>
        <v>9198</v>
      </c>
      <c r="E1491" s="63" t="s">
        <v>362</v>
      </c>
      <c r="F1491" s="63" t="s">
        <v>152</v>
      </c>
      <c r="G1491" s="64" t="s">
        <v>1029</v>
      </c>
    </row>
    <row r="1492" spans="2:7">
      <c r="B1492" s="269"/>
      <c r="C1492" s="61" t="s">
        <v>405</v>
      </c>
      <c r="D1492" s="62">
        <f>VLOOKUP(C1492,基本字段定义!$B$3:$C$3008,2,FALSE)</f>
        <v>571</v>
      </c>
      <c r="E1492" s="63" t="s">
        <v>406</v>
      </c>
      <c r="F1492" s="63"/>
      <c r="G1492" s="64" t="s">
        <v>1050</v>
      </c>
    </row>
    <row r="1493" spans="2:7">
      <c r="B1493" s="269" t="s">
        <v>335</v>
      </c>
      <c r="C1493" s="65" t="s">
        <v>336</v>
      </c>
      <c r="D1493" s="66">
        <f>VLOOKUP(C1493,基本字段定义!$B$3:$C$3008,2,FALSE)</f>
        <v>507</v>
      </c>
      <c r="E1493" s="67" t="s">
        <v>337</v>
      </c>
      <c r="F1493" s="67"/>
      <c r="G1493" s="69"/>
    </row>
    <row r="1494" spans="2:7">
      <c r="B1494" s="269"/>
      <c r="C1494" s="65" t="s">
        <v>338</v>
      </c>
      <c r="D1494" s="66">
        <f>VLOOKUP(C1494,基本字段定义!$B$3:$C$3008,2,FALSE)</f>
        <v>508</v>
      </c>
      <c r="E1494" s="67" t="s">
        <v>339</v>
      </c>
      <c r="F1494" s="67"/>
      <c r="G1494" s="68"/>
    </row>
    <row r="1495" spans="2:7">
      <c r="B1495" s="269"/>
      <c r="C1495" s="65" t="s">
        <v>882</v>
      </c>
      <c r="D1495" s="66">
        <f>VLOOKUP(C1495,基本字段定义!$B$3:$C$3008,2,FALSE)</f>
        <v>681</v>
      </c>
      <c r="E1495" s="67" t="s">
        <v>337</v>
      </c>
      <c r="F1495" s="67"/>
      <c r="G1495" s="69" t="s">
        <v>884</v>
      </c>
    </row>
    <row r="1496" spans="2:7">
      <c r="B1496" s="270"/>
      <c r="C1496" s="71"/>
      <c r="D1496" s="79"/>
      <c r="E1496" s="73"/>
      <c r="F1496" s="73"/>
      <c r="G1496" s="74"/>
    </row>
    <row r="1498" spans="2:7">
      <c r="B1498" s="53" t="s">
        <v>146</v>
      </c>
      <c r="C1498" s="80">
        <v>205007</v>
      </c>
      <c r="D1498" s="81"/>
      <c r="E1498" s="82"/>
      <c r="F1498" s="54" t="s">
        <v>326</v>
      </c>
      <c r="G1498" s="55"/>
    </row>
    <row r="1499" spans="2:7">
      <c r="B1499" s="56" t="s">
        <v>327</v>
      </c>
      <c r="C1499" s="83" t="str">
        <f>VLOOKUP(C1498,功能索引!$C$3:$D$269,2,FALSE)</f>
        <v>基金认购申购风险检查</v>
      </c>
      <c r="D1499" s="84"/>
      <c r="E1499" s="85"/>
      <c r="F1499" s="57" t="s">
        <v>148</v>
      </c>
      <c r="G1499" s="58">
        <f>VLOOKUP(C1498,功能索引!$C$3:$E1926,3,FALSE)</f>
        <v>0</v>
      </c>
    </row>
    <row r="1500" spans="2:7" ht="13.5" customHeight="1">
      <c r="B1500" s="269" t="s">
        <v>328</v>
      </c>
      <c r="C1500" s="95" t="s">
        <v>1051</v>
      </c>
      <c r="D1500" s="96"/>
      <c r="E1500" s="96"/>
      <c r="F1500" s="96"/>
      <c r="G1500" s="97"/>
    </row>
    <row r="1501" spans="2:7">
      <c r="B1501" s="270"/>
      <c r="C1501" s="98"/>
      <c r="D1501" s="99"/>
      <c r="E1501" s="99"/>
      <c r="F1501" s="99"/>
      <c r="G1501" s="100"/>
    </row>
    <row r="1502" spans="2:7">
      <c r="B1502" s="271" t="s">
        <v>329</v>
      </c>
      <c r="C1502" s="54" t="s">
        <v>330</v>
      </c>
      <c r="D1502" s="54" t="s">
        <v>331</v>
      </c>
      <c r="E1502" s="54" t="s">
        <v>332</v>
      </c>
      <c r="F1502" s="54" t="s">
        <v>333</v>
      </c>
      <c r="G1502" s="60" t="s">
        <v>334</v>
      </c>
    </row>
    <row r="1503" spans="2:7">
      <c r="B1503" s="269"/>
      <c r="C1503" s="61" t="s">
        <v>402</v>
      </c>
      <c r="D1503" s="62">
        <f>VLOOKUP(C1503,基本字段定义!$B$3:$C$3008,2,FALSE)</f>
        <v>605</v>
      </c>
      <c r="E1503" s="63" t="s">
        <v>403</v>
      </c>
      <c r="F1503" s="63" t="s">
        <v>152</v>
      </c>
      <c r="G1503" s="64" t="s">
        <v>404</v>
      </c>
    </row>
    <row r="1504" spans="2:7">
      <c r="B1504" s="269"/>
      <c r="C1504" s="61" t="s">
        <v>1028</v>
      </c>
      <c r="D1504" s="62">
        <f>VLOOKUP(C1504,基本字段定义!$B$3:$C$3008,2,FALSE)</f>
        <v>9198</v>
      </c>
      <c r="E1504" s="63" t="s">
        <v>362</v>
      </c>
      <c r="F1504" s="63" t="s">
        <v>152</v>
      </c>
      <c r="G1504" s="64" t="s">
        <v>1029</v>
      </c>
    </row>
    <row r="1505" spans="2:7">
      <c r="B1505" s="269"/>
      <c r="C1505" s="61" t="s">
        <v>739</v>
      </c>
      <c r="D1505" s="62">
        <f>VLOOKUP(C1505,基本字段定义!$B$3:$C$3008,2,FALSE)</f>
        <v>9129</v>
      </c>
      <c r="E1505" s="63" t="s">
        <v>480</v>
      </c>
      <c r="F1505" s="63" t="s">
        <v>152</v>
      </c>
      <c r="G1505" s="64" t="s">
        <v>740</v>
      </c>
    </row>
    <row r="1506" spans="2:7">
      <c r="B1506" s="269" t="s">
        <v>335</v>
      </c>
      <c r="C1506" s="65" t="s">
        <v>336</v>
      </c>
      <c r="D1506" s="66">
        <f>VLOOKUP(C1506,基本字段定义!$B$3:$C$3008,2,FALSE)</f>
        <v>507</v>
      </c>
      <c r="E1506" s="67" t="s">
        <v>337</v>
      </c>
      <c r="F1506" s="67"/>
      <c r="G1506" s="69" t="s">
        <v>855</v>
      </c>
    </row>
    <row r="1507" spans="2:7">
      <c r="B1507" s="269"/>
      <c r="C1507" s="65" t="s">
        <v>338</v>
      </c>
      <c r="D1507" s="66">
        <f>VLOOKUP(C1507,基本字段定义!$B$3:$C$3008,2,FALSE)</f>
        <v>508</v>
      </c>
      <c r="E1507" s="67" t="s">
        <v>339</v>
      </c>
      <c r="F1507" s="67"/>
      <c r="G1507" s="68" t="s">
        <v>856</v>
      </c>
    </row>
    <row r="1508" spans="2:7">
      <c r="B1508" s="270"/>
      <c r="C1508" s="71"/>
      <c r="D1508" s="79"/>
      <c r="E1508" s="73"/>
      <c r="F1508" s="73"/>
      <c r="G1508" s="74"/>
    </row>
    <row r="1510" spans="2:7">
      <c r="B1510" s="53" t="s">
        <v>146</v>
      </c>
      <c r="C1510" s="80">
        <v>305001</v>
      </c>
      <c r="D1510" s="81"/>
      <c r="E1510" s="82"/>
      <c r="F1510" s="54" t="s">
        <v>326</v>
      </c>
      <c r="G1510" s="55"/>
    </row>
    <row r="1511" spans="2:7">
      <c r="B1511" s="56" t="s">
        <v>327</v>
      </c>
      <c r="C1511" s="83" t="str">
        <f>VLOOKUP(C1510,功能索引!$C$3:$D$269,2,FALSE)</f>
        <v>基金账户查询</v>
      </c>
      <c r="D1511" s="84"/>
      <c r="E1511" s="85"/>
      <c r="F1511" s="57" t="s">
        <v>148</v>
      </c>
      <c r="G1511" s="58" t="str">
        <f>VLOOKUP(C1510,功能索引!$C$3:$E1938,3,FALSE)</f>
        <v>Y</v>
      </c>
    </row>
    <row r="1512" spans="2:7">
      <c r="B1512" s="269" t="s">
        <v>328</v>
      </c>
      <c r="C1512" s="95"/>
      <c r="D1512" s="96"/>
      <c r="E1512" s="96"/>
      <c r="F1512" s="96"/>
      <c r="G1512" s="97"/>
    </row>
    <row r="1513" spans="2:7">
      <c r="B1513" s="270"/>
      <c r="C1513" s="98"/>
      <c r="D1513" s="99"/>
      <c r="E1513" s="99"/>
      <c r="F1513" s="99"/>
      <c r="G1513" s="100"/>
    </row>
    <row r="1514" spans="2:7">
      <c r="B1514" s="271" t="s">
        <v>329</v>
      </c>
      <c r="C1514" s="54" t="s">
        <v>330</v>
      </c>
      <c r="D1514" s="54" t="s">
        <v>331</v>
      </c>
      <c r="E1514" s="54" t="s">
        <v>332</v>
      </c>
      <c r="F1514" s="54" t="s">
        <v>333</v>
      </c>
      <c r="G1514" s="60" t="s">
        <v>334</v>
      </c>
    </row>
    <row r="1515" spans="2:7">
      <c r="B1515" s="269"/>
      <c r="C1515" s="61" t="s">
        <v>402</v>
      </c>
      <c r="D1515" s="62">
        <f>VLOOKUP(C1515,基本字段定义!$B$3:$C$3008,2,FALSE)</f>
        <v>605</v>
      </c>
      <c r="E1515" s="63" t="s">
        <v>403</v>
      </c>
      <c r="F1515" s="63" t="s">
        <v>152</v>
      </c>
      <c r="G1515" s="64" t="s">
        <v>404</v>
      </c>
    </row>
    <row r="1516" spans="2:7">
      <c r="B1516" s="269"/>
      <c r="C1516" s="61" t="s">
        <v>1028</v>
      </c>
      <c r="D1516" s="62">
        <f>VLOOKUP(C1516,基本字段定义!$B$3:$C$3008,2,FALSE)</f>
        <v>9198</v>
      </c>
      <c r="E1516" s="63" t="s">
        <v>362</v>
      </c>
      <c r="F1516" s="63"/>
      <c r="G1516" s="64" t="s">
        <v>1029</v>
      </c>
    </row>
    <row r="1517" spans="2:7">
      <c r="B1517" s="269" t="s">
        <v>335</v>
      </c>
      <c r="C1517" s="65" t="s">
        <v>1028</v>
      </c>
      <c r="D1517" s="66">
        <f>VLOOKUP(C1517,基本字段定义!$B$3:$C$3008,2,FALSE)</f>
        <v>9198</v>
      </c>
      <c r="E1517" s="67" t="s">
        <v>339</v>
      </c>
      <c r="F1517" s="67"/>
      <c r="G1517" s="69" t="s">
        <v>1029</v>
      </c>
    </row>
    <row r="1518" spans="2:7">
      <c r="B1518" s="269"/>
      <c r="C1518" s="65" t="s">
        <v>1052</v>
      </c>
      <c r="D1518" s="66">
        <f>VLOOKUP(C1518,基本字段定义!$B$3:$C$3008,2,FALSE)</f>
        <v>9228</v>
      </c>
      <c r="E1518" s="67" t="s">
        <v>339</v>
      </c>
      <c r="F1518" s="67"/>
      <c r="G1518" s="68" t="s">
        <v>1053</v>
      </c>
    </row>
    <row r="1519" spans="2:7">
      <c r="B1519" s="270"/>
      <c r="C1519" s="71"/>
      <c r="D1519" s="79"/>
      <c r="E1519" s="73"/>
      <c r="F1519" s="73"/>
      <c r="G1519" s="74"/>
    </row>
    <row r="1521" spans="2:7">
      <c r="B1521" s="53" t="s">
        <v>146</v>
      </c>
      <c r="C1521" s="80">
        <v>305002</v>
      </c>
      <c r="D1521" s="81"/>
      <c r="E1521" s="82"/>
      <c r="F1521" s="54" t="s">
        <v>326</v>
      </c>
      <c r="G1521" s="55"/>
    </row>
    <row r="1522" spans="2:7">
      <c r="B1522" s="56" t="s">
        <v>327</v>
      </c>
      <c r="C1522" s="83" t="str">
        <f>VLOOKUP(C1521,功能索引!$C$3:$D$269,2,FALSE)</f>
        <v>基金持有份额查询</v>
      </c>
      <c r="D1522" s="84"/>
      <c r="E1522" s="85"/>
      <c r="F1522" s="57" t="s">
        <v>148</v>
      </c>
      <c r="G1522" s="58" t="str">
        <f>VLOOKUP(C1521,功能索引!$C$3:$E1975,3,FALSE)</f>
        <v>Y</v>
      </c>
    </row>
    <row r="1523" spans="2:7">
      <c r="B1523" s="269" t="s">
        <v>328</v>
      </c>
      <c r="C1523" s="95"/>
      <c r="D1523" s="96"/>
      <c r="E1523" s="96"/>
      <c r="F1523" s="96"/>
      <c r="G1523" s="97"/>
    </row>
    <row r="1524" spans="2:7">
      <c r="B1524" s="270"/>
      <c r="C1524" s="98"/>
      <c r="D1524" s="99"/>
      <c r="E1524" s="99"/>
      <c r="F1524" s="99"/>
      <c r="G1524" s="100"/>
    </row>
    <row r="1525" spans="2:7">
      <c r="B1525" s="271" t="s">
        <v>329</v>
      </c>
      <c r="C1525" s="54" t="s">
        <v>330</v>
      </c>
      <c r="D1525" s="54" t="s">
        <v>331</v>
      </c>
      <c r="E1525" s="54" t="s">
        <v>332</v>
      </c>
      <c r="F1525" s="54" t="s">
        <v>333</v>
      </c>
      <c r="G1525" s="60" t="s">
        <v>334</v>
      </c>
    </row>
    <row r="1526" spans="2:7">
      <c r="B1526" s="269"/>
      <c r="C1526" s="61" t="s">
        <v>402</v>
      </c>
      <c r="D1526" s="62">
        <f>VLOOKUP(C1526,基本字段定义!$B$3:$C$3008,2,FALSE)</f>
        <v>605</v>
      </c>
      <c r="E1526" s="63" t="s">
        <v>403</v>
      </c>
      <c r="F1526" s="63" t="s">
        <v>152</v>
      </c>
      <c r="G1526" s="64" t="s">
        <v>404</v>
      </c>
    </row>
    <row r="1527" spans="2:7">
      <c r="B1527" s="269"/>
      <c r="C1527" s="61" t="s">
        <v>1028</v>
      </c>
      <c r="D1527" s="62">
        <f>VLOOKUP(C1527,基本字段定义!$B$3:$C$3008,2,FALSE)</f>
        <v>9198</v>
      </c>
      <c r="E1527" s="63" t="s">
        <v>362</v>
      </c>
      <c r="F1527" s="63"/>
      <c r="G1527" s="64" t="s">
        <v>1029</v>
      </c>
    </row>
    <row r="1528" spans="2:7">
      <c r="B1528" s="269" t="s">
        <v>335</v>
      </c>
      <c r="C1528" s="65" t="s">
        <v>1028</v>
      </c>
      <c r="D1528" s="66">
        <f>VLOOKUP(C1528,基本字段定义!$B$3:$C$3008,2,FALSE)</f>
        <v>9198</v>
      </c>
      <c r="E1528" s="67" t="s">
        <v>339</v>
      </c>
      <c r="F1528" s="67"/>
      <c r="G1528" s="69" t="s">
        <v>1029</v>
      </c>
    </row>
    <row r="1529" spans="2:7">
      <c r="B1529" s="269"/>
      <c r="C1529" s="65" t="s">
        <v>1052</v>
      </c>
      <c r="D1529" s="66">
        <f>VLOOKUP(C1529,基本字段定义!$B$3:$C$3008,2,FALSE)</f>
        <v>9228</v>
      </c>
      <c r="E1529" s="67" t="s">
        <v>339</v>
      </c>
      <c r="F1529" s="67"/>
      <c r="G1529" s="69" t="s">
        <v>1053</v>
      </c>
    </row>
    <row r="1530" spans="2:7">
      <c r="B1530" s="269"/>
      <c r="C1530" s="65" t="s">
        <v>739</v>
      </c>
      <c r="D1530" s="66">
        <f>VLOOKUP(C1530,基本字段定义!$B$3:$C$3008,2,FALSE)</f>
        <v>9129</v>
      </c>
      <c r="E1530" s="67" t="s">
        <v>339</v>
      </c>
      <c r="F1530" s="67"/>
      <c r="G1530" s="69" t="s">
        <v>740</v>
      </c>
    </row>
    <row r="1531" spans="2:7">
      <c r="B1531" s="269"/>
      <c r="C1531" s="65" t="s">
        <v>1042</v>
      </c>
      <c r="D1531" s="66">
        <f>VLOOKUP(C1531,基本字段定义!$B$3:$C$3008,2,FALSE)</f>
        <v>874</v>
      </c>
      <c r="E1531" s="67" t="s">
        <v>337</v>
      </c>
      <c r="F1531" s="67"/>
      <c r="G1531" s="69" t="s">
        <v>1054</v>
      </c>
    </row>
    <row r="1532" spans="2:7">
      <c r="B1532" s="269"/>
      <c r="C1532" s="65" t="s">
        <v>1037</v>
      </c>
      <c r="D1532" s="66">
        <f>VLOOKUP(C1532,基本字段定义!$B$3:$C$3008,2,FALSE)</f>
        <v>9202</v>
      </c>
      <c r="E1532" s="67" t="s">
        <v>339</v>
      </c>
      <c r="F1532" s="67"/>
      <c r="G1532" s="68" t="s">
        <v>744</v>
      </c>
    </row>
    <row r="1533" spans="2:7">
      <c r="B1533" s="269"/>
      <c r="C1533" s="65" t="s">
        <v>1055</v>
      </c>
      <c r="D1533" s="66">
        <f>VLOOKUP(C1533,基本字段定义!$B$3:$C$3008,2,FALSE)</f>
        <v>1000</v>
      </c>
      <c r="E1533" s="67" t="s">
        <v>337</v>
      </c>
      <c r="F1533" s="67"/>
      <c r="G1533" s="69" t="s">
        <v>1056</v>
      </c>
    </row>
    <row r="1534" spans="2:7">
      <c r="B1534" s="269"/>
      <c r="C1534" s="65" t="s">
        <v>1057</v>
      </c>
      <c r="D1534" s="66">
        <f>VLOOKUP(C1534,基本字段定义!$B$3:$C$3008,2,FALSE)</f>
        <v>9248</v>
      </c>
      <c r="E1534" s="67" t="s">
        <v>537</v>
      </c>
      <c r="F1534" s="67"/>
      <c r="G1534" s="69" t="s">
        <v>1058</v>
      </c>
    </row>
    <row r="1535" spans="2:7">
      <c r="B1535" s="269"/>
      <c r="C1535" s="65" t="s">
        <v>1059</v>
      </c>
      <c r="D1535" s="66">
        <f>VLOOKUP(C1535,基本字段定义!$B$3:$C$3008,2,FALSE)</f>
        <v>9237</v>
      </c>
      <c r="E1535" s="67" t="s">
        <v>537</v>
      </c>
      <c r="F1535" s="67"/>
      <c r="G1535" s="69" t="s">
        <v>1060</v>
      </c>
    </row>
    <row r="1536" spans="2:7">
      <c r="B1536" s="266"/>
      <c r="C1536" s="65" t="s">
        <v>823</v>
      </c>
      <c r="D1536" s="66">
        <f>VLOOKUP(C1536,基本字段定义!$B$3:$C$3008,2,FALSE)</f>
        <v>1209</v>
      </c>
      <c r="E1536" s="67" t="s">
        <v>537</v>
      </c>
      <c r="F1536" s="67"/>
      <c r="G1536" s="69" t="s">
        <v>947</v>
      </c>
    </row>
    <row r="1537" spans="2:7">
      <c r="B1537" s="266"/>
      <c r="C1537" s="65" t="s">
        <v>547</v>
      </c>
      <c r="D1537" s="66">
        <f>VLOOKUP(C1537,基本字段定义!$B$3:$C$3008,2,FALSE)</f>
        <v>760</v>
      </c>
      <c r="E1537" s="67" t="s">
        <v>537</v>
      </c>
      <c r="F1537" s="67"/>
      <c r="G1537" s="69" t="s">
        <v>1061</v>
      </c>
    </row>
    <row r="1538" spans="2:7">
      <c r="B1538" s="270"/>
      <c r="C1538" s="71"/>
      <c r="D1538" s="79"/>
      <c r="E1538" s="73"/>
      <c r="F1538" s="73"/>
      <c r="G1538" s="74"/>
    </row>
    <row r="1540" spans="2:7">
      <c r="B1540" s="53" t="s">
        <v>146</v>
      </c>
      <c r="C1540" s="80">
        <v>205021</v>
      </c>
      <c r="D1540" s="81"/>
      <c r="E1540" s="82"/>
      <c r="F1540" s="54" t="s">
        <v>326</v>
      </c>
      <c r="G1540" s="55"/>
    </row>
    <row r="1541" spans="2:7">
      <c r="B1541" s="56" t="s">
        <v>327</v>
      </c>
      <c r="C1541" s="83" t="str">
        <f>VLOOKUP(C1540,功能索引!$C$3:$D$269,2,FALSE)</f>
        <v>基金认购申购赎回</v>
      </c>
      <c r="D1541" s="84"/>
      <c r="E1541" s="85"/>
      <c r="F1541" s="57" t="s">
        <v>148</v>
      </c>
      <c r="G1541" s="58">
        <f>VLOOKUP(C1540,功能索引!$C$3:$E1999,3,FALSE)</f>
        <v>0</v>
      </c>
    </row>
    <row r="1542" spans="2:7">
      <c r="B1542" s="269" t="s">
        <v>328</v>
      </c>
      <c r="C1542" s="95"/>
      <c r="D1542" s="96"/>
      <c r="E1542" s="96"/>
      <c r="F1542" s="96"/>
      <c r="G1542" s="97"/>
    </row>
    <row r="1543" spans="2:7" s="52" customFormat="1">
      <c r="B1543" s="270"/>
      <c r="C1543" s="98"/>
      <c r="D1543" s="99"/>
      <c r="E1543" s="99"/>
      <c r="F1543" s="99"/>
      <c r="G1543" s="100"/>
    </row>
    <row r="1544" spans="2:7">
      <c r="B1544" s="271" t="s">
        <v>329</v>
      </c>
      <c r="C1544" s="54" t="s">
        <v>330</v>
      </c>
      <c r="D1544" s="54" t="s">
        <v>331</v>
      </c>
      <c r="E1544" s="54" t="s">
        <v>332</v>
      </c>
      <c r="F1544" s="54" t="s">
        <v>333</v>
      </c>
      <c r="G1544" s="60" t="s">
        <v>334</v>
      </c>
    </row>
    <row r="1545" spans="2:7">
      <c r="B1545" s="269"/>
      <c r="C1545" s="61" t="s">
        <v>402</v>
      </c>
      <c r="D1545" s="62">
        <f>VLOOKUP(C1545,基本字段定义!$B$3:$C$3008,2,FALSE)</f>
        <v>605</v>
      </c>
      <c r="E1545" s="63" t="s">
        <v>403</v>
      </c>
      <c r="F1545" s="63" t="s">
        <v>152</v>
      </c>
      <c r="G1545" s="64" t="s">
        <v>404</v>
      </c>
    </row>
    <row r="1546" spans="2:7">
      <c r="B1546" s="269"/>
      <c r="C1546" s="61" t="s">
        <v>1028</v>
      </c>
      <c r="D1546" s="62">
        <v>9198</v>
      </c>
      <c r="E1546" s="63" t="s">
        <v>362</v>
      </c>
      <c r="F1546" s="63" t="s">
        <v>152</v>
      </c>
      <c r="G1546" s="64" t="s">
        <v>1062</v>
      </c>
    </row>
    <row r="1547" spans="2:7">
      <c r="B1547" s="269"/>
      <c r="C1547" s="61" t="s">
        <v>739</v>
      </c>
      <c r="D1547" s="62">
        <f>VLOOKUP(C1547,基本字段定义!$B$3:$C$3008,2,FALSE)</f>
        <v>9129</v>
      </c>
      <c r="E1547" s="63" t="s">
        <v>480</v>
      </c>
      <c r="F1547" s="63" t="s">
        <v>152</v>
      </c>
      <c r="G1547" s="64" t="s">
        <v>740</v>
      </c>
    </row>
    <row r="1548" spans="2:7">
      <c r="B1548" s="269"/>
      <c r="C1548" s="61" t="s">
        <v>1052</v>
      </c>
      <c r="D1548" s="62">
        <f>VLOOKUP(C1548,基本字段定义!$B$3:$C$3008,2,FALSE)</f>
        <v>9228</v>
      </c>
      <c r="E1548" s="63" t="s">
        <v>403</v>
      </c>
      <c r="F1548" s="63" t="s">
        <v>152</v>
      </c>
      <c r="G1548" s="64" t="s">
        <v>1053</v>
      </c>
    </row>
    <row r="1549" spans="2:7">
      <c r="B1549" s="269"/>
      <c r="C1549" s="61" t="s">
        <v>1063</v>
      </c>
      <c r="D1549" s="62">
        <f>VLOOKUP(C1549,基本字段定义!$B$3:$C$3008,2,FALSE)</f>
        <v>1676</v>
      </c>
      <c r="E1549" s="63" t="s">
        <v>527</v>
      </c>
      <c r="F1549" s="63" t="s">
        <v>152</v>
      </c>
      <c r="G1549" s="64" t="s">
        <v>1064</v>
      </c>
    </row>
    <row r="1550" spans="2:7">
      <c r="B1550" s="269"/>
      <c r="C1550" s="61" t="s">
        <v>1042</v>
      </c>
      <c r="D1550" s="62">
        <f>VLOOKUP(C1550,基本字段定义!$B$3:$C$3008,2,FALSE)</f>
        <v>874</v>
      </c>
      <c r="E1550" s="63" t="s">
        <v>337</v>
      </c>
      <c r="F1550" s="63" t="s">
        <v>152</v>
      </c>
      <c r="G1550" s="64" t="s">
        <v>1065</v>
      </c>
    </row>
    <row r="1551" spans="2:7">
      <c r="B1551" s="269"/>
      <c r="C1551" s="61" t="s">
        <v>1066</v>
      </c>
      <c r="D1551" s="62">
        <f>VLOOKUP(C1551,基本字段定义!$B$3:$C$3008,2,FALSE)</f>
        <v>9132</v>
      </c>
      <c r="E1551" s="63" t="s">
        <v>537</v>
      </c>
      <c r="F1551" s="63" t="s">
        <v>152</v>
      </c>
      <c r="G1551" s="64" t="s">
        <v>1067</v>
      </c>
    </row>
    <row r="1552" spans="2:7">
      <c r="B1552" s="269"/>
      <c r="C1552" s="61" t="s">
        <v>559</v>
      </c>
      <c r="D1552" s="62">
        <f>VLOOKUP(C1552,基本字段定义!$B$3:$C$3008,2,FALSE)</f>
        <v>9020</v>
      </c>
      <c r="E1552" s="63" t="s">
        <v>337</v>
      </c>
      <c r="F1552" s="63"/>
      <c r="G1552" s="64" t="s">
        <v>1068</v>
      </c>
    </row>
    <row r="1553" spans="2:7">
      <c r="B1553" s="269" t="s">
        <v>335</v>
      </c>
      <c r="C1553" s="65" t="s">
        <v>336</v>
      </c>
      <c r="D1553" s="66">
        <f>VLOOKUP(C1553,基本字段定义!$B$3:$C$3008,2,FALSE)</f>
        <v>507</v>
      </c>
      <c r="E1553" s="67" t="s">
        <v>337</v>
      </c>
      <c r="F1553" s="67"/>
      <c r="G1553" s="69"/>
    </row>
    <row r="1554" spans="2:7">
      <c r="B1554" s="269"/>
      <c r="C1554" s="65" t="s">
        <v>338</v>
      </c>
      <c r="D1554" s="66">
        <f>VLOOKUP(C1554,基本字段定义!$B$3:$C$3008,2,FALSE)</f>
        <v>508</v>
      </c>
      <c r="E1554" s="67" t="s">
        <v>339</v>
      </c>
      <c r="F1554" s="67"/>
      <c r="G1554" s="68"/>
    </row>
    <row r="1555" spans="2:7">
      <c r="B1555" s="269"/>
      <c r="C1555" s="65" t="s">
        <v>882</v>
      </c>
      <c r="D1555" s="66">
        <f>VLOOKUP(C1555,基本字段定义!$B$3:$C$3008,2,FALSE)</f>
        <v>681</v>
      </c>
      <c r="E1555" s="67" t="s">
        <v>337</v>
      </c>
      <c r="F1555" s="67"/>
      <c r="G1555" s="69"/>
    </row>
    <row r="1556" spans="2:7">
      <c r="B1556" s="270"/>
      <c r="C1556" s="71"/>
      <c r="D1556" s="79"/>
      <c r="E1556" s="73"/>
      <c r="F1556" s="73"/>
      <c r="G1556" s="74"/>
    </row>
    <row r="1558" spans="2:7">
      <c r="B1558" s="53" t="s">
        <v>146</v>
      </c>
      <c r="C1558" s="80">
        <v>205022</v>
      </c>
      <c r="D1558" s="81"/>
      <c r="E1558" s="82"/>
      <c r="F1558" s="54" t="s">
        <v>326</v>
      </c>
      <c r="G1558" s="55"/>
    </row>
    <row r="1559" spans="2:7">
      <c r="B1559" s="56" t="s">
        <v>327</v>
      </c>
      <c r="C1559" s="83" t="str">
        <f>VLOOKUP(C1558,功能索引!$C$3:$D$269,2,FALSE)</f>
        <v>基金分红方式设置</v>
      </c>
      <c r="D1559" s="84"/>
      <c r="E1559" s="85"/>
      <c r="F1559" s="57" t="s">
        <v>148</v>
      </c>
      <c r="G1559" s="58">
        <f>VLOOKUP(C1558,功能索引!$C$3:$E2021,3,FALSE)</f>
        <v>0</v>
      </c>
    </row>
    <row r="1560" spans="2:7">
      <c r="B1560" s="269" t="s">
        <v>328</v>
      </c>
      <c r="C1560" s="95"/>
      <c r="D1560" s="96"/>
      <c r="E1560" s="96"/>
      <c r="F1560" s="96"/>
      <c r="G1560" s="97"/>
    </row>
    <row r="1561" spans="2:7">
      <c r="B1561" s="270"/>
      <c r="C1561" s="98"/>
      <c r="D1561" s="99"/>
      <c r="E1561" s="99"/>
      <c r="F1561" s="99"/>
      <c r="G1561" s="100"/>
    </row>
    <row r="1562" spans="2:7">
      <c r="B1562" s="271" t="s">
        <v>329</v>
      </c>
      <c r="C1562" s="54" t="s">
        <v>330</v>
      </c>
      <c r="D1562" s="54" t="s">
        <v>331</v>
      </c>
      <c r="E1562" s="54" t="s">
        <v>332</v>
      </c>
      <c r="F1562" s="54" t="s">
        <v>333</v>
      </c>
      <c r="G1562" s="60" t="s">
        <v>334</v>
      </c>
    </row>
    <row r="1563" spans="2:7">
      <c r="B1563" s="269"/>
      <c r="C1563" s="61" t="s">
        <v>402</v>
      </c>
      <c r="D1563" s="62">
        <f>VLOOKUP(C1563,基本字段定义!$B$3:$C$3008,2,FALSE)</f>
        <v>605</v>
      </c>
      <c r="E1563" s="63" t="s">
        <v>403</v>
      </c>
      <c r="F1563" s="63" t="s">
        <v>152</v>
      </c>
      <c r="G1563" s="64" t="s">
        <v>404</v>
      </c>
    </row>
    <row r="1564" spans="2:7" s="52" customFormat="1">
      <c r="B1564" s="269"/>
      <c r="C1564" s="61" t="s">
        <v>1028</v>
      </c>
      <c r="D1564" s="62">
        <f>VLOOKUP(C1564,基本字段定义!$B$3:$C$3008,2,FALSE)</f>
        <v>9198</v>
      </c>
      <c r="E1564" s="63" t="s">
        <v>362</v>
      </c>
      <c r="F1564" s="63" t="s">
        <v>152</v>
      </c>
      <c r="G1564" s="64" t="s">
        <v>1029</v>
      </c>
    </row>
    <row r="1565" spans="2:7" s="52" customFormat="1">
      <c r="B1565" s="269"/>
      <c r="C1565" s="61" t="s">
        <v>1052</v>
      </c>
      <c r="D1565" s="62">
        <f>VLOOKUP(C1565,基本字段定义!$B$3:$C$3008,2,FALSE)</f>
        <v>9228</v>
      </c>
      <c r="E1565" s="63" t="s">
        <v>403</v>
      </c>
      <c r="F1565" s="63" t="s">
        <v>152</v>
      </c>
      <c r="G1565" s="64" t="s">
        <v>1053</v>
      </c>
    </row>
    <row r="1566" spans="2:7" s="52" customFormat="1">
      <c r="B1566" s="269"/>
      <c r="C1566" s="61" t="s">
        <v>739</v>
      </c>
      <c r="D1566" s="62">
        <f>VLOOKUP(C1566,基本字段定义!$B$3:$C$3008,2,FALSE)</f>
        <v>9129</v>
      </c>
      <c r="E1566" s="63" t="s">
        <v>480</v>
      </c>
      <c r="F1566" s="63" t="s">
        <v>152</v>
      </c>
      <c r="G1566" s="64" t="s">
        <v>740</v>
      </c>
    </row>
    <row r="1567" spans="2:7">
      <c r="B1567" s="269"/>
      <c r="C1567" s="61" t="s">
        <v>1042</v>
      </c>
      <c r="D1567" s="62">
        <f>VLOOKUP(C1567,基本字段定义!$B$3:$C$3008,2,FALSE)</f>
        <v>874</v>
      </c>
      <c r="E1567" s="63" t="s">
        <v>337</v>
      </c>
      <c r="F1567" s="63" t="s">
        <v>152</v>
      </c>
      <c r="G1567" s="64" t="s">
        <v>1065</v>
      </c>
    </row>
    <row r="1568" spans="2:7">
      <c r="B1568" s="269"/>
      <c r="C1568" s="61" t="s">
        <v>1055</v>
      </c>
      <c r="D1568" s="62">
        <f>VLOOKUP(C1568,基本字段定义!$B$3:$C$3008,2,FALSE)</f>
        <v>1000</v>
      </c>
      <c r="E1568" s="63" t="s">
        <v>337</v>
      </c>
      <c r="F1568" s="63" t="s">
        <v>152</v>
      </c>
      <c r="G1568" s="64" t="s">
        <v>1056</v>
      </c>
    </row>
    <row r="1569" spans="2:7">
      <c r="B1569" s="269" t="s">
        <v>335</v>
      </c>
      <c r="C1569" s="65" t="s">
        <v>336</v>
      </c>
      <c r="D1569" s="66">
        <f>VLOOKUP(C1569,基本字段定义!$B$3:$C$3008,2,FALSE)</f>
        <v>507</v>
      </c>
      <c r="E1569" s="67" t="s">
        <v>337</v>
      </c>
      <c r="F1569" s="67"/>
      <c r="G1569" s="69"/>
    </row>
    <row r="1570" spans="2:7">
      <c r="B1570" s="269"/>
      <c r="C1570" s="65" t="s">
        <v>338</v>
      </c>
      <c r="D1570" s="66">
        <f>VLOOKUP(C1570,基本字段定义!$B$3:$C$3008,2,FALSE)</f>
        <v>508</v>
      </c>
      <c r="E1570" s="67" t="s">
        <v>339</v>
      </c>
      <c r="F1570" s="67"/>
      <c r="G1570" s="68"/>
    </row>
    <row r="1571" spans="2:7">
      <c r="B1571" s="269"/>
      <c r="C1571" s="65" t="s">
        <v>882</v>
      </c>
      <c r="D1571" s="66">
        <f>VLOOKUP(C1571,基本字段定义!$B$3:$C$3008,2,FALSE)</f>
        <v>681</v>
      </c>
      <c r="E1571" s="67" t="s">
        <v>337</v>
      </c>
      <c r="F1571" s="67"/>
      <c r="G1571" s="69"/>
    </row>
    <row r="1572" spans="2:7">
      <c r="B1572" s="270"/>
      <c r="C1572" s="71"/>
      <c r="D1572" s="79"/>
      <c r="E1572" s="73"/>
      <c r="F1572" s="73"/>
      <c r="G1572" s="74"/>
    </row>
    <row r="1574" spans="2:7">
      <c r="B1574" s="53" t="s">
        <v>146</v>
      </c>
      <c r="C1574" s="80">
        <v>205025</v>
      </c>
      <c r="D1574" s="81"/>
      <c r="E1574" s="82"/>
      <c r="F1574" s="54" t="s">
        <v>326</v>
      </c>
      <c r="G1574" s="55"/>
    </row>
    <row r="1575" spans="2:7">
      <c r="B1575" s="56" t="s">
        <v>327</v>
      </c>
      <c r="C1575" s="83" t="str">
        <f>VLOOKUP(C1574,功能索引!$C$3:$D$269,2,FALSE)</f>
        <v>基金转换申请</v>
      </c>
      <c r="D1575" s="84"/>
      <c r="E1575" s="85"/>
      <c r="F1575" s="57" t="s">
        <v>148</v>
      </c>
      <c r="G1575" s="58">
        <f>VLOOKUP(C1574,功能索引!$C$3:$E2038,3,FALSE)</f>
        <v>0</v>
      </c>
    </row>
    <row r="1576" spans="2:7">
      <c r="B1576" s="269" t="s">
        <v>328</v>
      </c>
      <c r="C1576" s="95"/>
      <c r="D1576" s="96"/>
      <c r="E1576" s="96"/>
      <c r="F1576" s="96"/>
      <c r="G1576" s="97"/>
    </row>
    <row r="1577" spans="2:7">
      <c r="B1577" s="270"/>
      <c r="C1577" s="98"/>
      <c r="D1577" s="99"/>
      <c r="E1577" s="99"/>
      <c r="F1577" s="99"/>
      <c r="G1577" s="100"/>
    </row>
    <row r="1578" spans="2:7">
      <c r="B1578" s="271" t="s">
        <v>329</v>
      </c>
      <c r="C1578" s="54" t="s">
        <v>330</v>
      </c>
      <c r="D1578" s="54" t="s">
        <v>331</v>
      </c>
      <c r="E1578" s="54" t="s">
        <v>332</v>
      </c>
      <c r="F1578" s="54" t="s">
        <v>333</v>
      </c>
      <c r="G1578" s="60" t="s">
        <v>334</v>
      </c>
    </row>
    <row r="1579" spans="2:7">
      <c r="B1579" s="269"/>
      <c r="C1579" s="61" t="s">
        <v>402</v>
      </c>
      <c r="D1579" s="62">
        <f>VLOOKUP(C1579,基本字段定义!$B$3:$C$3008,2,FALSE)</f>
        <v>605</v>
      </c>
      <c r="E1579" s="63" t="s">
        <v>403</v>
      </c>
      <c r="F1579" s="63" t="s">
        <v>152</v>
      </c>
      <c r="G1579" s="64" t="s">
        <v>404</v>
      </c>
    </row>
    <row r="1580" spans="2:7">
      <c r="B1580" s="269"/>
      <c r="C1580" s="61" t="s">
        <v>1028</v>
      </c>
      <c r="D1580" s="62">
        <f>VLOOKUP(C1580,基本字段定义!$B$3:$C$3008,2,FALSE)</f>
        <v>9198</v>
      </c>
      <c r="E1580" s="63" t="s">
        <v>362</v>
      </c>
      <c r="F1580" s="63" t="s">
        <v>152</v>
      </c>
      <c r="G1580" s="64" t="s">
        <v>1029</v>
      </c>
    </row>
    <row r="1581" spans="2:7">
      <c r="B1581" s="269"/>
      <c r="C1581" s="61" t="s">
        <v>1052</v>
      </c>
      <c r="D1581" s="62">
        <f>VLOOKUP(C1581,基本字段定义!$B$3:$C$3008,2,FALSE)</f>
        <v>9228</v>
      </c>
      <c r="E1581" s="63" t="s">
        <v>403</v>
      </c>
      <c r="F1581" s="63" t="s">
        <v>152</v>
      </c>
      <c r="G1581" s="64" t="s">
        <v>1053</v>
      </c>
    </row>
    <row r="1582" spans="2:7">
      <c r="B1582" s="269"/>
      <c r="C1582" s="61" t="s">
        <v>739</v>
      </c>
      <c r="D1582" s="62">
        <f>VLOOKUP(C1582,基本字段定义!$B$3:$C$3008,2,FALSE)</f>
        <v>9129</v>
      </c>
      <c r="E1582" s="63" t="s">
        <v>480</v>
      </c>
      <c r="F1582" s="63" t="s">
        <v>152</v>
      </c>
      <c r="G1582" s="64" t="s">
        <v>1069</v>
      </c>
    </row>
    <row r="1583" spans="2:7">
      <c r="B1583" s="269"/>
      <c r="C1583" s="61" t="s">
        <v>1042</v>
      </c>
      <c r="D1583" s="62">
        <f>VLOOKUP(C1583,基本字段定义!$B$3:$C$3008,2,FALSE)</f>
        <v>874</v>
      </c>
      <c r="E1583" s="63" t="s">
        <v>337</v>
      </c>
      <c r="F1583" s="63" t="s">
        <v>152</v>
      </c>
      <c r="G1583" s="64" t="s">
        <v>1070</v>
      </c>
    </row>
    <row r="1584" spans="2:7">
      <c r="B1584" s="269"/>
      <c r="C1584" s="61" t="s">
        <v>1071</v>
      </c>
      <c r="D1584" s="62">
        <f>VLOOKUP(C1584,基本字段定义!$B$3:$C$3008,2,FALSE)</f>
        <v>9238</v>
      </c>
      <c r="E1584" s="63" t="s">
        <v>537</v>
      </c>
      <c r="F1584" s="63" t="s">
        <v>152</v>
      </c>
      <c r="G1584" s="64" t="s">
        <v>1072</v>
      </c>
    </row>
    <row r="1585" spans="2:7">
      <c r="B1585" s="269"/>
      <c r="C1585" s="61" t="s">
        <v>1073</v>
      </c>
      <c r="D1585" s="62">
        <f>VLOOKUP(C1585,基本字段定义!$B$3:$C$3008,2,FALSE)</f>
        <v>9205</v>
      </c>
      <c r="E1585" s="63" t="s">
        <v>480</v>
      </c>
      <c r="F1585" s="63" t="s">
        <v>152</v>
      </c>
      <c r="G1585" s="64" t="s">
        <v>1074</v>
      </c>
    </row>
    <row r="1586" spans="2:7">
      <c r="B1586" s="269"/>
      <c r="C1586" s="61" t="s">
        <v>1075</v>
      </c>
      <c r="D1586" s="62">
        <f>VLOOKUP(C1586,基本字段定义!$B$3:$C$3008,2,FALSE)</f>
        <v>9246</v>
      </c>
      <c r="E1586" s="63" t="s">
        <v>337</v>
      </c>
      <c r="F1586" s="63" t="s">
        <v>152</v>
      </c>
      <c r="G1586" s="64" t="s">
        <v>1076</v>
      </c>
    </row>
    <row r="1587" spans="2:7">
      <c r="B1587" s="269"/>
      <c r="C1587" s="61" t="s">
        <v>1063</v>
      </c>
      <c r="D1587" s="62">
        <f>VLOOKUP(C1587,基本字段定义!$B$3:$C$3008,2,FALSE)</f>
        <v>1676</v>
      </c>
      <c r="E1587" s="63" t="s">
        <v>527</v>
      </c>
      <c r="F1587" s="63" t="s">
        <v>152</v>
      </c>
      <c r="G1587" s="64" t="s">
        <v>1077</v>
      </c>
    </row>
    <row r="1588" spans="2:7">
      <c r="B1588" s="269" t="s">
        <v>335</v>
      </c>
      <c r="C1588" s="65" t="s">
        <v>336</v>
      </c>
      <c r="D1588" s="66">
        <f>VLOOKUP(C1588,基本字段定义!$B$3:$C$3008,2,FALSE)</f>
        <v>507</v>
      </c>
      <c r="E1588" s="67" t="s">
        <v>337</v>
      </c>
      <c r="F1588" s="67"/>
      <c r="G1588" s="69"/>
    </row>
    <row r="1589" spans="2:7">
      <c r="B1589" s="269"/>
      <c r="C1589" s="65" t="s">
        <v>338</v>
      </c>
      <c r="D1589" s="66">
        <f>VLOOKUP(C1589,基本字段定义!$B$3:$C$3008,2,FALSE)</f>
        <v>508</v>
      </c>
      <c r="E1589" s="67" t="s">
        <v>339</v>
      </c>
      <c r="F1589" s="67"/>
      <c r="G1589" s="68"/>
    </row>
    <row r="1590" spans="2:7">
      <c r="B1590" s="269"/>
      <c r="C1590" s="65" t="s">
        <v>882</v>
      </c>
      <c r="D1590" s="66">
        <f>VLOOKUP(C1590,基本字段定义!$B$3:$C$3008,2,FALSE)</f>
        <v>681</v>
      </c>
      <c r="E1590" s="67" t="s">
        <v>337</v>
      </c>
      <c r="F1590" s="67"/>
      <c r="G1590" s="69"/>
    </row>
    <row r="1591" spans="2:7">
      <c r="B1591" s="270"/>
      <c r="C1591" s="71"/>
      <c r="D1591" s="79"/>
      <c r="E1591" s="73"/>
      <c r="F1591" s="73"/>
      <c r="G1591" s="74"/>
    </row>
    <row r="1593" spans="2:7">
      <c r="B1593" s="53" t="s">
        <v>146</v>
      </c>
      <c r="C1593" s="80">
        <v>205011</v>
      </c>
      <c r="D1593" s="81"/>
      <c r="E1593" s="82"/>
      <c r="F1593" s="54" t="s">
        <v>326</v>
      </c>
      <c r="G1593" s="55"/>
    </row>
    <row r="1594" spans="2:7">
      <c r="B1594" s="56" t="s">
        <v>327</v>
      </c>
      <c r="C1594" s="83" t="str">
        <f>VLOOKUP(C1593,功能索引!$C$3:$D$269,2,FALSE)</f>
        <v>基金委托撤销</v>
      </c>
      <c r="D1594" s="84"/>
      <c r="E1594" s="85"/>
      <c r="F1594" s="57" t="s">
        <v>148</v>
      </c>
      <c r="G1594" s="58">
        <f>VLOOKUP(C1593,功能索引!$C$3:$E2064,3,FALSE)</f>
        <v>0</v>
      </c>
    </row>
    <row r="1595" spans="2:7">
      <c r="B1595" s="269" t="s">
        <v>328</v>
      </c>
      <c r="C1595" s="95"/>
      <c r="D1595" s="96"/>
      <c r="E1595" s="96"/>
      <c r="F1595" s="96"/>
      <c r="G1595" s="97"/>
    </row>
    <row r="1596" spans="2:7">
      <c r="B1596" s="270"/>
      <c r="C1596" s="98"/>
      <c r="D1596" s="99"/>
      <c r="E1596" s="99"/>
      <c r="F1596" s="99"/>
      <c r="G1596" s="100"/>
    </row>
    <row r="1597" spans="2:7">
      <c r="B1597" s="271" t="s">
        <v>329</v>
      </c>
      <c r="C1597" s="54" t="s">
        <v>330</v>
      </c>
      <c r="D1597" s="54" t="s">
        <v>331</v>
      </c>
      <c r="E1597" s="54" t="s">
        <v>332</v>
      </c>
      <c r="F1597" s="54" t="s">
        <v>333</v>
      </c>
      <c r="G1597" s="60" t="s">
        <v>334</v>
      </c>
    </row>
    <row r="1598" spans="2:7">
      <c r="B1598" s="269"/>
      <c r="C1598" s="61" t="s">
        <v>402</v>
      </c>
      <c r="D1598" s="62">
        <f>VLOOKUP(C1598,基本字段定义!$B$3:$C$3008,2,FALSE)</f>
        <v>605</v>
      </c>
      <c r="E1598" s="63" t="s">
        <v>403</v>
      </c>
      <c r="F1598" s="63" t="s">
        <v>152</v>
      </c>
      <c r="G1598" s="64" t="s">
        <v>404</v>
      </c>
    </row>
    <row r="1599" spans="2:7">
      <c r="B1599" s="269"/>
      <c r="C1599" s="61" t="s">
        <v>882</v>
      </c>
      <c r="D1599" s="62">
        <f>VLOOKUP(C1599,基本字段定义!$B$3:$C$3008,2,FALSE)</f>
        <v>681</v>
      </c>
      <c r="E1599" s="63" t="s">
        <v>337</v>
      </c>
      <c r="F1599" s="63" t="s">
        <v>152</v>
      </c>
      <c r="G1599" s="64" t="s">
        <v>884</v>
      </c>
    </row>
    <row r="1600" spans="2:7">
      <c r="B1600" s="269" t="s">
        <v>335</v>
      </c>
      <c r="C1600" s="65" t="s">
        <v>336</v>
      </c>
      <c r="D1600" s="66">
        <f>VLOOKUP(C1600,基本字段定义!$B$3:$C$3008,2,FALSE)</f>
        <v>507</v>
      </c>
      <c r="E1600" s="67" t="s">
        <v>337</v>
      </c>
      <c r="F1600" s="67"/>
      <c r="G1600" s="69"/>
    </row>
    <row r="1601" spans="2:7">
      <c r="B1601" s="269"/>
      <c r="C1601" s="65" t="s">
        <v>338</v>
      </c>
      <c r="D1601" s="66">
        <f>VLOOKUP(C1601,基本字段定义!$B$3:$C$3008,2,FALSE)</f>
        <v>508</v>
      </c>
      <c r="E1601" s="67" t="s">
        <v>339</v>
      </c>
      <c r="F1601" s="67"/>
      <c r="G1601" s="68"/>
    </row>
    <row r="1602" spans="2:7">
      <c r="B1602" s="270"/>
      <c r="C1602" s="71"/>
      <c r="D1602" s="79"/>
      <c r="E1602" s="73"/>
      <c r="F1602" s="73"/>
      <c r="G1602" s="74"/>
    </row>
    <row r="1604" spans="2:7">
      <c r="B1604" s="53" t="s">
        <v>146</v>
      </c>
      <c r="C1604" s="80">
        <v>305003</v>
      </c>
      <c r="D1604" s="81"/>
      <c r="E1604" s="82"/>
      <c r="F1604" s="54" t="s">
        <v>326</v>
      </c>
      <c r="G1604" s="55"/>
    </row>
    <row r="1605" spans="2:7">
      <c r="B1605" s="56" t="s">
        <v>327</v>
      </c>
      <c r="C1605" s="83" t="str">
        <f>VLOOKUP(C1604,功能索引!$C$3:$D$269,2,FALSE)</f>
        <v>查询当日基金委托</v>
      </c>
      <c r="D1605" s="84"/>
      <c r="E1605" s="85"/>
      <c r="F1605" s="57" t="s">
        <v>148</v>
      </c>
      <c r="G1605" s="58" t="str">
        <f>VLOOKUP(C1604,功能索引!$C$3:$E2076,3,FALSE)</f>
        <v>Y</v>
      </c>
    </row>
    <row r="1606" spans="2:7">
      <c r="B1606" s="269" t="s">
        <v>328</v>
      </c>
      <c r="C1606" s="95"/>
      <c r="D1606" s="96"/>
      <c r="E1606" s="96"/>
      <c r="F1606" s="96"/>
      <c r="G1606" s="97"/>
    </row>
    <row r="1607" spans="2:7">
      <c r="B1607" s="270"/>
      <c r="C1607" s="98"/>
      <c r="D1607" s="99"/>
      <c r="E1607" s="99"/>
      <c r="F1607" s="99"/>
      <c r="G1607" s="100"/>
    </row>
    <row r="1608" spans="2:7">
      <c r="B1608" s="271" t="s">
        <v>329</v>
      </c>
      <c r="C1608" s="54" t="s">
        <v>330</v>
      </c>
      <c r="D1608" s="54" t="s">
        <v>331</v>
      </c>
      <c r="E1608" s="54" t="s">
        <v>332</v>
      </c>
      <c r="F1608" s="54" t="s">
        <v>333</v>
      </c>
      <c r="G1608" s="60" t="s">
        <v>334</v>
      </c>
    </row>
    <row r="1609" spans="2:7">
      <c r="B1609" s="269"/>
      <c r="C1609" s="61" t="s">
        <v>402</v>
      </c>
      <c r="D1609" s="62">
        <f>VLOOKUP(C1609,基本字段定义!$B$3:$C$3008,2,FALSE)</f>
        <v>605</v>
      </c>
      <c r="E1609" s="63" t="s">
        <v>403</v>
      </c>
      <c r="F1609" s="63" t="s">
        <v>152</v>
      </c>
      <c r="G1609" s="64" t="s">
        <v>404</v>
      </c>
    </row>
    <row r="1610" spans="2:7">
      <c r="B1610" s="269"/>
      <c r="C1610" s="61" t="s">
        <v>1028</v>
      </c>
      <c r="D1610" s="62">
        <f>VLOOKUP(C1610,基本字段定义!$B$3:$C$3008,2,FALSE)</f>
        <v>9198</v>
      </c>
      <c r="E1610" s="63" t="s">
        <v>362</v>
      </c>
      <c r="F1610" s="63"/>
      <c r="G1610" s="64" t="s">
        <v>1029</v>
      </c>
    </row>
    <row r="1611" spans="2:7">
      <c r="B1611" s="269"/>
      <c r="C1611" s="61" t="s">
        <v>882</v>
      </c>
      <c r="D1611" s="62">
        <f>VLOOKUP(C1611,基本字段定义!$B$3:$C$3008,2,FALSE)</f>
        <v>681</v>
      </c>
      <c r="E1611" s="63" t="s">
        <v>337</v>
      </c>
      <c r="F1611" s="63"/>
      <c r="G1611" s="64" t="s">
        <v>884</v>
      </c>
    </row>
    <row r="1612" spans="2:7">
      <c r="B1612" s="269" t="s">
        <v>335</v>
      </c>
      <c r="C1612" s="65" t="s">
        <v>882</v>
      </c>
      <c r="D1612" s="66">
        <f>VLOOKUP(C1612,基本字段定义!$B$3:$C$3008,2,FALSE)</f>
        <v>681</v>
      </c>
      <c r="E1612" s="67" t="s">
        <v>337</v>
      </c>
      <c r="F1612" s="67"/>
      <c r="G1612" s="69" t="s">
        <v>884</v>
      </c>
    </row>
    <row r="1613" spans="2:7">
      <c r="B1613" s="269"/>
      <c r="C1613" s="65" t="s">
        <v>956</v>
      </c>
      <c r="D1613" s="66">
        <f>VLOOKUP(C1613,基本字段定义!$B$3:$C$3008,2,FALSE)</f>
        <v>1898</v>
      </c>
      <c r="E1613" s="67" t="s">
        <v>337</v>
      </c>
      <c r="F1613" s="67"/>
      <c r="G1613" s="69" t="s">
        <v>957</v>
      </c>
    </row>
    <row r="1614" spans="2:7">
      <c r="B1614" s="269"/>
      <c r="C1614" s="65" t="s">
        <v>907</v>
      </c>
      <c r="D1614" s="66">
        <f>VLOOKUP(C1614,基本字段定义!$B$3:$C$3008,2,FALSE)</f>
        <v>750</v>
      </c>
      <c r="E1614" s="67" t="s">
        <v>339</v>
      </c>
      <c r="F1614" s="67"/>
      <c r="G1614" s="69" t="s">
        <v>908</v>
      </c>
    </row>
    <row r="1615" spans="2:7">
      <c r="B1615" s="269"/>
      <c r="C1615" s="65" t="s">
        <v>1052</v>
      </c>
      <c r="D1615" s="66">
        <f>VLOOKUP(C1615,基本字段定义!$B$3:$C$3008,2,FALSE)</f>
        <v>9228</v>
      </c>
      <c r="E1615" s="67" t="s">
        <v>339</v>
      </c>
      <c r="F1615" s="67"/>
      <c r="G1615" s="69" t="s">
        <v>1053</v>
      </c>
    </row>
    <row r="1616" spans="2:7">
      <c r="B1616" s="269"/>
      <c r="C1616" s="65" t="s">
        <v>1028</v>
      </c>
      <c r="D1616" s="66">
        <f>VLOOKUP(C1616,基本字段定义!$B$3:$C$3008,2,FALSE)</f>
        <v>9198</v>
      </c>
      <c r="E1616" s="67" t="s">
        <v>339</v>
      </c>
      <c r="F1616" s="67"/>
      <c r="G1616" s="69" t="s">
        <v>1029</v>
      </c>
    </row>
    <row r="1617" spans="2:7">
      <c r="B1617" s="269"/>
      <c r="C1617" s="65" t="s">
        <v>739</v>
      </c>
      <c r="D1617" s="66">
        <f>VLOOKUP(C1617,基本字段定义!$B$3:$C$3008,2,FALSE)</f>
        <v>9129</v>
      </c>
      <c r="E1617" s="67" t="s">
        <v>339</v>
      </c>
      <c r="F1617" s="67"/>
      <c r="G1617" s="69" t="s">
        <v>740</v>
      </c>
    </row>
    <row r="1618" spans="2:7">
      <c r="B1618" s="269"/>
      <c r="C1618" s="65" t="s">
        <v>1042</v>
      </c>
      <c r="D1618" s="66">
        <f>VLOOKUP(C1618,基本字段定义!$B$3:$C$3008,2,FALSE)</f>
        <v>874</v>
      </c>
      <c r="E1618" s="67" t="s">
        <v>337</v>
      </c>
      <c r="F1618" s="67"/>
      <c r="G1618" s="69" t="s">
        <v>1065</v>
      </c>
    </row>
    <row r="1619" spans="2:7">
      <c r="B1619" s="269"/>
      <c r="C1619" s="65" t="s">
        <v>1037</v>
      </c>
      <c r="D1619" s="66">
        <f>VLOOKUP(C1619,基本字段定义!$B$3:$C$3008,2,FALSE)</f>
        <v>9202</v>
      </c>
      <c r="E1619" s="67" t="s">
        <v>339</v>
      </c>
      <c r="F1619" s="67"/>
      <c r="G1619" s="69" t="s">
        <v>744</v>
      </c>
    </row>
    <row r="1620" spans="2:7">
      <c r="B1620" s="269"/>
      <c r="C1620" s="65" t="s">
        <v>1063</v>
      </c>
      <c r="D1620" s="66">
        <f>VLOOKUP(C1620,基本字段定义!$B$3:$C$3008,2,FALSE)</f>
        <v>1676</v>
      </c>
      <c r="E1620" s="67" t="s">
        <v>339</v>
      </c>
      <c r="F1620" s="67"/>
      <c r="G1620" s="69" t="s">
        <v>1078</v>
      </c>
    </row>
    <row r="1621" spans="2:7">
      <c r="B1621" s="269"/>
      <c r="C1621" s="65" t="s">
        <v>1071</v>
      </c>
      <c r="D1621" s="66">
        <f>VLOOKUP(C1621,基本字段定义!$B$3:$C$3008,2,FALSE)</f>
        <v>9238</v>
      </c>
      <c r="E1621" s="67" t="s">
        <v>537</v>
      </c>
      <c r="F1621" s="67"/>
      <c r="G1621" s="69" t="s">
        <v>1079</v>
      </c>
    </row>
    <row r="1622" spans="2:7">
      <c r="B1622" s="269"/>
      <c r="C1622" s="65" t="s">
        <v>1066</v>
      </c>
      <c r="D1622" s="66">
        <f>VLOOKUP(C1622,基本字段定义!$B$3:$C$3008,2,FALSE)</f>
        <v>9132</v>
      </c>
      <c r="E1622" s="67" t="s">
        <v>537</v>
      </c>
      <c r="F1622" s="67"/>
      <c r="G1622" s="69" t="s">
        <v>1080</v>
      </c>
    </row>
    <row r="1623" spans="2:7">
      <c r="B1623" s="269"/>
      <c r="C1623" s="65" t="s">
        <v>922</v>
      </c>
      <c r="D1623" s="66">
        <f>VLOOKUP(C1623,基本字段定义!$B$3:$C$3008,2,FALSE)</f>
        <v>641</v>
      </c>
      <c r="E1623" s="67" t="s">
        <v>339</v>
      </c>
      <c r="F1623" s="67"/>
      <c r="G1623" s="69" t="s">
        <v>966</v>
      </c>
    </row>
    <row r="1624" spans="2:7">
      <c r="B1624" s="269"/>
      <c r="C1624" s="65" t="s">
        <v>911</v>
      </c>
      <c r="D1624" s="66">
        <f>VLOOKUP(C1624,基本字段定义!$B$3:$C$3008,2,FALSE)</f>
        <v>753</v>
      </c>
      <c r="E1624" s="67" t="s">
        <v>337</v>
      </c>
      <c r="F1624" s="67"/>
      <c r="G1624" s="69" t="s">
        <v>1081</v>
      </c>
    </row>
    <row r="1625" spans="2:7">
      <c r="B1625" s="269"/>
      <c r="C1625" s="112" t="s">
        <v>1073</v>
      </c>
      <c r="D1625" s="113">
        <f>VLOOKUP(C1625,基本字段定义!$B$3:$C$3008,2,FALSE)</f>
        <v>9205</v>
      </c>
      <c r="E1625" s="113" t="s">
        <v>339</v>
      </c>
      <c r="F1625" s="113"/>
      <c r="G1625" s="111" t="s">
        <v>1082</v>
      </c>
    </row>
    <row r="1626" spans="2:7">
      <c r="B1626" s="269"/>
      <c r="C1626" s="112" t="s">
        <v>1075</v>
      </c>
      <c r="D1626" s="113">
        <f>VLOOKUP(C1626,基本字段定义!$B$3:$C$3008,2,FALSE)</f>
        <v>9246</v>
      </c>
      <c r="E1626" s="113" t="s">
        <v>337</v>
      </c>
      <c r="F1626" s="113"/>
      <c r="G1626" s="111" t="s">
        <v>1083</v>
      </c>
    </row>
    <row r="1627" spans="2:7">
      <c r="B1627" s="269"/>
      <c r="C1627" s="112" t="s">
        <v>1055</v>
      </c>
      <c r="D1627" s="113">
        <f>VLOOKUP(C1627,基本字段定义!$B$3:$C$3008,2,FALSE)</f>
        <v>1000</v>
      </c>
      <c r="E1627" s="113" t="s">
        <v>337</v>
      </c>
      <c r="F1627" s="113"/>
      <c r="G1627" s="111" t="s">
        <v>1084</v>
      </c>
    </row>
    <row r="1628" spans="2:7">
      <c r="B1628" s="269"/>
      <c r="C1628" s="112" t="s">
        <v>559</v>
      </c>
      <c r="D1628" s="113">
        <f>VLOOKUP(C1628,基本字段定义!$B$3:$C$3008,2,FALSE)</f>
        <v>9020</v>
      </c>
      <c r="E1628" s="113" t="s">
        <v>337</v>
      </c>
      <c r="F1628" s="113"/>
      <c r="G1628" s="111" t="s">
        <v>1085</v>
      </c>
    </row>
    <row r="1629" spans="2:7">
      <c r="B1629" s="270"/>
      <c r="C1629" s="71"/>
      <c r="D1629" s="79"/>
      <c r="E1629" s="73"/>
      <c r="F1629" s="73"/>
      <c r="G1629" s="74"/>
    </row>
    <row r="1631" spans="2:7">
      <c r="B1631" s="53" t="s">
        <v>146</v>
      </c>
      <c r="C1631" s="80">
        <v>105008</v>
      </c>
      <c r="D1631" s="81"/>
      <c r="E1631" s="82"/>
      <c r="F1631" s="54" t="s">
        <v>326</v>
      </c>
      <c r="G1631" s="55"/>
    </row>
    <row r="1632" spans="2:7">
      <c r="B1632" s="56" t="s">
        <v>327</v>
      </c>
      <c r="C1632" s="83" t="str">
        <f>VLOOKUP(C1631,功能索引!$C$3:$D$269,2,FALSE)</f>
        <v>定期定额申购品种查询</v>
      </c>
      <c r="D1632" s="84"/>
      <c r="E1632" s="85"/>
      <c r="F1632" s="57" t="s">
        <v>148</v>
      </c>
      <c r="G1632" s="58" t="str">
        <f>VLOOKUP(C1631,功能索引!$C$3:$E2140,3,FALSE)</f>
        <v>Y</v>
      </c>
    </row>
    <row r="1633" spans="2:7">
      <c r="B1633" s="269" t="s">
        <v>328</v>
      </c>
      <c r="C1633" s="95"/>
      <c r="D1633" s="96"/>
      <c r="E1633" s="96"/>
      <c r="F1633" s="96"/>
      <c r="G1633" s="97"/>
    </row>
    <row r="1634" spans="2:7">
      <c r="B1634" s="270"/>
      <c r="C1634" s="98"/>
      <c r="D1634" s="99"/>
      <c r="E1634" s="99"/>
      <c r="F1634" s="99"/>
      <c r="G1634" s="100"/>
    </row>
    <row r="1635" spans="2:7">
      <c r="B1635" s="271" t="s">
        <v>329</v>
      </c>
      <c r="C1635" s="54" t="s">
        <v>330</v>
      </c>
      <c r="D1635" s="54" t="s">
        <v>331</v>
      </c>
      <c r="E1635" s="54" t="s">
        <v>332</v>
      </c>
      <c r="F1635" s="54" t="s">
        <v>333</v>
      </c>
      <c r="G1635" s="60" t="s">
        <v>334</v>
      </c>
    </row>
    <row r="1636" spans="2:7">
      <c r="B1636" s="269"/>
      <c r="C1636" s="61" t="s">
        <v>1028</v>
      </c>
      <c r="D1636" s="62">
        <f>VLOOKUP(C1636,基本字段定义!$B$3:$C$3008,2,FALSE)</f>
        <v>9198</v>
      </c>
      <c r="E1636" s="63" t="s">
        <v>362</v>
      </c>
      <c r="F1636" s="63"/>
      <c r="G1636" s="64" t="s">
        <v>1029</v>
      </c>
    </row>
    <row r="1637" spans="2:7">
      <c r="B1637" s="269" t="s">
        <v>335</v>
      </c>
      <c r="C1637" s="65" t="s">
        <v>1028</v>
      </c>
      <c r="D1637" s="66">
        <f>VLOOKUP(C1637,基本字段定义!$B$3:$C$3008,2,FALSE)</f>
        <v>9198</v>
      </c>
      <c r="E1637" s="67" t="s">
        <v>339</v>
      </c>
      <c r="F1637" s="67"/>
      <c r="G1637" s="69" t="s">
        <v>1029</v>
      </c>
    </row>
    <row r="1638" spans="2:7">
      <c r="B1638" s="269"/>
      <c r="C1638" s="65" t="s">
        <v>1086</v>
      </c>
      <c r="D1638" s="66">
        <f>VLOOKUP(C1638,基本字段定义!$B$3:$C$3008,2,FALSE)</f>
        <v>9245</v>
      </c>
      <c r="E1638" s="67" t="s">
        <v>339</v>
      </c>
      <c r="F1638" s="67"/>
      <c r="G1638" s="69" t="s">
        <v>1087</v>
      </c>
    </row>
    <row r="1639" spans="2:7">
      <c r="B1639" s="269"/>
      <c r="C1639" s="65" t="s">
        <v>1088</v>
      </c>
      <c r="D1639" s="66">
        <f>VLOOKUP(C1639,基本字段定义!$B$3:$C$3008,2,FALSE)</f>
        <v>642</v>
      </c>
      <c r="E1639" s="67" t="s">
        <v>339</v>
      </c>
      <c r="F1639" s="67"/>
      <c r="G1639" s="69" t="s">
        <v>1089</v>
      </c>
    </row>
    <row r="1640" spans="2:7">
      <c r="B1640" s="269"/>
      <c r="C1640" s="65" t="s">
        <v>367</v>
      </c>
      <c r="D1640" s="66">
        <f>VLOOKUP(C1640,基本字段定义!$B$3:$C$3008,2,FALSE)</f>
        <v>651</v>
      </c>
      <c r="E1640" s="67" t="s">
        <v>337</v>
      </c>
      <c r="F1640" s="67"/>
      <c r="G1640" s="69" t="s">
        <v>1090</v>
      </c>
    </row>
    <row r="1641" spans="2:7">
      <c r="B1641" s="270"/>
      <c r="C1641" s="71"/>
      <c r="D1641" s="79"/>
      <c r="E1641" s="73"/>
      <c r="F1641" s="73"/>
      <c r="G1641" s="74"/>
    </row>
    <row r="1643" spans="2:7">
      <c r="B1643" s="53" t="s">
        <v>146</v>
      </c>
      <c r="C1643" s="80">
        <v>105009</v>
      </c>
      <c r="D1643" s="81"/>
      <c r="E1643" s="82"/>
      <c r="F1643" s="54" t="s">
        <v>326</v>
      </c>
      <c r="G1643" s="55"/>
    </row>
    <row r="1644" spans="2:7">
      <c r="B1644" s="56" t="s">
        <v>327</v>
      </c>
      <c r="C1644" s="83" t="str">
        <f>VLOOKUP(C1643,功能索引!$C$3:$D$269,2,FALSE)</f>
        <v>定期定额协议查询</v>
      </c>
      <c r="D1644" s="84"/>
      <c r="E1644" s="85"/>
      <c r="F1644" s="57" t="s">
        <v>148</v>
      </c>
      <c r="G1644" s="58" t="str">
        <f>VLOOKUP(C1643,功能索引!$C$3:$E2162,3,FALSE)</f>
        <v>Y</v>
      </c>
    </row>
    <row r="1645" spans="2:7">
      <c r="B1645" s="269" t="s">
        <v>328</v>
      </c>
      <c r="C1645" s="95"/>
      <c r="D1645" s="96"/>
      <c r="E1645" s="96"/>
      <c r="F1645" s="96"/>
      <c r="G1645" s="97"/>
    </row>
    <row r="1646" spans="2:7">
      <c r="B1646" s="270"/>
      <c r="C1646" s="98"/>
      <c r="D1646" s="99"/>
      <c r="E1646" s="99"/>
      <c r="F1646" s="99"/>
      <c r="G1646" s="100"/>
    </row>
    <row r="1647" spans="2:7">
      <c r="B1647" s="271" t="s">
        <v>329</v>
      </c>
      <c r="C1647" s="54" t="s">
        <v>330</v>
      </c>
      <c r="D1647" s="54" t="s">
        <v>331</v>
      </c>
      <c r="E1647" s="54" t="s">
        <v>332</v>
      </c>
      <c r="F1647" s="54" t="s">
        <v>333</v>
      </c>
      <c r="G1647" s="60" t="s">
        <v>334</v>
      </c>
    </row>
    <row r="1648" spans="2:7">
      <c r="B1648" s="269"/>
      <c r="C1648" s="61" t="s">
        <v>402</v>
      </c>
      <c r="D1648" s="62">
        <f>VLOOKUP(C1648,基本字段定义!$B$3:$C$3008,2,FALSE)</f>
        <v>605</v>
      </c>
      <c r="E1648" s="63" t="s">
        <v>403</v>
      </c>
      <c r="F1648" s="63" t="s">
        <v>152</v>
      </c>
      <c r="G1648" s="64" t="s">
        <v>404</v>
      </c>
    </row>
    <row r="1649" spans="2:7">
      <c r="B1649" s="269"/>
      <c r="C1649" s="61" t="s">
        <v>1028</v>
      </c>
      <c r="D1649" s="62">
        <f>VLOOKUP(C1649,基本字段定义!$B$3:$C$3008,2,FALSE)</f>
        <v>9198</v>
      </c>
      <c r="E1649" s="63" t="s">
        <v>362</v>
      </c>
      <c r="F1649" s="63"/>
      <c r="G1649" s="64" t="s">
        <v>1029</v>
      </c>
    </row>
    <row r="1650" spans="2:7">
      <c r="B1650" s="269"/>
      <c r="C1650" s="61" t="s">
        <v>739</v>
      </c>
      <c r="D1650" s="62">
        <f>VLOOKUP(C1650,基本字段定义!$B$3:$C$3008,2,FALSE)</f>
        <v>9129</v>
      </c>
      <c r="E1650" s="63" t="s">
        <v>480</v>
      </c>
      <c r="F1650" s="63"/>
      <c r="G1650" s="64" t="s">
        <v>740</v>
      </c>
    </row>
    <row r="1651" spans="2:7">
      <c r="B1651" s="269"/>
      <c r="C1651" s="61" t="s">
        <v>899</v>
      </c>
      <c r="D1651" s="62">
        <f>VLOOKUP(C1651,基本字段定义!$B$3:$C$3008,2,FALSE)</f>
        <v>755</v>
      </c>
      <c r="E1651" s="63" t="s">
        <v>337</v>
      </c>
      <c r="F1651" s="63"/>
      <c r="G1651" s="64" t="s">
        <v>1091</v>
      </c>
    </row>
    <row r="1652" spans="2:7">
      <c r="B1652" s="266" t="s">
        <v>335</v>
      </c>
      <c r="C1652" s="65" t="s">
        <v>1092</v>
      </c>
      <c r="D1652" s="66">
        <f>VLOOKUP(C1652,基本字段定义!$B$3:$C$3008,2,FALSE)</f>
        <v>1077</v>
      </c>
      <c r="E1652" s="67" t="s">
        <v>339</v>
      </c>
      <c r="F1652" s="67"/>
      <c r="G1652" s="69" t="s">
        <v>1093</v>
      </c>
    </row>
    <row r="1653" spans="2:7">
      <c r="B1653" s="267"/>
      <c r="C1653" s="65" t="s">
        <v>1028</v>
      </c>
      <c r="D1653" s="66">
        <f>VLOOKUP(C1653,基本字段定义!$B$3:$C$3008,2,FALSE)</f>
        <v>9198</v>
      </c>
      <c r="E1653" s="67" t="s">
        <v>339</v>
      </c>
      <c r="F1653" s="67"/>
      <c r="G1653" s="69" t="s">
        <v>1029</v>
      </c>
    </row>
    <row r="1654" spans="2:7">
      <c r="B1654" s="267"/>
      <c r="C1654" s="65" t="s">
        <v>739</v>
      </c>
      <c r="D1654" s="66">
        <f>VLOOKUP(C1654,基本字段定义!$B$3:$C$3008,2,FALSE)</f>
        <v>9129</v>
      </c>
      <c r="E1654" s="67" t="s">
        <v>339</v>
      </c>
      <c r="F1654" s="67"/>
      <c r="G1654" s="68" t="s">
        <v>740</v>
      </c>
    </row>
    <row r="1655" spans="2:7">
      <c r="B1655" s="267"/>
      <c r="C1655" s="65" t="s">
        <v>1042</v>
      </c>
      <c r="D1655" s="66">
        <f>VLOOKUP(C1655,基本字段定义!$B$3:$C$3008,2,FALSE)</f>
        <v>874</v>
      </c>
      <c r="E1655" s="67" t="s">
        <v>337</v>
      </c>
      <c r="F1655" s="67"/>
      <c r="G1655" s="69" t="s">
        <v>1065</v>
      </c>
    </row>
    <row r="1656" spans="2:7">
      <c r="B1656" s="267"/>
      <c r="C1656" s="65" t="s">
        <v>1086</v>
      </c>
      <c r="D1656" s="66">
        <f>VLOOKUP(C1656,基本字段定义!$B$3:$C$3008,2,FALSE)</f>
        <v>9245</v>
      </c>
      <c r="E1656" s="67" t="s">
        <v>339</v>
      </c>
      <c r="F1656" s="67"/>
      <c r="G1656" s="69" t="s">
        <v>1087</v>
      </c>
    </row>
    <row r="1657" spans="2:7">
      <c r="B1657" s="267"/>
      <c r="C1657" s="65" t="s">
        <v>1094</v>
      </c>
      <c r="D1657" s="66">
        <f>VLOOKUP(C1657,基本字段定义!$B$3:$C$3008,2,FALSE)</f>
        <v>9253</v>
      </c>
      <c r="E1657" s="67" t="s">
        <v>337</v>
      </c>
      <c r="F1657" s="67"/>
      <c r="G1657" s="69" t="s">
        <v>1090</v>
      </c>
    </row>
    <row r="1658" spans="2:7">
      <c r="B1658" s="267"/>
      <c r="C1658" s="65" t="s">
        <v>484</v>
      </c>
      <c r="D1658" s="66">
        <f>VLOOKUP(C1658,基本字段定义!$B$3:$C$3008,2,FALSE)</f>
        <v>618</v>
      </c>
      <c r="E1658" s="67" t="s">
        <v>337</v>
      </c>
      <c r="F1658" s="67"/>
      <c r="G1658" s="69" t="s">
        <v>1095</v>
      </c>
    </row>
    <row r="1659" spans="2:7">
      <c r="B1659" s="267"/>
      <c r="C1659" s="65" t="s">
        <v>486</v>
      </c>
      <c r="D1659" s="66">
        <f>VLOOKUP(C1659,基本字段定义!$B$3:$C$3008,2,FALSE)</f>
        <v>590</v>
      </c>
      <c r="E1659" s="67" t="s">
        <v>337</v>
      </c>
      <c r="F1659" s="67"/>
      <c r="G1659" s="69" t="s">
        <v>1096</v>
      </c>
    </row>
    <row r="1660" spans="2:7">
      <c r="B1660" s="267"/>
      <c r="C1660" s="65" t="s">
        <v>731</v>
      </c>
      <c r="D1660" s="66">
        <f>VLOOKUP(C1660,基本字段定义!$B$3:$C$3008,2,FALSE)</f>
        <v>9108</v>
      </c>
      <c r="E1660" s="67" t="s">
        <v>337</v>
      </c>
      <c r="F1660" s="67"/>
      <c r="G1660" s="69" t="s">
        <v>1097</v>
      </c>
    </row>
    <row r="1661" spans="2:7">
      <c r="B1661" s="267"/>
      <c r="C1661" s="65" t="s">
        <v>1098</v>
      </c>
      <c r="D1661" s="66">
        <f>VLOOKUP(C1661,基本字段定义!$B$3:$C$3008,2,FALSE)</f>
        <v>9254</v>
      </c>
      <c r="E1661" s="67" t="s">
        <v>537</v>
      </c>
      <c r="F1661" s="67"/>
      <c r="G1661" s="69" t="s">
        <v>1099</v>
      </c>
    </row>
    <row r="1662" spans="2:7">
      <c r="B1662" s="268"/>
      <c r="C1662" s="71"/>
      <c r="D1662" s="79"/>
      <c r="E1662" s="73"/>
      <c r="F1662" s="73"/>
      <c r="G1662" s="74"/>
    </row>
    <row r="1664" spans="2:7">
      <c r="B1664" s="53" t="s">
        <v>146</v>
      </c>
      <c r="C1664" s="80">
        <v>125009</v>
      </c>
      <c r="D1664" s="81"/>
      <c r="E1664" s="82"/>
      <c r="F1664" s="54" t="s">
        <v>326</v>
      </c>
      <c r="G1664" s="55"/>
    </row>
    <row r="1665" spans="2:7">
      <c r="B1665" s="56" t="s">
        <v>327</v>
      </c>
      <c r="C1665" s="83" t="str">
        <f>VLOOKUP(C1664,功能索引!$C$3:$D$269,2,FALSE)</f>
        <v>定期定额申购协议开通</v>
      </c>
      <c r="D1665" s="84"/>
      <c r="E1665" s="85"/>
      <c r="F1665" s="57" t="s">
        <v>148</v>
      </c>
      <c r="G1665" s="58">
        <f>VLOOKUP(C1664,功能索引!$C$3:$E2199,3,FALSE)</f>
        <v>0</v>
      </c>
    </row>
    <row r="1666" spans="2:7">
      <c r="B1666" s="269" t="s">
        <v>328</v>
      </c>
      <c r="C1666" s="95"/>
      <c r="D1666" s="96"/>
      <c r="E1666" s="96"/>
      <c r="F1666" s="96"/>
      <c r="G1666" s="97"/>
    </row>
    <row r="1667" spans="2:7">
      <c r="B1667" s="270"/>
      <c r="C1667" s="98"/>
      <c r="D1667" s="99"/>
      <c r="E1667" s="99"/>
      <c r="F1667" s="99"/>
      <c r="G1667" s="100"/>
    </row>
    <row r="1668" spans="2:7">
      <c r="B1668" s="271" t="s">
        <v>329</v>
      </c>
      <c r="C1668" s="54" t="s">
        <v>330</v>
      </c>
      <c r="D1668" s="54" t="s">
        <v>331</v>
      </c>
      <c r="E1668" s="54" t="s">
        <v>332</v>
      </c>
      <c r="F1668" s="54" t="s">
        <v>333</v>
      </c>
      <c r="G1668" s="60" t="s">
        <v>334</v>
      </c>
    </row>
    <row r="1669" spans="2:7">
      <c r="B1669" s="269"/>
      <c r="C1669" s="61" t="s">
        <v>402</v>
      </c>
      <c r="D1669" s="62">
        <f>VLOOKUP(C1669,基本字段定义!$B$3:$C$3008,2,FALSE)</f>
        <v>605</v>
      </c>
      <c r="E1669" s="63" t="s">
        <v>403</v>
      </c>
      <c r="F1669" s="63" t="s">
        <v>152</v>
      </c>
      <c r="G1669" s="64" t="s">
        <v>404</v>
      </c>
    </row>
    <row r="1670" spans="2:7">
      <c r="B1670" s="269"/>
      <c r="C1670" s="61" t="s">
        <v>1028</v>
      </c>
      <c r="D1670" s="62">
        <f>VLOOKUP(C1670,基本字段定义!$B$3:$C$3008,2,FALSE)</f>
        <v>9198</v>
      </c>
      <c r="E1670" s="63" t="s">
        <v>362</v>
      </c>
      <c r="F1670" s="63" t="s">
        <v>152</v>
      </c>
      <c r="G1670" s="64" t="s">
        <v>1029</v>
      </c>
    </row>
    <row r="1671" spans="2:7">
      <c r="B1671" s="269"/>
      <c r="C1671" s="61" t="s">
        <v>1052</v>
      </c>
      <c r="D1671" s="62">
        <f>VLOOKUP(C1671,基本字段定义!$B$3:$C$3008,2,FALSE)</f>
        <v>9228</v>
      </c>
      <c r="E1671" s="63" t="s">
        <v>403</v>
      </c>
      <c r="F1671" s="63" t="s">
        <v>152</v>
      </c>
      <c r="G1671" s="64" t="s">
        <v>1053</v>
      </c>
    </row>
    <row r="1672" spans="2:7">
      <c r="B1672" s="269"/>
      <c r="C1672" s="61" t="s">
        <v>739</v>
      </c>
      <c r="D1672" s="62">
        <f>VLOOKUP(C1672,基本字段定义!$B$3:$C$3008,2,FALSE)</f>
        <v>9129</v>
      </c>
      <c r="E1672" s="63" t="s">
        <v>480</v>
      </c>
      <c r="F1672" s="63" t="s">
        <v>152</v>
      </c>
      <c r="G1672" s="64" t="s">
        <v>740</v>
      </c>
    </row>
    <row r="1673" spans="2:7">
      <c r="B1673" s="269"/>
      <c r="C1673" s="61" t="s">
        <v>1042</v>
      </c>
      <c r="D1673" s="62">
        <f>VLOOKUP(C1673,基本字段定义!$B$3:$C$3008,2,FALSE)</f>
        <v>874</v>
      </c>
      <c r="E1673" s="63" t="s">
        <v>337</v>
      </c>
      <c r="F1673" s="63" t="s">
        <v>152</v>
      </c>
      <c r="G1673" s="64" t="s">
        <v>1065</v>
      </c>
    </row>
    <row r="1674" spans="2:7">
      <c r="B1674" s="269"/>
      <c r="C1674" s="61" t="s">
        <v>1086</v>
      </c>
      <c r="D1674" s="62">
        <f>VLOOKUP(C1674,基本字段定义!$B$3:$C$3008,2,FALSE)</f>
        <v>9245</v>
      </c>
      <c r="E1674" s="63" t="s">
        <v>1100</v>
      </c>
      <c r="F1674" s="63" t="s">
        <v>152</v>
      </c>
      <c r="G1674" s="64" t="s">
        <v>1087</v>
      </c>
    </row>
    <row r="1675" spans="2:7">
      <c r="B1675" s="269"/>
      <c r="C1675" s="61" t="s">
        <v>1098</v>
      </c>
      <c r="D1675" s="62">
        <f>VLOOKUP(C1675,基本字段定义!$B$3:$C$3008,2,FALSE)</f>
        <v>9254</v>
      </c>
      <c r="E1675" s="63" t="s">
        <v>537</v>
      </c>
      <c r="F1675" s="63" t="s">
        <v>152</v>
      </c>
      <c r="G1675" s="64" t="s">
        <v>1099</v>
      </c>
    </row>
    <row r="1676" spans="2:7">
      <c r="B1676" s="269"/>
      <c r="C1676" s="61" t="s">
        <v>484</v>
      </c>
      <c r="D1676" s="62">
        <f>VLOOKUP(C1676,基本字段定义!$B$3:$C$3008,2,FALSE)</f>
        <v>618</v>
      </c>
      <c r="E1676" s="63" t="s">
        <v>337</v>
      </c>
      <c r="F1676" s="63" t="s">
        <v>152</v>
      </c>
      <c r="G1676" s="64" t="s">
        <v>1101</v>
      </c>
    </row>
    <row r="1677" spans="2:7">
      <c r="B1677" s="269"/>
      <c r="C1677" s="61" t="s">
        <v>486</v>
      </c>
      <c r="D1677" s="62">
        <f>VLOOKUP(C1677,基本字段定义!$B$3:$C$3008,2,FALSE)</f>
        <v>590</v>
      </c>
      <c r="E1677" s="63" t="s">
        <v>337</v>
      </c>
      <c r="F1677" s="63" t="s">
        <v>152</v>
      </c>
      <c r="G1677" s="64" t="s">
        <v>1102</v>
      </c>
    </row>
    <row r="1678" spans="2:7">
      <c r="B1678" s="269" t="s">
        <v>335</v>
      </c>
      <c r="C1678" s="65" t="s">
        <v>336</v>
      </c>
      <c r="D1678" s="66">
        <f>VLOOKUP(C1678,基本字段定义!$B$3:$C$3008,2,FALSE)</f>
        <v>507</v>
      </c>
      <c r="E1678" s="67" t="s">
        <v>337</v>
      </c>
      <c r="F1678" s="67"/>
      <c r="G1678" s="68"/>
    </row>
    <row r="1679" spans="2:7">
      <c r="B1679" s="269"/>
      <c r="C1679" s="65" t="s">
        <v>338</v>
      </c>
      <c r="D1679" s="66">
        <f>VLOOKUP(C1679,基本字段定义!$B$3:$C$3008,2,FALSE)</f>
        <v>508</v>
      </c>
      <c r="E1679" s="67" t="s">
        <v>339</v>
      </c>
      <c r="F1679" s="67"/>
      <c r="G1679" s="69"/>
    </row>
    <row r="1680" spans="2:7">
      <c r="B1680" s="270"/>
      <c r="C1680" s="71"/>
      <c r="D1680" s="79"/>
      <c r="E1680" s="73"/>
      <c r="F1680" s="73"/>
      <c r="G1680" s="74"/>
    </row>
    <row r="1682" spans="2:7">
      <c r="B1682" s="53" t="s">
        <v>146</v>
      </c>
      <c r="C1682" s="80">
        <v>165009</v>
      </c>
      <c r="D1682" s="81"/>
      <c r="E1682" s="82"/>
      <c r="F1682" s="54" t="s">
        <v>326</v>
      </c>
      <c r="G1682" s="55"/>
    </row>
    <row r="1683" spans="2:7">
      <c r="B1683" s="56" t="s">
        <v>327</v>
      </c>
      <c r="C1683" s="83" t="str">
        <f>VLOOKUP(C1682,功能索引!$C$3:$D$269,2,FALSE)</f>
        <v>定期定额申购协议中止</v>
      </c>
      <c r="D1683" s="84"/>
      <c r="E1683" s="85"/>
      <c r="F1683" s="57" t="s">
        <v>148</v>
      </c>
      <c r="G1683" s="58">
        <f>VLOOKUP(C1682,功能索引!$C$3:$E2220,3,FALSE)</f>
        <v>0</v>
      </c>
    </row>
    <row r="1684" spans="2:7">
      <c r="B1684" s="269" t="s">
        <v>328</v>
      </c>
      <c r="C1684" s="95"/>
      <c r="D1684" s="96"/>
      <c r="E1684" s="96"/>
      <c r="F1684" s="96"/>
      <c r="G1684" s="97"/>
    </row>
    <row r="1685" spans="2:7">
      <c r="B1685" s="270"/>
      <c r="C1685" s="98"/>
      <c r="D1685" s="99"/>
      <c r="E1685" s="99"/>
      <c r="F1685" s="99"/>
      <c r="G1685" s="100"/>
    </row>
    <row r="1686" spans="2:7">
      <c r="B1686" s="271" t="s">
        <v>329</v>
      </c>
      <c r="C1686" s="54" t="s">
        <v>330</v>
      </c>
      <c r="D1686" s="54" t="s">
        <v>331</v>
      </c>
      <c r="E1686" s="54" t="s">
        <v>332</v>
      </c>
      <c r="F1686" s="54" t="s">
        <v>333</v>
      </c>
      <c r="G1686" s="60" t="s">
        <v>334</v>
      </c>
    </row>
    <row r="1687" spans="2:7">
      <c r="B1687" s="269"/>
      <c r="C1687" s="61" t="s">
        <v>402</v>
      </c>
      <c r="D1687" s="62">
        <f>VLOOKUP(C1687,基本字段定义!$B$3:$C$3008,2,FALSE)</f>
        <v>605</v>
      </c>
      <c r="E1687" s="63" t="s">
        <v>403</v>
      </c>
      <c r="F1687" s="63" t="s">
        <v>152</v>
      </c>
      <c r="G1687" s="64" t="s">
        <v>404</v>
      </c>
    </row>
    <row r="1688" spans="2:7">
      <c r="B1688" s="269"/>
      <c r="C1688" s="61" t="s">
        <v>1028</v>
      </c>
      <c r="D1688" s="62">
        <f>VLOOKUP(C1688,基本字段定义!$B$3:$C$3008,2,FALSE)</f>
        <v>9198</v>
      </c>
      <c r="E1688" s="63" t="s">
        <v>362</v>
      </c>
      <c r="F1688" s="63" t="s">
        <v>152</v>
      </c>
      <c r="G1688" s="64" t="s">
        <v>1029</v>
      </c>
    </row>
    <row r="1689" spans="2:7">
      <c r="B1689" s="269"/>
      <c r="C1689" s="61" t="s">
        <v>1092</v>
      </c>
      <c r="D1689" s="62">
        <f>VLOOKUP(C1689,基本字段定义!$B$3:$C$3008,2,FALSE)</f>
        <v>1077</v>
      </c>
      <c r="E1689" s="63" t="s">
        <v>337</v>
      </c>
      <c r="F1689" s="63" t="s">
        <v>152</v>
      </c>
      <c r="G1689" s="64" t="s">
        <v>1093</v>
      </c>
    </row>
    <row r="1690" spans="2:7">
      <c r="B1690" s="269" t="s">
        <v>335</v>
      </c>
      <c r="C1690" s="65" t="s">
        <v>336</v>
      </c>
      <c r="D1690" s="66">
        <f>VLOOKUP(C1690,基本字段定义!$B$3:$C$3008,2,FALSE)</f>
        <v>507</v>
      </c>
      <c r="E1690" s="67" t="s">
        <v>337</v>
      </c>
      <c r="F1690" s="67"/>
      <c r="G1690" s="68"/>
    </row>
    <row r="1691" spans="2:7">
      <c r="B1691" s="269"/>
      <c r="C1691" s="65" t="s">
        <v>338</v>
      </c>
      <c r="D1691" s="66">
        <f>VLOOKUP(C1691,基本字段定义!$B$3:$C$3008,2,FALSE)</f>
        <v>508</v>
      </c>
      <c r="E1691" s="67" t="s">
        <v>339</v>
      </c>
      <c r="F1691" s="67"/>
      <c r="G1691" s="69"/>
    </row>
    <row r="1692" spans="2:7">
      <c r="B1692" s="270"/>
      <c r="C1692" s="71"/>
      <c r="D1692" s="79"/>
      <c r="E1692" s="73"/>
      <c r="F1692" s="73"/>
      <c r="G1692" s="74"/>
    </row>
    <row r="1694" spans="2:7">
      <c r="B1694" s="53" t="s">
        <v>146</v>
      </c>
      <c r="C1694" s="80">
        <v>305209</v>
      </c>
      <c r="D1694" s="81"/>
      <c r="E1694" s="82"/>
      <c r="F1694" s="54" t="s">
        <v>326</v>
      </c>
      <c r="G1694" s="55"/>
    </row>
    <row r="1695" spans="2:7">
      <c r="B1695" s="56" t="s">
        <v>327</v>
      </c>
      <c r="C1695" s="83" t="str">
        <f>VLOOKUP(C1694,功能索引!$C$3:$D$269,2,FALSE)</f>
        <v>电子理财协议查询(现金宝保留额度等)</v>
      </c>
      <c r="D1695" s="84"/>
      <c r="E1695" s="85"/>
      <c r="F1695" s="57" t="s">
        <v>148</v>
      </c>
      <c r="G1695" s="58" t="str">
        <f>VLOOKUP(C1694,功能索引!$C$3:$E2334,3,FALSE)</f>
        <v>Y</v>
      </c>
    </row>
    <row r="1696" spans="2:7">
      <c r="B1696" s="269" t="s">
        <v>328</v>
      </c>
      <c r="C1696" s="95"/>
      <c r="D1696" s="96"/>
      <c r="E1696" s="96"/>
      <c r="F1696" s="96"/>
      <c r="G1696" s="97"/>
    </row>
    <row r="1697" spans="2:7">
      <c r="B1697" s="270"/>
      <c r="C1697" s="98"/>
      <c r="D1697" s="99"/>
      <c r="E1697" s="99"/>
      <c r="F1697" s="99"/>
      <c r="G1697" s="100"/>
    </row>
    <row r="1698" spans="2:7" s="52" customFormat="1">
      <c r="B1698" s="271" t="s">
        <v>329</v>
      </c>
      <c r="C1698" s="54" t="s">
        <v>330</v>
      </c>
      <c r="D1698" s="54" t="s">
        <v>331</v>
      </c>
      <c r="E1698" s="54" t="s">
        <v>332</v>
      </c>
      <c r="F1698" s="54" t="s">
        <v>333</v>
      </c>
      <c r="G1698" s="60" t="s">
        <v>334</v>
      </c>
    </row>
    <row r="1699" spans="2:7" ht="16.5" customHeight="1">
      <c r="B1699" s="269"/>
      <c r="C1699" s="61" t="s">
        <v>402</v>
      </c>
      <c r="D1699" s="62">
        <f>VLOOKUP(C1699,基本字段定义!$B$3:$C$3008,2,FALSE)</f>
        <v>605</v>
      </c>
      <c r="E1699" s="63" t="s">
        <v>403</v>
      </c>
      <c r="F1699" s="63" t="s">
        <v>152</v>
      </c>
      <c r="G1699" s="64" t="s">
        <v>404</v>
      </c>
    </row>
    <row r="1700" spans="2:7">
      <c r="B1700" s="269"/>
      <c r="C1700" s="61" t="s">
        <v>1028</v>
      </c>
      <c r="D1700" s="62">
        <f>VLOOKUP(C1700,基本字段定义!$B$3:$C$3008,2,FALSE)</f>
        <v>9198</v>
      </c>
      <c r="E1700" s="63" t="s">
        <v>362</v>
      </c>
      <c r="F1700" s="63"/>
      <c r="G1700" s="64" t="s">
        <v>1029</v>
      </c>
    </row>
    <row r="1701" spans="2:7">
      <c r="B1701" s="269"/>
      <c r="C1701" s="61" t="s">
        <v>739</v>
      </c>
      <c r="D1701" s="62">
        <f>VLOOKUP(C1701,基本字段定义!$B$3:$C$3008,2,FALSE)</f>
        <v>9129</v>
      </c>
      <c r="E1701" s="63" t="s">
        <v>480</v>
      </c>
      <c r="F1701" s="63"/>
      <c r="G1701" s="64" t="s">
        <v>740</v>
      </c>
    </row>
    <row r="1702" spans="2:7">
      <c r="B1702" s="269" t="s">
        <v>335</v>
      </c>
      <c r="C1702" s="112" t="s">
        <v>882</v>
      </c>
      <c r="D1702" s="113">
        <f>VLOOKUP(C1702,基本字段定义!$B$3:$C$3008,2,FALSE)</f>
        <v>681</v>
      </c>
      <c r="E1702" s="113" t="s">
        <v>337</v>
      </c>
      <c r="F1702" s="113"/>
      <c r="G1702" s="111" t="s">
        <v>1093</v>
      </c>
    </row>
    <row r="1703" spans="2:7">
      <c r="B1703" s="269"/>
      <c r="C1703" s="65" t="s">
        <v>1028</v>
      </c>
      <c r="D1703" s="66">
        <f>VLOOKUP(C1703,基本字段定义!$B$3:$C$3008,2,FALSE)</f>
        <v>9198</v>
      </c>
      <c r="E1703" s="67" t="s">
        <v>339</v>
      </c>
      <c r="F1703" s="67"/>
      <c r="G1703" s="69" t="s">
        <v>1029</v>
      </c>
    </row>
    <row r="1704" spans="2:7">
      <c r="B1704" s="269"/>
      <c r="C1704" s="65" t="s">
        <v>739</v>
      </c>
      <c r="D1704" s="66">
        <f>VLOOKUP(C1704,基本字段定义!$B$3:$C$3008,2,FALSE)</f>
        <v>9129</v>
      </c>
      <c r="E1704" s="67" t="s">
        <v>339</v>
      </c>
      <c r="F1704" s="67"/>
      <c r="G1704" s="69" t="s">
        <v>740</v>
      </c>
    </row>
    <row r="1705" spans="2:7">
      <c r="B1705" s="269"/>
      <c r="C1705" s="65" t="s">
        <v>1042</v>
      </c>
      <c r="D1705" s="66">
        <f>VLOOKUP(C1705,基本字段定义!$B$3:$C$3008,2,FALSE)</f>
        <v>874</v>
      </c>
      <c r="E1705" s="67" t="s">
        <v>337</v>
      </c>
      <c r="F1705" s="67"/>
      <c r="G1705" s="69" t="s">
        <v>1065</v>
      </c>
    </row>
    <row r="1706" spans="2:7">
      <c r="B1706" s="269"/>
      <c r="C1706" s="65" t="s">
        <v>956</v>
      </c>
      <c r="D1706" s="66">
        <f>VLOOKUP(C1706,基本字段定义!$B$3:$C$3008,2,FALSE)</f>
        <v>1898</v>
      </c>
      <c r="E1706" s="67" t="s">
        <v>337</v>
      </c>
      <c r="F1706" s="67"/>
      <c r="G1706" s="69" t="s">
        <v>1103</v>
      </c>
    </row>
    <row r="1707" spans="2:7">
      <c r="B1707" s="269"/>
      <c r="C1707" s="65" t="s">
        <v>907</v>
      </c>
      <c r="D1707" s="66">
        <f>VLOOKUP(C1707,基本字段定义!$B$3:$C$3008,2,FALSE)</f>
        <v>750</v>
      </c>
      <c r="E1707" s="67" t="s">
        <v>339</v>
      </c>
      <c r="F1707" s="67"/>
      <c r="G1707" s="69" t="s">
        <v>1104</v>
      </c>
    </row>
    <row r="1708" spans="2:7">
      <c r="B1708" s="269"/>
      <c r="C1708" s="65" t="s">
        <v>484</v>
      </c>
      <c r="D1708" s="66">
        <f>VLOOKUP(C1708,基本字段定义!$B$3:$C$3008,2,FALSE)</f>
        <v>618</v>
      </c>
      <c r="E1708" s="67" t="s">
        <v>337</v>
      </c>
      <c r="F1708" s="67"/>
      <c r="G1708" s="69" t="s">
        <v>1095</v>
      </c>
    </row>
    <row r="1709" spans="2:7">
      <c r="B1709" s="269"/>
      <c r="C1709" s="65" t="s">
        <v>486</v>
      </c>
      <c r="D1709" s="66">
        <f>VLOOKUP(C1709,基本字段定义!$B$3:$C$3008,2,FALSE)</f>
        <v>590</v>
      </c>
      <c r="E1709" s="67" t="s">
        <v>337</v>
      </c>
      <c r="F1709" s="67"/>
      <c r="G1709" s="69" t="s">
        <v>1096</v>
      </c>
    </row>
    <row r="1710" spans="2:7" s="52" customFormat="1">
      <c r="B1710" s="269"/>
      <c r="C1710" s="65" t="s">
        <v>731</v>
      </c>
      <c r="D1710" s="66">
        <f>VLOOKUP(C1710,基本字段定义!$B$3:$C$3008,2,FALSE)</f>
        <v>9108</v>
      </c>
      <c r="E1710" s="67" t="s">
        <v>337</v>
      </c>
      <c r="F1710" s="67"/>
      <c r="G1710" s="69" t="s">
        <v>1105</v>
      </c>
    </row>
    <row r="1711" spans="2:7" s="52" customFormat="1">
      <c r="B1711" s="269"/>
      <c r="C1711" s="65" t="s">
        <v>1106</v>
      </c>
      <c r="D1711" s="66">
        <v>825</v>
      </c>
      <c r="E1711" s="67" t="s">
        <v>339</v>
      </c>
      <c r="F1711" s="67"/>
      <c r="G1711" s="69" t="s">
        <v>1107</v>
      </c>
    </row>
    <row r="1712" spans="2:7" s="52" customFormat="1">
      <c r="B1712" s="269"/>
      <c r="C1712" s="120" t="s">
        <v>1108</v>
      </c>
      <c r="D1712" s="119">
        <f>VLOOKUP(C1712,基本字段定义!$B$3:$C$3008,2,FALSE)</f>
        <v>2310</v>
      </c>
      <c r="E1712" s="119" t="s">
        <v>339</v>
      </c>
      <c r="F1712" s="119"/>
      <c r="G1712" s="115" t="s">
        <v>1109</v>
      </c>
    </row>
    <row r="1713" spans="2:7" s="52" customFormat="1">
      <c r="B1713" s="269"/>
      <c r="C1713" s="65" t="s">
        <v>1110</v>
      </c>
      <c r="D1713" s="66">
        <v>1240</v>
      </c>
      <c r="E1713" s="67" t="s">
        <v>339</v>
      </c>
      <c r="F1713" s="67"/>
      <c r="G1713" s="69" t="s">
        <v>1111</v>
      </c>
    </row>
    <row r="1714" spans="2:7" s="52" customFormat="1">
      <c r="B1714" s="269"/>
      <c r="C1714" s="121" t="s">
        <v>1112</v>
      </c>
      <c r="D1714" s="122">
        <v>1609</v>
      </c>
      <c r="E1714" s="123" t="s">
        <v>339</v>
      </c>
      <c r="F1714" s="123"/>
      <c r="G1714" s="124" t="s">
        <v>1113</v>
      </c>
    </row>
    <row r="1715" spans="2:7">
      <c r="B1715" s="269"/>
      <c r="C1715" s="65" t="s">
        <v>1114</v>
      </c>
      <c r="D1715" s="66">
        <f>VLOOKUP(C1715,基本字段定义!$B$3:$C$3008,2,FALSE)</f>
        <v>1549</v>
      </c>
      <c r="E1715" s="67" t="s">
        <v>339</v>
      </c>
      <c r="F1715" s="67"/>
      <c r="G1715" s="69" t="s">
        <v>1115</v>
      </c>
    </row>
    <row r="1716" spans="2:7" ht="16.5" customHeight="1">
      <c r="B1716" s="270"/>
      <c r="C1716" s="71"/>
      <c r="D1716" s="79"/>
      <c r="E1716" s="73"/>
      <c r="F1716" s="73"/>
      <c r="G1716" s="74"/>
    </row>
    <row r="1718" spans="2:7">
      <c r="B1718" s="53" t="s">
        <v>146</v>
      </c>
      <c r="C1718" s="80">
        <v>125012</v>
      </c>
      <c r="D1718" s="81"/>
      <c r="E1718" s="82"/>
      <c r="F1718" s="54" t="s">
        <v>326</v>
      </c>
      <c r="G1718" s="55"/>
    </row>
    <row r="1719" spans="2:7">
      <c r="B1719" s="56" t="s">
        <v>327</v>
      </c>
      <c r="C1719" s="83" t="str">
        <f>VLOOKUP(C1718,功能索引!$C$3:$D$269,2,FALSE)</f>
        <v>电子理财申购协议开通</v>
      </c>
      <c r="D1719" s="84"/>
      <c r="E1719" s="85"/>
      <c r="F1719" s="57" t="s">
        <v>148</v>
      </c>
      <c r="G1719" s="58">
        <f>VLOOKUP(C1718,功能索引!$C$3:$E2234,3,FALSE)</f>
        <v>0</v>
      </c>
    </row>
    <row r="1720" spans="2:7" ht="13.5" customHeight="1">
      <c r="B1720" s="269" t="s">
        <v>328</v>
      </c>
      <c r="C1720" s="276" t="s">
        <v>1116</v>
      </c>
      <c r="D1720" s="277"/>
      <c r="E1720" s="277"/>
      <c r="F1720" s="277"/>
      <c r="G1720" s="278"/>
    </row>
    <row r="1721" spans="2:7">
      <c r="B1721" s="270"/>
      <c r="C1721" s="279"/>
      <c r="D1721" s="280"/>
      <c r="E1721" s="280"/>
      <c r="F1721" s="280"/>
      <c r="G1721" s="281"/>
    </row>
    <row r="1722" spans="2:7">
      <c r="B1722" s="271" t="s">
        <v>329</v>
      </c>
      <c r="C1722" s="54" t="s">
        <v>330</v>
      </c>
      <c r="D1722" s="54" t="s">
        <v>331</v>
      </c>
      <c r="E1722" s="54" t="s">
        <v>332</v>
      </c>
      <c r="F1722" s="54" t="s">
        <v>333</v>
      </c>
      <c r="G1722" s="60" t="s">
        <v>334</v>
      </c>
    </row>
    <row r="1723" spans="2:7">
      <c r="B1723" s="269"/>
      <c r="C1723" s="61" t="s">
        <v>402</v>
      </c>
      <c r="D1723" s="62">
        <f>VLOOKUP(C1723,基本字段定义!$B$3:$C$3008,2,FALSE)</f>
        <v>605</v>
      </c>
      <c r="E1723" s="63" t="s">
        <v>403</v>
      </c>
      <c r="F1723" s="63" t="s">
        <v>152</v>
      </c>
      <c r="G1723" s="64" t="s">
        <v>404</v>
      </c>
    </row>
    <row r="1724" spans="2:7">
      <c r="B1724" s="269"/>
      <c r="C1724" s="61" t="s">
        <v>1028</v>
      </c>
      <c r="D1724" s="62">
        <f>VLOOKUP(C1724,基本字段定义!$B$3:$C$3008,2,FALSE)</f>
        <v>9198</v>
      </c>
      <c r="E1724" s="63" t="s">
        <v>362</v>
      </c>
      <c r="F1724" s="63" t="s">
        <v>152</v>
      </c>
      <c r="G1724" s="64" t="s">
        <v>1029</v>
      </c>
    </row>
    <row r="1725" spans="2:7">
      <c r="B1725" s="269"/>
      <c r="C1725" s="61" t="s">
        <v>739</v>
      </c>
      <c r="D1725" s="62">
        <f>VLOOKUP(C1725,基本字段定义!$B$3:$C$3008,2,FALSE)</f>
        <v>9129</v>
      </c>
      <c r="E1725" s="63" t="s">
        <v>480</v>
      </c>
      <c r="F1725" s="63" t="s">
        <v>152</v>
      </c>
      <c r="G1725" s="64" t="s">
        <v>740</v>
      </c>
    </row>
    <row r="1726" spans="2:7">
      <c r="B1726" s="269"/>
      <c r="C1726" s="61" t="s">
        <v>1042</v>
      </c>
      <c r="D1726" s="62">
        <f>VLOOKUP(C1726,基本字段定义!$B$3:$C$3008,2,FALSE)</f>
        <v>874</v>
      </c>
      <c r="E1726" s="63" t="s">
        <v>337</v>
      </c>
      <c r="F1726" s="63" t="s">
        <v>152</v>
      </c>
      <c r="G1726" s="64" t="s">
        <v>1065</v>
      </c>
    </row>
    <row r="1727" spans="2:7">
      <c r="B1727" s="269"/>
      <c r="C1727" s="120" t="s">
        <v>373</v>
      </c>
      <c r="D1727" s="119">
        <f>VLOOKUP(C1727,基本字段定义!$B$3:$C$3008,2,FALSE)</f>
        <v>697</v>
      </c>
      <c r="E1727" s="119" t="s">
        <v>345</v>
      </c>
      <c r="F1727" s="119" t="s">
        <v>152</v>
      </c>
      <c r="G1727" s="115" t="s">
        <v>1117</v>
      </c>
    </row>
    <row r="1728" spans="2:7">
      <c r="B1728" s="269"/>
      <c r="C1728" s="120" t="s">
        <v>417</v>
      </c>
      <c r="D1728" s="119">
        <f>VLOOKUP(C1728,基本字段定义!$B$3:$C$3008,2,FALSE)</f>
        <v>610</v>
      </c>
      <c r="E1728" s="119" t="s">
        <v>362</v>
      </c>
      <c r="F1728" s="119" t="s">
        <v>152</v>
      </c>
      <c r="G1728" s="115" t="s">
        <v>1118</v>
      </c>
    </row>
    <row r="1729" spans="2:7">
      <c r="B1729" s="269"/>
      <c r="C1729" s="120" t="s">
        <v>1119</v>
      </c>
      <c r="D1729" s="119">
        <f>VLOOKUP(C1729,基本字段定义!$B$3:$C$3008,2,FALSE)</f>
        <v>1109</v>
      </c>
      <c r="E1729" s="119" t="s">
        <v>578</v>
      </c>
      <c r="F1729" s="119" t="s">
        <v>152</v>
      </c>
      <c r="G1729" s="115" t="s">
        <v>1120</v>
      </c>
    </row>
    <row r="1730" spans="2:7">
      <c r="B1730" s="269"/>
      <c r="C1730" s="120" t="s">
        <v>1121</v>
      </c>
      <c r="D1730" s="119">
        <f>VLOOKUP(C1730,基本字段定义!$B$3:$C$3008,2,FALSE)</f>
        <v>924</v>
      </c>
      <c r="E1730" s="119" t="s">
        <v>1122</v>
      </c>
      <c r="F1730" s="119" t="s">
        <v>152</v>
      </c>
      <c r="G1730" s="115" t="s">
        <v>1123</v>
      </c>
    </row>
    <row r="1731" spans="2:7">
      <c r="B1731" s="269"/>
      <c r="C1731" s="120" t="s">
        <v>1124</v>
      </c>
      <c r="D1731" s="119">
        <f>VLOOKUP(C1731,基本字段定义!$B$3:$C$3008,2,FALSE)</f>
        <v>934</v>
      </c>
      <c r="E1731" s="119" t="s">
        <v>345</v>
      </c>
      <c r="F1731" s="119" t="s">
        <v>152</v>
      </c>
      <c r="G1731" s="115" t="s">
        <v>1125</v>
      </c>
    </row>
    <row r="1732" spans="2:7">
      <c r="B1732" s="269"/>
      <c r="C1732" s="120" t="s">
        <v>1033</v>
      </c>
      <c r="D1732" s="119">
        <f>VLOOKUP(C1732,基本字段定义!$B$3:$C$3008,2,FALSE)</f>
        <v>9357</v>
      </c>
      <c r="E1732" s="119" t="s">
        <v>578</v>
      </c>
      <c r="F1732" s="119" t="s">
        <v>152</v>
      </c>
      <c r="G1732" s="115" t="s">
        <v>1126</v>
      </c>
    </row>
    <row r="1733" spans="2:7">
      <c r="B1733" s="269"/>
      <c r="C1733" s="120" t="s">
        <v>1127</v>
      </c>
      <c r="D1733" s="119">
        <f>VLOOKUP(C1733,基本字段定义!$B$3:$C$3008,2,FALSE)</f>
        <v>9358</v>
      </c>
      <c r="E1733" s="119" t="s">
        <v>480</v>
      </c>
      <c r="F1733" s="119" t="s">
        <v>152</v>
      </c>
      <c r="G1733" s="115" t="s">
        <v>1128</v>
      </c>
    </row>
    <row r="1734" spans="2:7">
      <c r="B1734" s="269"/>
      <c r="C1734" s="120" t="s">
        <v>1129</v>
      </c>
      <c r="D1734" s="119">
        <f>VLOOKUP(C1734,基本字段定义!$B$3:$C$3008,2,FALSE)</f>
        <v>1463</v>
      </c>
      <c r="E1734" s="119" t="s">
        <v>578</v>
      </c>
      <c r="F1734" s="119" t="s">
        <v>152</v>
      </c>
      <c r="G1734" s="115" t="s">
        <v>1130</v>
      </c>
    </row>
    <row r="1735" spans="2:7">
      <c r="B1735" s="269"/>
      <c r="C1735" s="120" t="s">
        <v>486</v>
      </c>
      <c r="D1735" s="119">
        <f>VLOOKUP(C1735,基本字段定义!$B$3:$C$3008,2,FALSE)</f>
        <v>590</v>
      </c>
      <c r="E1735" s="119" t="s">
        <v>480</v>
      </c>
      <c r="F1735" s="119" t="s">
        <v>152</v>
      </c>
      <c r="G1735" s="115" t="s">
        <v>1131</v>
      </c>
    </row>
    <row r="1736" spans="2:7">
      <c r="B1736" s="269"/>
      <c r="C1736" s="120" t="s">
        <v>1108</v>
      </c>
      <c r="D1736" s="119">
        <f>VLOOKUP(C1736,基本字段定义!$B$3:$C$3008,2,FALSE)</f>
        <v>2310</v>
      </c>
      <c r="E1736" s="119" t="s">
        <v>578</v>
      </c>
      <c r="F1736" s="119" t="s">
        <v>152</v>
      </c>
      <c r="G1736" s="115" t="s">
        <v>1109</v>
      </c>
    </row>
    <row r="1737" spans="2:7">
      <c r="B1737" s="269"/>
      <c r="C1737" s="120" t="s">
        <v>437</v>
      </c>
      <c r="D1737" s="119">
        <f>VLOOKUP(C1737,基本字段定义!$B$3:$C$3008,2,FALSE)</f>
        <v>680</v>
      </c>
      <c r="E1737" s="119" t="s">
        <v>578</v>
      </c>
      <c r="F1737" s="119" t="s">
        <v>152</v>
      </c>
      <c r="G1737" s="115" t="s">
        <v>1132</v>
      </c>
    </row>
    <row r="1738" spans="2:7">
      <c r="B1738" s="269" t="s">
        <v>335</v>
      </c>
      <c r="C1738" s="65" t="s">
        <v>336</v>
      </c>
      <c r="D1738" s="66">
        <f>VLOOKUP(C1738,基本字段定义!$B$3:$C$3008,2,FALSE)</f>
        <v>507</v>
      </c>
      <c r="E1738" s="67" t="s">
        <v>337</v>
      </c>
      <c r="F1738" s="67"/>
      <c r="G1738" s="68"/>
    </row>
    <row r="1739" spans="2:7">
      <c r="B1739" s="269"/>
      <c r="C1739" s="65" t="s">
        <v>338</v>
      </c>
      <c r="D1739" s="66">
        <f>VLOOKUP(C1739,基本字段定义!$B$3:$C$3008,2,FALSE)</f>
        <v>508</v>
      </c>
      <c r="E1739" s="67" t="s">
        <v>339</v>
      </c>
      <c r="F1739" s="67"/>
      <c r="G1739" s="69"/>
    </row>
    <row r="1740" spans="2:7">
      <c r="B1740" s="270"/>
      <c r="C1740" s="71"/>
      <c r="D1740" s="79"/>
      <c r="E1740" s="73"/>
      <c r="F1740" s="73"/>
      <c r="G1740" s="74"/>
    </row>
    <row r="1742" spans="2:7">
      <c r="B1742" s="53" t="s">
        <v>146</v>
      </c>
      <c r="C1742" s="80">
        <v>165012</v>
      </c>
      <c r="D1742" s="81"/>
      <c r="E1742" s="82"/>
      <c r="F1742" s="54" t="s">
        <v>326</v>
      </c>
      <c r="G1742" s="55"/>
    </row>
    <row r="1743" spans="2:7">
      <c r="B1743" s="56" t="s">
        <v>327</v>
      </c>
      <c r="C1743" s="83" t="str">
        <f>VLOOKUP(C1742,功能索引!$C$3:$D$269,2,FALSE)</f>
        <v>电子理财申购协议中止</v>
      </c>
      <c r="D1743" s="84"/>
      <c r="E1743" s="85"/>
      <c r="F1743" s="57" t="s">
        <v>148</v>
      </c>
      <c r="G1743" s="58">
        <f>VLOOKUP(C1742,功能索引!$C$3:$E2261,3,FALSE)</f>
        <v>0</v>
      </c>
    </row>
    <row r="1744" spans="2:7">
      <c r="B1744" s="269" t="s">
        <v>328</v>
      </c>
      <c r="C1744" s="95"/>
      <c r="D1744" s="96"/>
      <c r="E1744" s="96"/>
      <c r="F1744" s="96"/>
      <c r="G1744" s="97"/>
    </row>
    <row r="1745" spans="2:7">
      <c r="B1745" s="270"/>
      <c r="C1745" s="98"/>
      <c r="D1745" s="99"/>
      <c r="E1745" s="99"/>
      <c r="F1745" s="99"/>
      <c r="G1745" s="100"/>
    </row>
    <row r="1746" spans="2:7">
      <c r="B1746" s="271" t="s">
        <v>329</v>
      </c>
      <c r="C1746" s="54" t="s">
        <v>330</v>
      </c>
      <c r="D1746" s="54" t="s">
        <v>331</v>
      </c>
      <c r="E1746" s="54" t="s">
        <v>332</v>
      </c>
      <c r="F1746" s="54" t="s">
        <v>333</v>
      </c>
      <c r="G1746" s="60" t="s">
        <v>334</v>
      </c>
    </row>
    <row r="1747" spans="2:7">
      <c r="B1747" s="269"/>
      <c r="C1747" s="61" t="s">
        <v>402</v>
      </c>
      <c r="D1747" s="62">
        <f>VLOOKUP(C1747,基本字段定义!$B$3:$C$3008,2,FALSE)</f>
        <v>605</v>
      </c>
      <c r="E1747" s="63" t="s">
        <v>403</v>
      </c>
      <c r="F1747" s="63" t="s">
        <v>152</v>
      </c>
      <c r="G1747" s="64" t="s">
        <v>404</v>
      </c>
    </row>
    <row r="1748" spans="2:7">
      <c r="B1748" s="269"/>
      <c r="C1748" s="61" t="s">
        <v>1092</v>
      </c>
      <c r="D1748" s="62">
        <f>VLOOKUP(C1748,基本字段定义!$B$3:$C$3008,2,FALSE)</f>
        <v>1077</v>
      </c>
      <c r="E1748" s="63" t="s">
        <v>337</v>
      </c>
      <c r="F1748" s="63" t="s">
        <v>152</v>
      </c>
      <c r="G1748" s="115" t="s">
        <v>1133</v>
      </c>
    </row>
    <row r="1749" spans="2:7">
      <c r="B1749" s="269" t="s">
        <v>335</v>
      </c>
      <c r="C1749" s="65" t="s">
        <v>336</v>
      </c>
      <c r="D1749" s="66">
        <f>VLOOKUP(C1749,基本字段定义!$B$3:$C$3008,2,FALSE)</f>
        <v>507</v>
      </c>
      <c r="E1749" s="67" t="s">
        <v>337</v>
      </c>
      <c r="F1749" s="67"/>
      <c r="G1749" s="68"/>
    </row>
    <row r="1750" spans="2:7">
      <c r="B1750" s="269"/>
      <c r="C1750" s="65" t="s">
        <v>338</v>
      </c>
      <c r="D1750" s="66">
        <f>VLOOKUP(C1750,基本字段定义!$B$3:$C$3008,2,FALSE)</f>
        <v>508</v>
      </c>
      <c r="E1750" s="67" t="s">
        <v>339</v>
      </c>
      <c r="F1750" s="67"/>
      <c r="G1750" s="69"/>
    </row>
    <row r="1751" spans="2:7">
      <c r="B1751" s="270"/>
      <c r="C1751" s="71"/>
      <c r="D1751" s="79"/>
      <c r="E1751" s="73"/>
      <c r="F1751" s="73"/>
      <c r="G1751" s="74"/>
    </row>
    <row r="1753" spans="2:7">
      <c r="B1753" s="53" t="s">
        <v>146</v>
      </c>
      <c r="C1753" s="80">
        <v>104032</v>
      </c>
      <c r="D1753" s="81"/>
      <c r="E1753" s="82"/>
      <c r="F1753" s="54" t="s">
        <v>326</v>
      </c>
      <c r="G1753" s="55"/>
    </row>
    <row r="1754" spans="2:7">
      <c r="B1754" s="56" t="s">
        <v>327</v>
      </c>
      <c r="C1754" s="83" t="str">
        <f>VLOOKUP(C1753,功能索引!$C$3:$D$269,2,FALSE)</f>
        <v>信用等级查询</v>
      </c>
      <c r="D1754" s="84"/>
      <c r="E1754" s="85"/>
      <c r="F1754" s="57" t="s">
        <v>148</v>
      </c>
      <c r="G1754" s="58" t="str">
        <f>VLOOKUP(C1753,功能索引!$C$3:$E2386,3,FALSE)</f>
        <v>Y</v>
      </c>
    </row>
    <row r="1755" spans="2:7">
      <c r="B1755" s="269" t="s">
        <v>328</v>
      </c>
      <c r="C1755" s="95"/>
      <c r="D1755" s="96"/>
      <c r="E1755" s="96"/>
      <c r="F1755" s="96"/>
      <c r="G1755" s="97"/>
    </row>
    <row r="1756" spans="2:7">
      <c r="B1756" s="270"/>
      <c r="C1756" s="98"/>
      <c r="D1756" s="99"/>
      <c r="E1756" s="99"/>
      <c r="F1756" s="99"/>
      <c r="G1756" s="100"/>
    </row>
    <row r="1757" spans="2:7">
      <c r="B1757" s="271" t="s">
        <v>329</v>
      </c>
      <c r="C1757" s="54" t="s">
        <v>330</v>
      </c>
      <c r="D1757" s="54" t="s">
        <v>331</v>
      </c>
      <c r="E1757" s="54" t="s">
        <v>332</v>
      </c>
      <c r="F1757" s="54" t="s">
        <v>333</v>
      </c>
      <c r="G1757" s="60" t="s">
        <v>334</v>
      </c>
    </row>
    <row r="1758" spans="2:7">
      <c r="B1758" s="269"/>
      <c r="C1758" s="61"/>
      <c r="D1758" s="62"/>
      <c r="E1758" s="63"/>
      <c r="F1758" s="63"/>
      <c r="G1758" s="64"/>
    </row>
    <row r="1759" spans="2:7">
      <c r="B1759" s="269" t="s">
        <v>335</v>
      </c>
      <c r="C1759" s="65" t="s">
        <v>1134</v>
      </c>
      <c r="D1759" s="67">
        <f>VLOOKUP(C1759,基本字段定义!$B$3:$C$3008,2,FALSE)</f>
        <v>1601</v>
      </c>
      <c r="E1759" s="67" t="s">
        <v>337</v>
      </c>
      <c r="F1759" s="67"/>
      <c r="G1759" s="69" t="s">
        <v>1135</v>
      </c>
    </row>
    <row r="1760" spans="2:7">
      <c r="B1760" s="269"/>
      <c r="C1760" s="65" t="s">
        <v>1136</v>
      </c>
      <c r="D1760" s="66">
        <f>VLOOKUP(C1760,基本字段定义!$B$3:$C$3008,2,FALSE)</f>
        <v>1262</v>
      </c>
      <c r="E1760" s="67" t="s">
        <v>339</v>
      </c>
      <c r="F1760" s="67"/>
      <c r="G1760" s="69" t="s">
        <v>1137</v>
      </c>
    </row>
    <row r="1761" spans="2:7">
      <c r="B1761" s="270"/>
      <c r="C1761" s="71"/>
      <c r="D1761" s="79"/>
      <c r="E1761" s="73"/>
      <c r="F1761" s="73"/>
      <c r="G1761" s="74"/>
    </row>
    <row r="1763" spans="2:7">
      <c r="B1763" s="53" t="s">
        <v>146</v>
      </c>
      <c r="C1763" s="80">
        <v>304802</v>
      </c>
      <c r="D1763" s="81"/>
      <c r="E1763" s="82"/>
      <c r="F1763" s="54" t="s">
        <v>326</v>
      </c>
      <c r="G1763" s="55"/>
    </row>
    <row r="1764" spans="2:7">
      <c r="B1764" s="56" t="s">
        <v>327</v>
      </c>
      <c r="C1764" s="83" t="str">
        <f>VLOOKUP(C1763,功能索引!$C$3:$D$269,2,FALSE)</f>
        <v>信用客户信息查询</v>
      </c>
      <c r="D1764" s="84"/>
      <c r="E1764" s="85"/>
      <c r="F1764" s="57" t="s">
        <v>148</v>
      </c>
      <c r="G1764" s="58" t="str">
        <f>VLOOKUP(C1763,功能索引!$C$3:$E2344,3,FALSE)</f>
        <v>Y</v>
      </c>
    </row>
    <row r="1765" spans="2:7">
      <c r="B1765" s="269" t="s">
        <v>328</v>
      </c>
      <c r="C1765" s="95"/>
      <c r="D1765" s="96"/>
      <c r="E1765" s="96"/>
      <c r="F1765" s="96"/>
      <c r="G1765" s="97"/>
    </row>
    <row r="1766" spans="2:7">
      <c r="B1766" s="270"/>
      <c r="C1766" s="98"/>
      <c r="D1766" s="99"/>
      <c r="E1766" s="99"/>
      <c r="F1766" s="99"/>
      <c r="G1766" s="100"/>
    </row>
    <row r="1767" spans="2:7">
      <c r="B1767" s="271" t="s">
        <v>329</v>
      </c>
      <c r="C1767" s="54" t="s">
        <v>330</v>
      </c>
      <c r="D1767" s="54" t="s">
        <v>331</v>
      </c>
      <c r="E1767" s="54" t="s">
        <v>332</v>
      </c>
      <c r="F1767" s="54" t="s">
        <v>333</v>
      </c>
      <c r="G1767" s="60" t="s">
        <v>334</v>
      </c>
    </row>
    <row r="1768" spans="2:7">
      <c r="B1768" s="269"/>
      <c r="C1768" s="61" t="s">
        <v>402</v>
      </c>
      <c r="D1768" s="62">
        <f>VLOOKUP(C1768,基本字段定义!$B$3:$C$3008,2,FALSE)</f>
        <v>605</v>
      </c>
      <c r="E1768" s="63" t="s">
        <v>403</v>
      </c>
      <c r="F1768" s="63" t="s">
        <v>152</v>
      </c>
      <c r="G1768" s="64" t="s">
        <v>404</v>
      </c>
    </row>
    <row r="1769" spans="2:7">
      <c r="B1769" s="269" t="s">
        <v>335</v>
      </c>
      <c r="C1769" s="65" t="s">
        <v>1134</v>
      </c>
      <c r="D1769" s="66">
        <f>VLOOKUP(C1769,基本字段定义!$B$3:$C$3008,2,FALSE)</f>
        <v>1601</v>
      </c>
      <c r="E1769" s="67" t="s">
        <v>337</v>
      </c>
      <c r="F1769" s="67"/>
      <c r="G1769" s="68" t="s">
        <v>1135</v>
      </c>
    </row>
    <row r="1770" spans="2:7">
      <c r="B1770" s="269"/>
      <c r="C1770" s="112" t="s">
        <v>1088</v>
      </c>
      <c r="D1770" s="113">
        <f>VLOOKUP(C1770,基本字段定义!$B$3:$C$3008,2,FALSE)</f>
        <v>642</v>
      </c>
      <c r="E1770" s="113" t="s">
        <v>339</v>
      </c>
      <c r="F1770" s="113"/>
      <c r="G1770" s="111" t="s">
        <v>1138</v>
      </c>
    </row>
    <row r="1771" spans="2:7">
      <c r="B1771" s="269"/>
      <c r="C1771" s="65" t="s">
        <v>1139</v>
      </c>
      <c r="D1771" s="66">
        <f>VLOOKUP(C1771,基本字段定义!$B$3:$C$3008,2,FALSE)</f>
        <v>1386</v>
      </c>
      <c r="E1771" s="67" t="s">
        <v>337</v>
      </c>
      <c r="F1771" s="67"/>
      <c r="G1771" s="69" t="s">
        <v>1140</v>
      </c>
    </row>
    <row r="1772" spans="2:7">
      <c r="B1772" s="269"/>
      <c r="C1772" s="65" t="s">
        <v>507</v>
      </c>
      <c r="D1772" s="66">
        <f>VLOOKUP(C1772,基本字段定义!$B$3:$C$3008,2,FALSE)</f>
        <v>812</v>
      </c>
      <c r="E1772" s="67" t="s">
        <v>337</v>
      </c>
      <c r="F1772" s="67"/>
      <c r="G1772" s="69" t="s">
        <v>1141</v>
      </c>
    </row>
    <row r="1773" spans="2:7">
      <c r="B1773" s="269"/>
      <c r="C1773" s="65" t="s">
        <v>397</v>
      </c>
      <c r="D1773" s="66">
        <f>VLOOKUP(C1773,基本字段定义!$B$3:$C$3008,2,FALSE)</f>
        <v>815</v>
      </c>
      <c r="E1773" s="67" t="s">
        <v>337</v>
      </c>
      <c r="F1773" s="67"/>
      <c r="G1773" s="69" t="s">
        <v>399</v>
      </c>
    </row>
    <row r="1774" spans="2:7">
      <c r="B1774" s="269"/>
      <c r="C1774" s="65" t="s">
        <v>422</v>
      </c>
      <c r="D1774" s="66">
        <f>VLOOKUP(C1774,基本字段定义!$B$3:$C$3008,2,FALSE)</f>
        <v>9107</v>
      </c>
      <c r="E1774" s="67" t="s">
        <v>337</v>
      </c>
      <c r="F1774" s="67"/>
      <c r="G1774" s="69" t="s">
        <v>1142</v>
      </c>
    </row>
    <row r="1775" spans="2:7">
      <c r="B1775" s="270"/>
      <c r="C1775" s="71"/>
      <c r="D1775" s="79"/>
      <c r="E1775" s="73"/>
      <c r="F1775" s="73"/>
      <c r="G1775" s="74"/>
    </row>
    <row r="1777" spans="2:7">
      <c r="B1777" s="53" t="s">
        <v>146</v>
      </c>
      <c r="C1777" s="80">
        <v>304807</v>
      </c>
      <c r="D1777" s="81"/>
      <c r="E1777" s="82"/>
      <c r="F1777" s="54" t="s">
        <v>326</v>
      </c>
      <c r="G1777" s="55"/>
    </row>
    <row r="1778" spans="2:7">
      <c r="B1778" s="56" t="s">
        <v>327</v>
      </c>
      <c r="C1778" s="83" t="str">
        <f>VLOOKUP(C1777,功能索引!$C$3:$D$269,2,FALSE)</f>
        <v>信用合同信息查询</v>
      </c>
      <c r="D1778" s="84"/>
      <c r="E1778" s="85"/>
      <c r="F1778" s="57" t="s">
        <v>148</v>
      </c>
      <c r="G1778" s="58" t="str">
        <f>VLOOKUP(C1777,功能索引!$C$3:$E2358,3,FALSE)</f>
        <v>Y</v>
      </c>
    </row>
    <row r="1779" spans="2:7">
      <c r="B1779" s="269" t="s">
        <v>328</v>
      </c>
      <c r="C1779" s="95"/>
      <c r="D1779" s="96"/>
      <c r="E1779" s="96"/>
      <c r="F1779" s="96"/>
      <c r="G1779" s="97"/>
    </row>
    <row r="1780" spans="2:7">
      <c r="B1780" s="270"/>
      <c r="C1780" s="98"/>
      <c r="D1780" s="99"/>
      <c r="E1780" s="99"/>
      <c r="F1780" s="99"/>
      <c r="G1780" s="100"/>
    </row>
    <row r="1781" spans="2:7">
      <c r="B1781" s="271" t="s">
        <v>329</v>
      </c>
      <c r="C1781" s="54" t="s">
        <v>330</v>
      </c>
      <c r="D1781" s="54" t="s">
        <v>331</v>
      </c>
      <c r="E1781" s="54" t="s">
        <v>332</v>
      </c>
      <c r="F1781" s="54" t="s">
        <v>333</v>
      </c>
      <c r="G1781" s="60" t="s">
        <v>334</v>
      </c>
    </row>
    <row r="1782" spans="2:7">
      <c r="B1782" s="269"/>
      <c r="C1782" s="61" t="s">
        <v>402</v>
      </c>
      <c r="D1782" s="62">
        <f>VLOOKUP(C1782,基本字段定义!$B$3:$C$3008,2,FALSE)</f>
        <v>605</v>
      </c>
      <c r="E1782" s="63" t="s">
        <v>403</v>
      </c>
      <c r="F1782" s="63" t="s">
        <v>152</v>
      </c>
      <c r="G1782" s="64" t="s">
        <v>404</v>
      </c>
    </row>
    <row r="1783" spans="2:7">
      <c r="B1783" s="269" t="s">
        <v>335</v>
      </c>
      <c r="C1783" s="65" t="s">
        <v>1134</v>
      </c>
      <c r="D1783" s="66">
        <f>VLOOKUP(C1783,基本字段定义!$B$3:$C$3008,2,FALSE)</f>
        <v>1601</v>
      </c>
      <c r="E1783" s="67" t="s">
        <v>337</v>
      </c>
      <c r="F1783" s="67"/>
      <c r="G1783" s="68" t="s">
        <v>1135</v>
      </c>
    </row>
    <row r="1784" spans="2:7">
      <c r="B1784" s="269"/>
      <c r="C1784" s="65" t="s">
        <v>1143</v>
      </c>
      <c r="D1784" s="66">
        <f>VLOOKUP(C1784,基本字段定义!$B$3:$C$3008,2,FALSE)</f>
        <v>1803</v>
      </c>
      <c r="E1784" s="67" t="s">
        <v>537</v>
      </c>
      <c r="F1784" s="67"/>
      <c r="G1784" s="69" t="s">
        <v>1144</v>
      </c>
    </row>
    <row r="1785" spans="2:7">
      <c r="B1785" s="269"/>
      <c r="C1785" s="65" t="s">
        <v>1145</v>
      </c>
      <c r="D1785" s="66">
        <f>VLOOKUP(C1785,基本字段定义!$B$3:$C$3008,2,FALSE)</f>
        <v>1804</v>
      </c>
      <c r="E1785" s="67" t="s">
        <v>537</v>
      </c>
      <c r="F1785" s="67"/>
      <c r="G1785" s="69" t="s">
        <v>1146</v>
      </c>
    </row>
    <row r="1786" spans="2:7">
      <c r="B1786" s="269"/>
      <c r="C1786" s="65" t="s">
        <v>1147</v>
      </c>
      <c r="D1786" s="66">
        <f>VLOOKUP(C1786,基本字段定义!$B$3:$C$3008,2,FALSE)</f>
        <v>1821</v>
      </c>
      <c r="E1786" s="67" t="s">
        <v>537</v>
      </c>
      <c r="F1786" s="67"/>
      <c r="G1786" s="69" t="s">
        <v>1148</v>
      </c>
    </row>
    <row r="1787" spans="2:7">
      <c r="B1787" s="269"/>
      <c r="C1787" s="65" t="s">
        <v>1149</v>
      </c>
      <c r="D1787" s="66">
        <f>VLOOKUP(C1787,基本字段定义!$B$3:$C$3008,2,FALSE)</f>
        <v>1822</v>
      </c>
      <c r="E1787" s="67" t="s">
        <v>537</v>
      </c>
      <c r="F1787" s="67"/>
      <c r="G1787" s="69" t="s">
        <v>1150</v>
      </c>
    </row>
    <row r="1788" spans="2:7">
      <c r="B1788" s="269"/>
      <c r="C1788" s="65" t="s">
        <v>1151</v>
      </c>
      <c r="D1788" s="66">
        <f>VLOOKUP(C1788,基本字段定义!$B$3:$C$3008,2,FALSE)</f>
        <v>652</v>
      </c>
      <c r="E1788" s="67" t="s">
        <v>537</v>
      </c>
      <c r="F1788" s="67"/>
      <c r="G1788" s="69" t="s">
        <v>1152</v>
      </c>
    </row>
    <row r="1789" spans="2:7">
      <c r="B1789" s="269"/>
      <c r="C1789" s="65" t="s">
        <v>1153</v>
      </c>
      <c r="D1789" s="66">
        <f>VLOOKUP(C1789,基本字段定义!$B$3:$C$3008,2,FALSE)</f>
        <v>1823</v>
      </c>
      <c r="E1789" s="67" t="s">
        <v>537</v>
      </c>
      <c r="F1789" s="67"/>
      <c r="G1789" s="69" t="s">
        <v>1154</v>
      </c>
    </row>
    <row r="1790" spans="2:7">
      <c r="B1790" s="269"/>
      <c r="C1790" s="65" t="s">
        <v>1155</v>
      </c>
      <c r="D1790" s="66">
        <f>VLOOKUP(C1790,基本字段定义!$B$3:$C$3008,2,FALSE)</f>
        <v>1845</v>
      </c>
      <c r="E1790" s="67" t="s">
        <v>537</v>
      </c>
      <c r="F1790" s="67"/>
      <c r="G1790" s="69" t="s">
        <v>1156</v>
      </c>
    </row>
    <row r="1791" spans="2:7">
      <c r="B1791" s="269"/>
      <c r="C1791" s="65" t="s">
        <v>1157</v>
      </c>
      <c r="D1791" s="66">
        <f>VLOOKUP(C1791,基本字段定义!$B$3:$C$3008,2,FALSE)</f>
        <v>1846</v>
      </c>
      <c r="E1791" s="67" t="s">
        <v>537</v>
      </c>
      <c r="F1791" s="67"/>
      <c r="G1791" s="69" t="s">
        <v>1158</v>
      </c>
    </row>
    <row r="1792" spans="2:7">
      <c r="B1792" s="266"/>
      <c r="C1792" s="87" t="s">
        <v>503</v>
      </c>
      <c r="D1792" s="89">
        <v>1332</v>
      </c>
      <c r="E1792" s="67" t="s">
        <v>337</v>
      </c>
      <c r="F1792" s="88"/>
      <c r="G1792" s="90" t="s">
        <v>1159</v>
      </c>
    </row>
    <row r="1793" spans="2:7">
      <c r="B1793" s="266"/>
      <c r="C1793" s="87" t="s">
        <v>1160</v>
      </c>
      <c r="D1793" s="89">
        <v>1673</v>
      </c>
      <c r="E1793" s="67" t="s">
        <v>537</v>
      </c>
      <c r="F1793" s="88"/>
      <c r="G1793" s="90" t="s">
        <v>1161</v>
      </c>
    </row>
    <row r="1794" spans="2:7">
      <c r="B1794" s="266"/>
      <c r="C1794" s="87" t="s">
        <v>1162</v>
      </c>
      <c r="D1794" s="89">
        <v>1719</v>
      </c>
      <c r="E1794" s="67" t="s">
        <v>537</v>
      </c>
      <c r="F1794" s="88"/>
      <c r="G1794" s="90" t="s">
        <v>1163</v>
      </c>
    </row>
    <row r="1795" spans="2:7">
      <c r="B1795" s="270"/>
      <c r="C1795" s="71"/>
      <c r="D1795" s="79"/>
      <c r="E1795" s="73"/>
      <c r="F1795" s="73"/>
      <c r="G1795" s="74"/>
    </row>
    <row r="1797" spans="2:7">
      <c r="B1797" s="53" t="s">
        <v>146</v>
      </c>
      <c r="C1797" s="80">
        <v>204809</v>
      </c>
      <c r="D1797" s="81"/>
      <c r="E1797" s="82"/>
      <c r="F1797" s="54" t="s">
        <v>326</v>
      </c>
      <c r="G1797" s="55"/>
    </row>
    <row r="1798" spans="2:7">
      <c r="B1798" s="56" t="s">
        <v>327</v>
      </c>
      <c r="C1798" s="83" t="str">
        <f>VLOOKUP(C1797,功能索引!$C$3:$D$269,2,FALSE)</f>
        <v>授信额度申请</v>
      </c>
      <c r="D1798" s="84"/>
      <c r="E1798" s="85"/>
      <c r="F1798" s="57" t="s">
        <v>148</v>
      </c>
      <c r="G1798" s="58">
        <f>VLOOKUP(C1797,功能索引!$C$3:$E2344,3,FALSE)</f>
        <v>0</v>
      </c>
    </row>
    <row r="1799" spans="2:7">
      <c r="B1799" s="269" t="s">
        <v>328</v>
      </c>
      <c r="C1799" s="95"/>
      <c r="D1799" s="96"/>
      <c r="E1799" s="96"/>
      <c r="F1799" s="96"/>
      <c r="G1799" s="97"/>
    </row>
    <row r="1800" spans="2:7">
      <c r="B1800" s="270"/>
      <c r="C1800" s="98"/>
      <c r="D1800" s="99"/>
      <c r="E1800" s="99"/>
      <c r="F1800" s="99"/>
      <c r="G1800" s="100"/>
    </row>
    <row r="1801" spans="2:7">
      <c r="B1801" s="271" t="s">
        <v>329</v>
      </c>
      <c r="C1801" s="54" t="s">
        <v>330</v>
      </c>
      <c r="D1801" s="54" t="s">
        <v>331</v>
      </c>
      <c r="E1801" s="54" t="s">
        <v>332</v>
      </c>
      <c r="F1801" s="54" t="s">
        <v>333</v>
      </c>
      <c r="G1801" s="60" t="s">
        <v>334</v>
      </c>
    </row>
    <row r="1802" spans="2:7">
      <c r="B1802" s="269"/>
      <c r="C1802" s="61" t="s">
        <v>402</v>
      </c>
      <c r="D1802" s="62">
        <f>VLOOKUP(C1802,基本字段定义!$B$3:$C$3008,2,FALSE)</f>
        <v>605</v>
      </c>
      <c r="E1802" s="63" t="s">
        <v>403</v>
      </c>
      <c r="F1802" s="63" t="s">
        <v>152</v>
      </c>
      <c r="G1802" s="64" t="s">
        <v>404</v>
      </c>
    </row>
    <row r="1803" spans="2:7">
      <c r="B1803" s="269"/>
      <c r="C1803" s="61" t="s">
        <v>524</v>
      </c>
      <c r="D1803" s="62">
        <f>VLOOKUP(C1803,基本字段定义!$B$3:$C$3008,2,FALSE)</f>
        <v>511</v>
      </c>
      <c r="E1803" s="63" t="s">
        <v>527</v>
      </c>
      <c r="F1803" s="63" t="s">
        <v>152</v>
      </c>
      <c r="G1803" s="64" t="s">
        <v>525</v>
      </c>
    </row>
    <row r="1804" spans="2:7">
      <c r="B1804" s="269"/>
      <c r="C1804" s="61" t="s">
        <v>1164</v>
      </c>
      <c r="D1804" s="62">
        <f>VLOOKUP(C1804,基本字段定义!$B$3:$C$3008,2,FALSE)</f>
        <v>1800</v>
      </c>
      <c r="E1804" s="63" t="s">
        <v>337</v>
      </c>
      <c r="F1804" s="63" t="s">
        <v>152</v>
      </c>
      <c r="G1804" s="64" t="s">
        <v>1165</v>
      </c>
    </row>
    <row r="1805" spans="2:7">
      <c r="B1805" s="269"/>
      <c r="C1805" s="61" t="s">
        <v>628</v>
      </c>
      <c r="D1805" s="62">
        <f>VLOOKUP(C1805,基本字段定义!$B$3:$C$3008,2,FALSE)</f>
        <v>695</v>
      </c>
      <c r="E1805" s="63" t="s">
        <v>337</v>
      </c>
      <c r="F1805" s="63" t="s">
        <v>152</v>
      </c>
      <c r="G1805" s="64" t="s">
        <v>1166</v>
      </c>
    </row>
    <row r="1806" spans="2:7">
      <c r="B1806" s="269"/>
      <c r="C1806" s="61" t="s">
        <v>1147</v>
      </c>
      <c r="D1806" s="62">
        <f>VLOOKUP(C1806,基本字段定义!$B$3:$C$3008,2,FALSE)</f>
        <v>1821</v>
      </c>
      <c r="E1806" s="63" t="s">
        <v>537</v>
      </c>
      <c r="F1806" s="101" t="s">
        <v>152</v>
      </c>
      <c r="G1806" s="64" t="s">
        <v>1167</v>
      </c>
    </row>
    <row r="1807" spans="2:7">
      <c r="B1807" s="269"/>
      <c r="C1807" s="61" t="s">
        <v>1149</v>
      </c>
      <c r="D1807" s="62">
        <f>VLOOKUP(C1807,基本字段定义!$B$3:$C$3008,2,FALSE)</f>
        <v>1822</v>
      </c>
      <c r="E1807" s="63" t="s">
        <v>537</v>
      </c>
      <c r="F1807" s="102"/>
      <c r="G1807" s="64" t="s">
        <v>1168</v>
      </c>
    </row>
    <row r="1808" spans="2:7">
      <c r="B1808" s="269" t="s">
        <v>335</v>
      </c>
      <c r="C1808" s="65" t="s">
        <v>336</v>
      </c>
      <c r="D1808" s="66">
        <f>VLOOKUP(C1808,基本字段定义!$B$3:$C$3008,2,FALSE)</f>
        <v>507</v>
      </c>
      <c r="E1808" s="67" t="s">
        <v>337</v>
      </c>
      <c r="F1808" s="67"/>
      <c r="G1808" s="68"/>
    </row>
    <row r="1809" spans="2:7">
      <c r="B1809" s="269"/>
      <c r="C1809" s="65" t="s">
        <v>338</v>
      </c>
      <c r="D1809" s="66">
        <f>VLOOKUP(C1809,基本字段定义!$B$3:$C$3008,2,FALSE)</f>
        <v>508</v>
      </c>
      <c r="E1809" s="67" t="s">
        <v>339</v>
      </c>
      <c r="F1809" s="67"/>
      <c r="G1809" s="69"/>
    </row>
    <row r="1810" spans="2:7">
      <c r="B1810" s="270"/>
      <c r="C1810" s="71"/>
      <c r="D1810" s="79"/>
      <c r="E1810" s="73"/>
      <c r="F1810" s="73"/>
      <c r="G1810" s="74"/>
    </row>
    <row r="1812" spans="2:7">
      <c r="B1812" s="53" t="s">
        <v>146</v>
      </c>
      <c r="C1812" s="80">
        <v>204869</v>
      </c>
      <c r="D1812" s="81"/>
      <c r="E1812" s="82"/>
      <c r="F1812" s="54" t="s">
        <v>326</v>
      </c>
      <c r="G1812" s="55"/>
    </row>
    <row r="1813" spans="2:7">
      <c r="B1813" s="56" t="s">
        <v>327</v>
      </c>
      <c r="C1813" s="83" t="str">
        <f>VLOOKUP(C1812,功能索引!$C$3:$D$269,2,FALSE)</f>
        <v>授信中止申请</v>
      </c>
      <c r="D1813" s="84"/>
      <c r="E1813" s="85"/>
      <c r="F1813" s="57" t="s">
        <v>148</v>
      </c>
      <c r="G1813" s="58">
        <f>VLOOKUP(C1812,功能索引!$C$3:$E2359,3,FALSE)</f>
        <v>0</v>
      </c>
    </row>
    <row r="1814" spans="2:7">
      <c r="B1814" s="269" t="s">
        <v>328</v>
      </c>
      <c r="C1814" s="95"/>
      <c r="D1814" s="96"/>
      <c r="E1814" s="96"/>
      <c r="F1814" s="96"/>
      <c r="G1814" s="97"/>
    </row>
    <row r="1815" spans="2:7">
      <c r="B1815" s="270"/>
      <c r="C1815" s="98"/>
      <c r="D1815" s="99"/>
      <c r="E1815" s="99"/>
      <c r="F1815" s="99"/>
      <c r="G1815" s="100"/>
    </row>
    <row r="1816" spans="2:7">
      <c r="B1816" s="271" t="s">
        <v>329</v>
      </c>
      <c r="C1816" s="54" t="s">
        <v>330</v>
      </c>
      <c r="D1816" s="54" t="s">
        <v>331</v>
      </c>
      <c r="E1816" s="54" t="s">
        <v>332</v>
      </c>
      <c r="F1816" s="54" t="s">
        <v>333</v>
      </c>
      <c r="G1816" s="60" t="s">
        <v>334</v>
      </c>
    </row>
    <row r="1817" spans="2:7">
      <c r="B1817" s="269"/>
      <c r="C1817" s="61" t="s">
        <v>402</v>
      </c>
      <c r="D1817" s="62">
        <f>VLOOKUP(C1817,基本字段定义!$B$3:$C$3008,2,FALSE)</f>
        <v>605</v>
      </c>
      <c r="E1817" s="63" t="s">
        <v>403</v>
      </c>
      <c r="F1817" s="63" t="s">
        <v>152</v>
      </c>
      <c r="G1817" s="64" t="s">
        <v>404</v>
      </c>
    </row>
    <row r="1818" spans="2:7">
      <c r="B1818" s="269"/>
      <c r="C1818" s="61" t="s">
        <v>524</v>
      </c>
      <c r="D1818" s="62">
        <f>VLOOKUP(C1818,基本字段定义!$B$3:$C$3008,2,FALSE)</f>
        <v>511</v>
      </c>
      <c r="E1818" s="63" t="s">
        <v>527</v>
      </c>
      <c r="F1818" s="63" t="s">
        <v>152</v>
      </c>
      <c r="G1818" s="64" t="s">
        <v>525</v>
      </c>
    </row>
    <row r="1819" spans="2:7">
      <c r="B1819" s="269"/>
      <c r="C1819" s="61" t="s">
        <v>628</v>
      </c>
      <c r="D1819" s="62">
        <f>VLOOKUP(C1819,基本字段定义!$B$3:$C$3008,2,FALSE)</f>
        <v>695</v>
      </c>
      <c r="E1819" s="63" t="s">
        <v>337</v>
      </c>
      <c r="F1819" s="63" t="s">
        <v>152</v>
      </c>
      <c r="G1819" s="64" t="s">
        <v>1169</v>
      </c>
    </row>
    <row r="1820" spans="2:7">
      <c r="B1820" s="269" t="s">
        <v>335</v>
      </c>
      <c r="C1820" s="65" t="s">
        <v>336</v>
      </c>
      <c r="D1820" s="66">
        <f>VLOOKUP(C1820,基本字段定义!$B$3:$C$3008,2,FALSE)</f>
        <v>507</v>
      </c>
      <c r="E1820" s="67" t="s">
        <v>337</v>
      </c>
      <c r="F1820" s="67"/>
      <c r="G1820" s="68"/>
    </row>
    <row r="1821" spans="2:7">
      <c r="B1821" s="269"/>
      <c r="C1821" s="65" t="s">
        <v>338</v>
      </c>
      <c r="D1821" s="66">
        <f>VLOOKUP(C1821,基本字段定义!$B$3:$C$3008,2,FALSE)</f>
        <v>508</v>
      </c>
      <c r="E1821" s="67" t="s">
        <v>339</v>
      </c>
      <c r="F1821" s="67"/>
      <c r="G1821" s="69"/>
    </row>
    <row r="1822" spans="2:7">
      <c r="B1822" s="270"/>
      <c r="C1822" s="71"/>
      <c r="D1822" s="79"/>
      <c r="E1822" s="73"/>
      <c r="F1822" s="73"/>
      <c r="G1822" s="74"/>
    </row>
    <row r="1824" spans="2:7">
      <c r="B1824" s="53" t="s">
        <v>146</v>
      </c>
      <c r="C1824" s="80">
        <v>304803</v>
      </c>
      <c r="D1824" s="81"/>
      <c r="E1824" s="82"/>
      <c r="F1824" s="54" t="s">
        <v>326</v>
      </c>
      <c r="G1824" s="55"/>
    </row>
    <row r="1825" spans="2:7">
      <c r="B1825" s="56" t="s">
        <v>327</v>
      </c>
      <c r="C1825" s="83" t="str">
        <f>VLOOKUP(C1824,功能索引!$C$3:$D$269,2,FALSE)</f>
        <v>授信申请查询</v>
      </c>
      <c r="D1825" s="84"/>
      <c r="E1825" s="85"/>
      <c r="F1825" s="57" t="s">
        <v>148</v>
      </c>
      <c r="G1825" s="58" t="str">
        <f>VLOOKUP(C1824,功能索引!$C$3:$E2344,3,FALSE)</f>
        <v>Y</v>
      </c>
    </row>
    <row r="1826" spans="2:7">
      <c r="B1826" s="269" t="s">
        <v>328</v>
      </c>
      <c r="C1826" s="95"/>
      <c r="D1826" s="96"/>
      <c r="E1826" s="96"/>
      <c r="F1826" s="96"/>
      <c r="G1826" s="97"/>
    </row>
    <row r="1827" spans="2:7">
      <c r="B1827" s="270"/>
      <c r="C1827" s="98"/>
      <c r="D1827" s="99"/>
      <c r="E1827" s="99"/>
      <c r="F1827" s="99"/>
      <c r="G1827" s="100"/>
    </row>
    <row r="1828" spans="2:7">
      <c r="B1828" s="271" t="s">
        <v>329</v>
      </c>
      <c r="C1828" s="54" t="s">
        <v>330</v>
      </c>
      <c r="D1828" s="54" t="s">
        <v>331</v>
      </c>
      <c r="E1828" s="54" t="s">
        <v>332</v>
      </c>
      <c r="F1828" s="54" t="s">
        <v>333</v>
      </c>
      <c r="G1828" s="60" t="s">
        <v>334</v>
      </c>
    </row>
    <row r="1829" spans="2:7">
      <c r="B1829" s="269"/>
      <c r="C1829" s="61" t="s">
        <v>402</v>
      </c>
      <c r="D1829" s="62">
        <f>VLOOKUP(C1829,基本字段定义!$B$3:$C$3008,2,FALSE)</f>
        <v>605</v>
      </c>
      <c r="E1829" s="63" t="s">
        <v>403</v>
      </c>
      <c r="F1829" s="63" t="s">
        <v>152</v>
      </c>
      <c r="G1829" s="64" t="s">
        <v>404</v>
      </c>
    </row>
    <row r="1830" spans="2:7">
      <c r="B1830" s="269" t="s">
        <v>335</v>
      </c>
      <c r="C1830" s="65" t="s">
        <v>614</v>
      </c>
      <c r="D1830" s="66">
        <f>VLOOKUP(C1830,基本字段定义!$B$3:$C$3008,2,FALSE)</f>
        <v>912</v>
      </c>
      <c r="E1830" s="67" t="s">
        <v>337</v>
      </c>
      <c r="F1830" s="67"/>
      <c r="G1830" s="68" t="s">
        <v>615</v>
      </c>
    </row>
    <row r="1831" spans="2:7">
      <c r="B1831" s="269"/>
      <c r="C1831" s="65" t="s">
        <v>524</v>
      </c>
      <c r="D1831" s="66">
        <f>VLOOKUP(C1831,基本字段定义!$B$3:$C$3008,2,FALSE)</f>
        <v>511</v>
      </c>
      <c r="E1831" s="67" t="s">
        <v>339</v>
      </c>
      <c r="F1831" s="67"/>
      <c r="G1831" s="69" t="s">
        <v>525</v>
      </c>
    </row>
    <row r="1832" spans="2:7">
      <c r="B1832" s="269"/>
      <c r="C1832" s="65" t="s">
        <v>652</v>
      </c>
      <c r="D1832" s="66">
        <f>VLOOKUP(C1832,基本字段定义!$B$3:$C$3008,2,FALSE)</f>
        <v>1980</v>
      </c>
      <c r="E1832" s="67" t="s">
        <v>337</v>
      </c>
      <c r="F1832" s="67"/>
      <c r="G1832" s="69" t="s">
        <v>653</v>
      </c>
    </row>
    <row r="1833" spans="2:7">
      <c r="B1833" s="269"/>
      <c r="C1833" s="65" t="s">
        <v>1164</v>
      </c>
      <c r="D1833" s="66">
        <f>VLOOKUP(C1833,基本字段定义!$B$3:$C$3008,2,FALSE)</f>
        <v>1800</v>
      </c>
      <c r="E1833" s="67" t="s">
        <v>337</v>
      </c>
      <c r="F1833" s="67"/>
      <c r="G1833" s="69" t="s">
        <v>1165</v>
      </c>
    </row>
    <row r="1834" spans="2:7">
      <c r="B1834" s="269"/>
      <c r="C1834" s="65" t="s">
        <v>1147</v>
      </c>
      <c r="D1834" s="66">
        <f>VLOOKUP(C1834,基本字段定义!$B$3:$C$3008,2,FALSE)</f>
        <v>1821</v>
      </c>
      <c r="E1834" s="67" t="s">
        <v>537</v>
      </c>
      <c r="F1834" s="67"/>
      <c r="G1834" s="69" t="s">
        <v>1170</v>
      </c>
    </row>
    <row r="1835" spans="2:7">
      <c r="B1835" s="269"/>
      <c r="C1835" s="65" t="s">
        <v>1149</v>
      </c>
      <c r="D1835" s="66">
        <f>VLOOKUP(C1835,基本字段定义!$B$3:$C$3008,2,FALSE)</f>
        <v>1822</v>
      </c>
      <c r="E1835" s="67" t="s">
        <v>537</v>
      </c>
      <c r="F1835" s="67"/>
      <c r="G1835" s="69" t="s">
        <v>1171</v>
      </c>
    </row>
    <row r="1836" spans="2:7">
      <c r="B1836" s="270"/>
      <c r="C1836" s="71"/>
      <c r="D1836" s="79"/>
      <c r="E1836" s="73"/>
      <c r="F1836" s="73"/>
      <c r="G1836" s="74"/>
    </row>
    <row r="1838" spans="2:7">
      <c r="B1838" s="53" t="s">
        <v>146</v>
      </c>
      <c r="C1838" s="80">
        <v>204835</v>
      </c>
      <c r="D1838" s="81"/>
      <c r="E1838" s="82"/>
      <c r="F1838" s="54" t="s">
        <v>326</v>
      </c>
      <c r="G1838" s="55"/>
    </row>
    <row r="1839" spans="2:7">
      <c r="B1839" s="56" t="s">
        <v>327</v>
      </c>
      <c r="C1839" s="83" t="str">
        <f>VLOOKUP(C1838,功能索引!$C$3:$D$269,2,FALSE)</f>
        <v>信用资格证券查询</v>
      </c>
      <c r="D1839" s="84"/>
      <c r="E1839" s="85"/>
      <c r="F1839" s="57" t="s">
        <v>148</v>
      </c>
      <c r="G1839" s="58" t="str">
        <f>VLOOKUP(C1838,功能索引!$C$3:$E2344,3,FALSE)</f>
        <v>Y</v>
      </c>
    </row>
    <row r="1840" spans="2:7">
      <c r="B1840" s="269" t="s">
        <v>328</v>
      </c>
      <c r="C1840" s="95"/>
      <c r="D1840" s="96"/>
      <c r="E1840" s="96"/>
      <c r="F1840" s="96"/>
      <c r="G1840" s="97"/>
    </row>
    <row r="1841" spans="2:7">
      <c r="B1841" s="270"/>
      <c r="C1841" s="98"/>
      <c r="D1841" s="99"/>
      <c r="E1841" s="99"/>
      <c r="F1841" s="99"/>
      <c r="G1841" s="100"/>
    </row>
    <row r="1842" spans="2:7">
      <c r="B1842" s="271" t="s">
        <v>329</v>
      </c>
      <c r="C1842" s="54" t="s">
        <v>330</v>
      </c>
      <c r="D1842" s="54" t="s">
        <v>331</v>
      </c>
      <c r="E1842" s="54" t="s">
        <v>332</v>
      </c>
      <c r="F1842" s="54" t="s">
        <v>333</v>
      </c>
      <c r="G1842" s="60" t="s">
        <v>334</v>
      </c>
    </row>
    <row r="1843" spans="2:7">
      <c r="B1843" s="286"/>
      <c r="C1843" s="125" t="s">
        <v>361</v>
      </c>
      <c r="D1843" s="125">
        <f>VLOOKUP(C1843,基本字段定义!$B$3:$C$3008,2,FALSE)</f>
        <v>599</v>
      </c>
      <c r="E1843" s="125" t="s">
        <v>1172</v>
      </c>
      <c r="F1843" s="125"/>
      <c r="G1843" s="126" t="s">
        <v>363</v>
      </c>
    </row>
    <row r="1844" spans="2:7">
      <c r="B1844" s="286"/>
      <c r="C1844" s="125" t="s">
        <v>640</v>
      </c>
      <c r="D1844" s="125">
        <f>VLOOKUP(C1844,基本字段定义!$B$3:$C$3008,2,FALSE)</f>
        <v>719</v>
      </c>
      <c r="E1844" s="125" t="s">
        <v>480</v>
      </c>
      <c r="F1844" s="125"/>
      <c r="G1844" s="126" t="s">
        <v>657</v>
      </c>
    </row>
    <row r="1845" spans="2:7">
      <c r="B1845" s="286"/>
      <c r="C1845" s="125" t="s">
        <v>1173</v>
      </c>
      <c r="D1845" s="125">
        <f>VLOOKUP(C1845,基本字段定义!$B$3:$C$3008,2,FALSE)</f>
        <v>665</v>
      </c>
      <c r="E1845" s="125" t="s">
        <v>337</v>
      </c>
      <c r="F1845" s="125"/>
      <c r="G1845" s="126" t="s">
        <v>1174</v>
      </c>
    </row>
    <row r="1846" spans="2:7">
      <c r="B1846" s="286"/>
      <c r="C1846" s="125" t="s">
        <v>1175</v>
      </c>
      <c r="D1846" s="125">
        <f>VLOOKUP(C1846,基本字段定义!$B$3:$C$3008,2,FALSE)</f>
        <v>1695</v>
      </c>
      <c r="E1846" s="125" t="s">
        <v>337</v>
      </c>
      <c r="F1846" s="125"/>
      <c r="G1846" s="126" t="s">
        <v>1176</v>
      </c>
    </row>
    <row r="1847" spans="2:7">
      <c r="B1847" s="286"/>
      <c r="C1847" s="125" t="s">
        <v>432</v>
      </c>
      <c r="D1847" s="125">
        <f>VLOOKUP(C1847,基本字段定义!$B$3:$C$3008,2,FALSE)</f>
        <v>988</v>
      </c>
      <c r="E1847" s="125" t="s">
        <v>337</v>
      </c>
      <c r="F1847" s="125"/>
      <c r="G1847" s="126" t="s">
        <v>1177</v>
      </c>
    </row>
    <row r="1848" spans="2:7">
      <c r="B1848" s="269"/>
      <c r="C1848" s="61"/>
      <c r="D1848" s="62"/>
      <c r="E1848" s="63"/>
      <c r="F1848" s="63"/>
      <c r="G1848" s="64"/>
    </row>
    <row r="1849" spans="2:7">
      <c r="B1849" s="269" t="s">
        <v>335</v>
      </c>
      <c r="C1849" s="65" t="s">
        <v>361</v>
      </c>
      <c r="D1849" s="66">
        <f>VLOOKUP(C1849,基本字段定义!$B$3:$C$3008,2,FALSE)</f>
        <v>599</v>
      </c>
      <c r="E1849" s="67" t="s">
        <v>339</v>
      </c>
      <c r="F1849" s="67"/>
      <c r="G1849" s="68" t="s">
        <v>363</v>
      </c>
    </row>
    <row r="1850" spans="2:7">
      <c r="B1850" s="269"/>
      <c r="C1850" s="65" t="s">
        <v>640</v>
      </c>
      <c r="D1850" s="66">
        <f>VLOOKUP(C1850,基本字段定义!$B$3:$C$3008,2,FALSE)</f>
        <v>719</v>
      </c>
      <c r="E1850" s="67" t="s">
        <v>337</v>
      </c>
      <c r="F1850" s="67"/>
      <c r="G1850" s="69" t="s">
        <v>657</v>
      </c>
    </row>
    <row r="1851" spans="2:7">
      <c r="B1851" s="269"/>
      <c r="C1851" s="65" t="s">
        <v>659</v>
      </c>
      <c r="D1851" s="66">
        <f>VLOOKUP(C1851,基本字段定义!$B$3:$C$3008,2,FALSE)</f>
        <v>722</v>
      </c>
      <c r="E1851" s="67" t="s">
        <v>339</v>
      </c>
      <c r="F1851" s="67"/>
      <c r="G1851" s="69" t="s">
        <v>660</v>
      </c>
    </row>
    <row r="1852" spans="2:7">
      <c r="B1852" s="269"/>
      <c r="C1852" s="65" t="s">
        <v>1173</v>
      </c>
      <c r="D1852" s="66">
        <f>VLOOKUP(C1852,基本字段定义!$B$3:$C$3008,2,FALSE)</f>
        <v>665</v>
      </c>
      <c r="E1852" s="67" t="s">
        <v>337</v>
      </c>
      <c r="F1852" s="67"/>
      <c r="G1852" s="69" t="s">
        <v>1178</v>
      </c>
    </row>
    <row r="1853" spans="2:7">
      <c r="B1853" s="269"/>
      <c r="C1853" s="65" t="s">
        <v>1179</v>
      </c>
      <c r="D1853" s="66">
        <f>VLOOKUP(C1853,基本字段定义!$B$3:$C$3008,2,FALSE)</f>
        <v>4173</v>
      </c>
      <c r="E1853" s="67" t="s">
        <v>337</v>
      </c>
      <c r="F1853" s="67"/>
      <c r="G1853" s="69" t="s">
        <v>1180</v>
      </c>
    </row>
    <row r="1854" spans="2:7">
      <c r="B1854" s="269"/>
      <c r="C1854" s="65" t="s">
        <v>1181</v>
      </c>
      <c r="D1854" s="66">
        <f>VLOOKUP(C1854,基本字段定义!$B$3:$C$3008,2,FALSE)</f>
        <v>3022</v>
      </c>
      <c r="E1854" s="67" t="s">
        <v>537</v>
      </c>
      <c r="F1854" s="67"/>
      <c r="G1854" s="69" t="s">
        <v>1182</v>
      </c>
    </row>
    <row r="1855" spans="2:7">
      <c r="B1855" s="269"/>
      <c r="C1855" s="65" t="s">
        <v>644</v>
      </c>
      <c r="D1855" s="66">
        <f>VLOOKUP(C1855,基本字段定义!$B$3:$C$3008,2,FALSE)</f>
        <v>1504</v>
      </c>
      <c r="E1855" s="67" t="s">
        <v>537</v>
      </c>
      <c r="F1855" s="67"/>
      <c r="G1855" s="69" t="s">
        <v>1183</v>
      </c>
    </row>
    <row r="1856" spans="2:7">
      <c r="B1856" s="266"/>
      <c r="C1856" s="127" t="s">
        <v>1175</v>
      </c>
      <c r="D1856" s="128">
        <v>1695</v>
      </c>
      <c r="E1856" s="129" t="s">
        <v>339</v>
      </c>
      <c r="F1856" s="129"/>
      <c r="G1856" s="130" t="s">
        <v>1184</v>
      </c>
    </row>
    <row r="1857" spans="2:7">
      <c r="B1857" s="266"/>
      <c r="C1857" s="127" t="s">
        <v>1185</v>
      </c>
      <c r="D1857" s="128">
        <v>9165</v>
      </c>
      <c r="E1857" s="129" t="s">
        <v>339</v>
      </c>
      <c r="F1857" s="129"/>
      <c r="G1857" s="130" t="s">
        <v>1186</v>
      </c>
    </row>
    <row r="1858" spans="2:7">
      <c r="B1858" s="266"/>
      <c r="C1858" s="127" t="s">
        <v>1187</v>
      </c>
      <c r="D1858" s="128">
        <v>858</v>
      </c>
      <c r="E1858" s="131" t="s">
        <v>537</v>
      </c>
      <c r="F1858" s="129"/>
      <c r="G1858" s="130" t="s">
        <v>1188</v>
      </c>
    </row>
    <row r="1859" spans="2:7">
      <c r="B1859" s="266"/>
      <c r="C1859" s="127" t="s">
        <v>1160</v>
      </c>
      <c r="D1859" s="128">
        <v>1673</v>
      </c>
      <c r="E1859" s="131" t="s">
        <v>537</v>
      </c>
      <c r="F1859" s="129"/>
      <c r="G1859" s="130" t="s">
        <v>1189</v>
      </c>
    </row>
    <row r="1860" spans="2:7">
      <c r="B1860" s="266"/>
      <c r="C1860" s="127" t="s">
        <v>1162</v>
      </c>
      <c r="D1860" s="128">
        <v>1719</v>
      </c>
      <c r="E1860" s="131" t="s">
        <v>537</v>
      </c>
      <c r="F1860" s="129"/>
      <c r="G1860" s="130" t="s">
        <v>1190</v>
      </c>
    </row>
    <row r="1861" spans="2:7">
      <c r="B1861" s="266"/>
      <c r="C1861" s="127" t="s">
        <v>1191</v>
      </c>
      <c r="D1861" s="128">
        <v>9234</v>
      </c>
      <c r="E1861" s="131" t="s">
        <v>537</v>
      </c>
      <c r="F1861" s="129"/>
      <c r="G1861" s="130" t="s">
        <v>1192</v>
      </c>
    </row>
    <row r="1862" spans="2:7">
      <c r="B1862" s="266"/>
      <c r="C1862" s="127" t="s">
        <v>1193</v>
      </c>
      <c r="D1862" s="128">
        <v>9235</v>
      </c>
      <c r="E1862" s="131" t="s">
        <v>537</v>
      </c>
      <c r="F1862" s="129"/>
      <c r="G1862" s="130" t="s">
        <v>1194</v>
      </c>
    </row>
    <row r="1863" spans="2:7">
      <c r="B1863" s="266"/>
      <c r="C1863" s="127" t="s">
        <v>1195</v>
      </c>
      <c r="D1863" s="128">
        <v>873</v>
      </c>
      <c r="E1863" s="131" t="s">
        <v>537</v>
      </c>
      <c r="F1863" s="129"/>
      <c r="G1863" s="130" t="s">
        <v>1196</v>
      </c>
    </row>
    <row r="1864" spans="2:7">
      <c r="B1864" s="266"/>
      <c r="C1864" s="127" t="s">
        <v>1197</v>
      </c>
      <c r="D1864" s="128">
        <v>1619</v>
      </c>
      <c r="E1864" s="129" t="s">
        <v>537</v>
      </c>
      <c r="F1864" s="129"/>
      <c r="G1864" s="130" t="s">
        <v>1198</v>
      </c>
    </row>
    <row r="1865" spans="2:7">
      <c r="B1865" s="266"/>
      <c r="C1865" s="127" t="s">
        <v>1181</v>
      </c>
      <c r="D1865" s="128">
        <v>3022</v>
      </c>
      <c r="E1865" s="131" t="s">
        <v>537</v>
      </c>
      <c r="F1865" s="129"/>
      <c r="G1865" s="130" t="s">
        <v>1199</v>
      </c>
    </row>
    <row r="1866" spans="2:7">
      <c r="B1866" s="266"/>
      <c r="C1866" s="127" t="s">
        <v>644</v>
      </c>
      <c r="D1866" s="128">
        <v>1504</v>
      </c>
      <c r="E1866" s="131" t="s">
        <v>537</v>
      </c>
      <c r="F1866" s="129"/>
      <c r="G1866" s="130" t="s">
        <v>1200</v>
      </c>
    </row>
    <row r="1867" spans="2:7">
      <c r="B1867" s="270"/>
      <c r="C1867" s="71"/>
      <c r="D1867" s="79"/>
      <c r="E1867" s="73"/>
      <c r="F1867" s="73"/>
      <c r="G1867" s="74"/>
    </row>
    <row r="1869" spans="2:7">
      <c r="B1869" s="53" t="s">
        <v>146</v>
      </c>
      <c r="C1869" s="80">
        <v>304823</v>
      </c>
      <c r="D1869" s="81"/>
      <c r="E1869" s="82"/>
      <c r="F1869" s="54" t="s">
        <v>326</v>
      </c>
      <c r="G1869" s="55"/>
    </row>
    <row r="1870" spans="2:7">
      <c r="B1870" s="56" t="s">
        <v>327</v>
      </c>
      <c r="C1870" s="83" t="str">
        <f>VLOOKUP(C1869,功能索引!$C$3:$D$269,2,FALSE)</f>
        <v>融券证券池查询</v>
      </c>
      <c r="D1870" s="84"/>
      <c r="E1870" s="85"/>
      <c r="F1870" s="57" t="s">
        <v>148</v>
      </c>
      <c r="G1870" s="58" t="str">
        <f>VLOOKUP(C1869,功能索引!$C$3:$E2344,3,FALSE)</f>
        <v>Y</v>
      </c>
    </row>
    <row r="1871" spans="2:7">
      <c r="B1871" s="269" t="s">
        <v>328</v>
      </c>
      <c r="C1871" s="95"/>
      <c r="D1871" s="96"/>
      <c r="E1871" s="96"/>
      <c r="F1871" s="96"/>
      <c r="G1871" s="97"/>
    </row>
    <row r="1872" spans="2:7">
      <c r="B1872" s="270"/>
      <c r="C1872" s="98"/>
      <c r="D1872" s="99"/>
      <c r="E1872" s="99"/>
      <c r="F1872" s="99"/>
      <c r="G1872" s="100"/>
    </row>
    <row r="1873" spans="2:7">
      <c r="B1873" s="271" t="s">
        <v>329</v>
      </c>
      <c r="C1873" s="54" t="s">
        <v>330</v>
      </c>
      <c r="D1873" s="54" t="s">
        <v>331</v>
      </c>
      <c r="E1873" s="54" t="s">
        <v>332</v>
      </c>
      <c r="F1873" s="54" t="s">
        <v>333</v>
      </c>
      <c r="G1873" s="60" t="s">
        <v>334</v>
      </c>
    </row>
    <row r="1874" spans="2:7">
      <c r="B1874" s="269"/>
      <c r="C1874" s="61" t="s">
        <v>361</v>
      </c>
      <c r="D1874" s="62">
        <f>VLOOKUP(C1874,基本字段定义!$B$3:$C$3008,2,FALSE)</f>
        <v>599</v>
      </c>
      <c r="E1874" s="63" t="s">
        <v>362</v>
      </c>
      <c r="F1874" s="63"/>
      <c r="G1874" s="64" t="s">
        <v>363</v>
      </c>
    </row>
    <row r="1875" spans="2:7">
      <c r="B1875" s="269"/>
      <c r="C1875" s="61" t="s">
        <v>640</v>
      </c>
      <c r="D1875" s="62">
        <f>VLOOKUP(C1875,基本字段定义!$B$3:$C$3008,2,FALSE)</f>
        <v>719</v>
      </c>
      <c r="E1875" s="63" t="s">
        <v>480</v>
      </c>
      <c r="F1875" s="63"/>
      <c r="G1875" s="64" t="s">
        <v>657</v>
      </c>
    </row>
    <row r="1876" spans="2:7">
      <c r="B1876" s="269"/>
      <c r="C1876" s="61" t="s">
        <v>727</v>
      </c>
      <c r="D1876" s="62">
        <f>VLOOKUP(C1876,基本字段定义!$B$3:$C$3008,2,FALSE)</f>
        <v>720</v>
      </c>
      <c r="E1876" s="63" t="s">
        <v>362</v>
      </c>
      <c r="F1876" s="63"/>
      <c r="G1876" s="64" t="s">
        <v>728</v>
      </c>
    </row>
    <row r="1877" spans="2:7">
      <c r="B1877" s="269"/>
      <c r="C1877" s="61" t="s">
        <v>402</v>
      </c>
      <c r="D1877" s="62">
        <f>VLOOKUP(C1877,基本字段定义!$B$3:$C$3008,2,FALSE)</f>
        <v>605</v>
      </c>
      <c r="E1877" s="63" t="s">
        <v>403</v>
      </c>
      <c r="F1877" s="63"/>
      <c r="G1877" s="64" t="s">
        <v>1201</v>
      </c>
    </row>
    <row r="1878" spans="2:7" ht="25.5">
      <c r="B1878" s="269"/>
      <c r="C1878" s="61" t="s">
        <v>503</v>
      </c>
      <c r="D1878" s="62">
        <f>VLOOKUP(C1878,基本字段定义!$B$3:$C$3008,2,FALSE)</f>
        <v>1332</v>
      </c>
      <c r="E1878" s="63" t="s">
        <v>337</v>
      </c>
      <c r="F1878" s="63"/>
      <c r="G1878" s="86" t="s">
        <v>1202</v>
      </c>
    </row>
    <row r="1879" spans="2:7">
      <c r="B1879" s="269"/>
      <c r="C1879" s="61" t="s">
        <v>590</v>
      </c>
      <c r="D1879" s="62">
        <f>VLOOKUP(C1879,基本字段定义!$B$3:$C$3008,2,FALSE)</f>
        <v>9110</v>
      </c>
      <c r="E1879" s="63" t="s">
        <v>337</v>
      </c>
      <c r="F1879" s="63"/>
      <c r="G1879" s="64" t="s">
        <v>591</v>
      </c>
    </row>
    <row r="1880" spans="2:7">
      <c r="B1880" s="269"/>
      <c r="C1880" s="61" t="s">
        <v>588</v>
      </c>
      <c r="D1880" s="62">
        <f>VLOOKUP(C1880,基本字段定义!$B$3:$C$3008,2,FALSE)</f>
        <v>763</v>
      </c>
      <c r="E1880" s="63" t="s">
        <v>471</v>
      </c>
      <c r="F1880" s="63"/>
      <c r="G1880" s="64" t="s">
        <v>1203</v>
      </c>
    </row>
    <row r="1881" spans="2:7">
      <c r="B1881" s="269" t="s">
        <v>335</v>
      </c>
      <c r="C1881" s="65" t="s">
        <v>588</v>
      </c>
      <c r="D1881" s="66">
        <f>VLOOKUP(C1881,基本字段定义!$B$3:$C$3008,2,FALSE)</f>
        <v>763</v>
      </c>
      <c r="E1881" s="67" t="s">
        <v>339</v>
      </c>
      <c r="F1881" s="67"/>
      <c r="G1881" s="68" t="s">
        <v>592</v>
      </c>
    </row>
    <row r="1882" spans="2:7">
      <c r="B1882" s="269"/>
      <c r="C1882" s="65" t="s">
        <v>361</v>
      </c>
      <c r="D1882" s="66">
        <f>VLOOKUP(C1882,基本字段定义!$B$3:$C$3008,2,FALSE)</f>
        <v>599</v>
      </c>
      <c r="E1882" s="67" t="s">
        <v>339</v>
      </c>
      <c r="F1882" s="67"/>
      <c r="G1882" s="69" t="s">
        <v>363</v>
      </c>
    </row>
    <row r="1883" spans="2:7">
      <c r="B1883" s="269"/>
      <c r="C1883" s="65" t="s">
        <v>640</v>
      </c>
      <c r="D1883" s="66">
        <f>VLOOKUP(C1883,基本字段定义!$B$3:$C$3008,2,FALSE)</f>
        <v>719</v>
      </c>
      <c r="E1883" s="67" t="s">
        <v>339</v>
      </c>
      <c r="F1883" s="67"/>
      <c r="G1883" s="69" t="s">
        <v>657</v>
      </c>
    </row>
    <row r="1884" spans="2:7">
      <c r="B1884" s="269"/>
      <c r="C1884" s="65" t="s">
        <v>659</v>
      </c>
      <c r="D1884" s="66">
        <f>VLOOKUP(C1884,基本字段定义!$B$3:$C$3008,2,FALSE)</f>
        <v>722</v>
      </c>
      <c r="E1884" s="67" t="s">
        <v>339</v>
      </c>
      <c r="F1884" s="67"/>
      <c r="G1884" s="69" t="s">
        <v>660</v>
      </c>
    </row>
    <row r="1885" spans="2:7">
      <c r="B1885" s="269"/>
      <c r="C1885" s="65" t="s">
        <v>795</v>
      </c>
      <c r="D1885" s="66">
        <f>VLOOKUP(C1885,基本字段定义!$B$3:$C$3008,2,FALSE)</f>
        <v>543</v>
      </c>
      <c r="E1885" s="67" t="s">
        <v>337</v>
      </c>
      <c r="F1885" s="67"/>
      <c r="G1885" s="69" t="s">
        <v>1204</v>
      </c>
    </row>
    <row r="1886" spans="2:7">
      <c r="B1886" s="269"/>
      <c r="C1886" s="65" t="s">
        <v>805</v>
      </c>
      <c r="D1886" s="66">
        <f>VLOOKUP(C1886,基本字段定义!$B$3:$C$3008,2,FALSE)</f>
        <v>615</v>
      </c>
      <c r="E1886" s="67" t="s">
        <v>337</v>
      </c>
      <c r="F1886" s="67"/>
      <c r="G1886" s="69" t="s">
        <v>1205</v>
      </c>
    </row>
    <row r="1887" spans="2:7">
      <c r="B1887" s="269"/>
      <c r="C1887" s="65" t="s">
        <v>1110</v>
      </c>
      <c r="D1887" s="66">
        <f>VLOOKUP(C1887,基本字段定义!$B$3:$C$3008,2,FALSE)</f>
        <v>1240</v>
      </c>
      <c r="E1887" s="67" t="s">
        <v>337</v>
      </c>
      <c r="F1887" s="67"/>
      <c r="G1887" s="69" t="s">
        <v>941</v>
      </c>
    </row>
    <row r="1888" spans="2:7">
      <c r="B1888" s="270"/>
      <c r="C1888" s="71" t="s">
        <v>1206</v>
      </c>
      <c r="D1888" s="66">
        <f>VLOOKUP(C1888,基本字段定义!$B$3:$C$3008,2,FALSE)</f>
        <v>9214</v>
      </c>
      <c r="E1888" s="73" t="s">
        <v>337</v>
      </c>
      <c r="F1888" s="73"/>
      <c r="G1888" s="74" t="s">
        <v>1207</v>
      </c>
    </row>
    <row r="1890" spans="2:7">
      <c r="B1890" s="53" t="s">
        <v>146</v>
      </c>
      <c r="C1890" s="80">
        <v>204830</v>
      </c>
      <c r="D1890" s="81"/>
      <c r="E1890" s="82"/>
      <c r="F1890" s="54" t="s">
        <v>326</v>
      </c>
      <c r="G1890" s="55"/>
    </row>
    <row r="1891" spans="2:7">
      <c r="B1891" s="56" t="s">
        <v>327</v>
      </c>
      <c r="C1891" s="83" t="str">
        <f>VLOOKUP(C1890,功能索引!$C$3:$D$269,2,FALSE)</f>
        <v>信用资金情况查询</v>
      </c>
      <c r="D1891" s="84"/>
      <c r="E1891" s="85"/>
      <c r="F1891" s="57" t="s">
        <v>148</v>
      </c>
      <c r="G1891" s="58">
        <f>VLOOKUP(C1890,功能索引!$C$3:$E2344,3,FALSE)</f>
        <v>0</v>
      </c>
    </row>
    <row r="1892" spans="2:7">
      <c r="B1892" s="269" t="s">
        <v>328</v>
      </c>
      <c r="C1892" s="95"/>
      <c r="D1892" s="96"/>
      <c r="E1892" s="96"/>
      <c r="F1892" s="96"/>
      <c r="G1892" s="97"/>
    </row>
    <row r="1893" spans="2:7">
      <c r="B1893" s="270"/>
      <c r="C1893" s="98"/>
      <c r="D1893" s="99"/>
      <c r="E1893" s="99"/>
      <c r="F1893" s="99"/>
      <c r="G1893" s="100"/>
    </row>
    <row r="1894" spans="2:7">
      <c r="B1894" s="271" t="s">
        <v>329</v>
      </c>
      <c r="C1894" s="54" t="s">
        <v>330</v>
      </c>
      <c r="D1894" s="54" t="s">
        <v>331</v>
      </c>
      <c r="E1894" s="54" t="s">
        <v>332</v>
      </c>
      <c r="F1894" s="54" t="s">
        <v>333</v>
      </c>
      <c r="G1894" s="60" t="s">
        <v>334</v>
      </c>
    </row>
    <row r="1895" spans="2:7">
      <c r="B1895" s="269"/>
      <c r="C1895" s="61" t="s">
        <v>402</v>
      </c>
      <c r="D1895" s="62">
        <f>VLOOKUP(C1895,基本字段定义!$B$3:$C$3008,2,FALSE)</f>
        <v>605</v>
      </c>
      <c r="E1895" s="63" t="s">
        <v>403</v>
      </c>
      <c r="F1895" s="63" t="s">
        <v>152</v>
      </c>
      <c r="G1895" s="64" t="s">
        <v>404</v>
      </c>
    </row>
    <row r="1896" spans="2:7">
      <c r="B1896" s="269"/>
      <c r="C1896" s="61" t="s">
        <v>559</v>
      </c>
      <c r="D1896" s="62">
        <f>VLOOKUP(C1896,基本字段定义!$B$3:$C$3008,2,FALSE)</f>
        <v>9020</v>
      </c>
      <c r="E1896" s="63" t="s">
        <v>337</v>
      </c>
      <c r="F1896" s="63" t="s">
        <v>152</v>
      </c>
      <c r="G1896" s="64" t="s">
        <v>1208</v>
      </c>
    </row>
    <row r="1897" spans="2:7">
      <c r="B1897" s="269" t="s">
        <v>335</v>
      </c>
      <c r="C1897" s="65" t="s">
        <v>336</v>
      </c>
      <c r="D1897" s="66">
        <f>VLOOKUP(C1897,基本字段定义!$B$3:$C$3008,2,FALSE)</f>
        <v>507</v>
      </c>
      <c r="E1897" s="67" t="s">
        <v>337</v>
      </c>
      <c r="F1897" s="67"/>
      <c r="G1897" s="68" t="s">
        <v>1209</v>
      </c>
    </row>
    <row r="1898" spans="2:7">
      <c r="B1898" s="269"/>
      <c r="C1898" s="65" t="s">
        <v>338</v>
      </c>
      <c r="D1898" s="66">
        <f>VLOOKUP(C1898,基本字段定义!$B$3:$C$3008,2,FALSE)</f>
        <v>508</v>
      </c>
      <c r="E1898" s="67" t="s">
        <v>339</v>
      </c>
      <c r="F1898" s="67"/>
      <c r="G1898" s="69" t="s">
        <v>1210</v>
      </c>
    </row>
    <row r="1899" spans="2:7">
      <c r="B1899" s="269"/>
      <c r="C1899" s="65" t="s">
        <v>1211</v>
      </c>
      <c r="D1899" s="66">
        <f>VLOOKUP(C1899,基本字段定义!$B$3:$C$3008,2,FALSE)</f>
        <v>1720</v>
      </c>
      <c r="E1899" s="67" t="s">
        <v>537</v>
      </c>
      <c r="F1899" s="67"/>
      <c r="G1899" s="69" t="s">
        <v>1212</v>
      </c>
    </row>
    <row r="1900" spans="2:7">
      <c r="B1900" s="269"/>
      <c r="C1900" s="65" t="s">
        <v>1213</v>
      </c>
      <c r="D1900" s="66">
        <f>VLOOKUP(C1900,基本字段定义!$B$3:$C$3008,2,FALSE)</f>
        <v>1741</v>
      </c>
      <c r="E1900" s="67" t="s">
        <v>537</v>
      </c>
      <c r="F1900" s="67"/>
      <c r="G1900" s="69" t="s">
        <v>1214</v>
      </c>
    </row>
    <row r="1901" spans="2:7">
      <c r="B1901" s="269"/>
      <c r="C1901" s="65" t="s">
        <v>395</v>
      </c>
      <c r="D1901" s="66">
        <f>VLOOKUP(C1901,基本字段定义!$B$3:$C$3008,2,FALSE)</f>
        <v>1190</v>
      </c>
      <c r="E1901" s="67" t="s">
        <v>537</v>
      </c>
      <c r="F1901" s="67"/>
      <c r="G1901" s="69" t="s">
        <v>1215</v>
      </c>
    </row>
    <row r="1902" spans="2:7">
      <c r="B1902" s="269"/>
      <c r="C1902" s="65" t="s">
        <v>536</v>
      </c>
      <c r="D1902" s="66">
        <f>VLOOKUP(C1902,基本字段定义!$B$3:$C$3008,2,FALSE)</f>
        <v>709</v>
      </c>
      <c r="E1902" s="67" t="s">
        <v>537</v>
      </c>
      <c r="F1902" s="67"/>
      <c r="G1902" s="69" t="s">
        <v>538</v>
      </c>
    </row>
    <row r="1903" spans="2:7">
      <c r="B1903" s="269"/>
      <c r="C1903" s="65" t="s">
        <v>541</v>
      </c>
      <c r="D1903" s="66">
        <f>VLOOKUP(C1903,基本字段定义!$B$3:$C$3008,2,FALSE)</f>
        <v>619</v>
      </c>
      <c r="E1903" s="67" t="s">
        <v>537</v>
      </c>
      <c r="F1903" s="67"/>
      <c r="G1903" s="69" t="s">
        <v>1216</v>
      </c>
    </row>
    <row r="1904" spans="2:7">
      <c r="B1904" s="269"/>
      <c r="C1904" s="65" t="s">
        <v>920</v>
      </c>
      <c r="D1904" s="66">
        <f>VLOOKUP(C1904,基本字段定义!$B$3:$C$3008,2,FALSE)</f>
        <v>647</v>
      </c>
      <c r="E1904" s="67" t="s">
        <v>537</v>
      </c>
      <c r="F1904" s="67"/>
      <c r="G1904" s="69" t="s">
        <v>921</v>
      </c>
    </row>
    <row r="1905" spans="2:7">
      <c r="B1905" s="269"/>
      <c r="C1905" s="65" t="s">
        <v>1217</v>
      </c>
      <c r="D1905" s="66">
        <f>VLOOKUP(C1905,基本字段定义!$B$3:$C$3008,2,FALSE)</f>
        <v>869</v>
      </c>
      <c r="E1905" s="67" t="s">
        <v>537</v>
      </c>
      <c r="F1905" s="67"/>
      <c r="G1905" s="69" t="s">
        <v>1218</v>
      </c>
    </row>
    <row r="1906" spans="2:7">
      <c r="B1906" s="269"/>
      <c r="C1906" s="65" t="s">
        <v>1219</v>
      </c>
      <c r="D1906" s="66">
        <f>VLOOKUP(C1906,基本字段定义!$B$3:$C$3008,2,FALSE)</f>
        <v>805</v>
      </c>
      <c r="E1906" s="67" t="s">
        <v>537</v>
      </c>
      <c r="F1906" s="67"/>
      <c r="G1906" s="69" t="s">
        <v>1220</v>
      </c>
    </row>
    <row r="1907" spans="2:7">
      <c r="B1907" s="269"/>
      <c r="C1907" s="65" t="s">
        <v>1221</v>
      </c>
      <c r="D1907" s="66">
        <f>VLOOKUP(C1907,基本字段定义!$B$3:$C$3008,2,FALSE)</f>
        <v>1037</v>
      </c>
      <c r="E1907" s="67" t="s">
        <v>537</v>
      </c>
      <c r="F1907" s="67"/>
      <c r="G1907" s="69" t="s">
        <v>1222</v>
      </c>
    </row>
    <row r="1908" spans="2:7">
      <c r="B1908" s="269"/>
      <c r="C1908" s="65" t="s">
        <v>1151</v>
      </c>
      <c r="D1908" s="66">
        <f>VLOOKUP(C1908,基本字段定义!$B$3:$C$3008,2,FALSE)</f>
        <v>652</v>
      </c>
      <c r="E1908" s="67" t="s">
        <v>537</v>
      </c>
      <c r="F1908" s="67"/>
      <c r="G1908" s="69" t="s">
        <v>1223</v>
      </c>
    </row>
    <row r="1909" spans="2:7">
      <c r="B1909" s="269"/>
      <c r="C1909" s="65" t="s">
        <v>1153</v>
      </c>
      <c r="D1909" s="66">
        <f>VLOOKUP(C1909,基本字段定义!$B$3:$C$3008,2,FALSE)</f>
        <v>1823</v>
      </c>
      <c r="E1909" s="67" t="s">
        <v>537</v>
      </c>
      <c r="F1909" s="67"/>
      <c r="G1909" s="69" t="s">
        <v>1224</v>
      </c>
    </row>
    <row r="1910" spans="2:7">
      <c r="B1910" s="269"/>
      <c r="C1910" s="65" t="s">
        <v>1225</v>
      </c>
      <c r="D1910" s="66">
        <f>VLOOKUP(C1910,基本字段定义!$B$3:$C$3008,2,FALSE)</f>
        <v>1829</v>
      </c>
      <c r="E1910" s="67" t="s">
        <v>537</v>
      </c>
      <c r="F1910" s="67"/>
      <c r="G1910" s="69" t="s">
        <v>1226</v>
      </c>
    </row>
    <row r="1911" spans="2:7">
      <c r="B1911" s="269"/>
      <c r="C1911" s="65" t="s">
        <v>1227</v>
      </c>
      <c r="D1911" s="66">
        <f>VLOOKUP(C1911,基本字段定义!$B$3:$C$3008,2,FALSE)</f>
        <v>1830</v>
      </c>
      <c r="E1911" s="67" t="s">
        <v>537</v>
      </c>
      <c r="F1911" s="67"/>
      <c r="G1911" s="69" t="s">
        <v>1228</v>
      </c>
    </row>
    <row r="1912" spans="2:7">
      <c r="B1912" s="269"/>
      <c r="C1912" s="65" t="s">
        <v>1229</v>
      </c>
      <c r="D1912" s="66">
        <f>VLOOKUP(C1912,基本字段定义!$B$3:$C$3008,2,FALSE)</f>
        <v>1038</v>
      </c>
      <c r="E1912" s="67" t="s">
        <v>537</v>
      </c>
      <c r="F1912" s="67"/>
      <c r="G1912" s="69" t="s">
        <v>1230</v>
      </c>
    </row>
    <row r="1913" spans="2:7">
      <c r="B1913" s="269"/>
      <c r="C1913" s="65" t="s">
        <v>755</v>
      </c>
      <c r="D1913" s="66">
        <f>VLOOKUP(C1913,基本字段定义!$B$3:$C$3008,2,FALSE)</f>
        <v>9136</v>
      </c>
      <c r="E1913" s="67" t="s">
        <v>537</v>
      </c>
      <c r="F1913" s="67"/>
      <c r="G1913" s="69" t="s">
        <v>1231</v>
      </c>
    </row>
    <row r="1914" spans="2:7">
      <c r="B1914" s="269"/>
      <c r="C1914" s="65" t="s">
        <v>1232</v>
      </c>
      <c r="D1914" s="66">
        <f>VLOOKUP(C1914,基本字段定义!$B$3:$C$3008,2,FALSE)</f>
        <v>1710</v>
      </c>
      <c r="E1914" s="67" t="s">
        <v>537</v>
      </c>
      <c r="F1914" s="67"/>
      <c r="G1914" s="69" t="s">
        <v>1233</v>
      </c>
    </row>
    <row r="1915" spans="2:7">
      <c r="B1915" s="269"/>
      <c r="C1915" s="65" t="s">
        <v>567</v>
      </c>
      <c r="D1915" s="66">
        <f>VLOOKUP(C1915,基本字段定义!$B$3:$C$3008,2,FALSE)</f>
        <v>746</v>
      </c>
      <c r="E1915" s="67" t="s">
        <v>537</v>
      </c>
      <c r="F1915" s="67"/>
      <c r="G1915" s="69" t="s">
        <v>1234</v>
      </c>
    </row>
    <row r="1916" spans="2:7">
      <c r="B1916" s="269"/>
      <c r="C1916" s="65" t="s">
        <v>509</v>
      </c>
      <c r="D1916" s="66">
        <f>VLOOKUP(C1916,基本字段定义!$B$3:$C$3008,2,FALSE)</f>
        <v>1850</v>
      </c>
      <c r="E1916" s="67" t="s">
        <v>537</v>
      </c>
      <c r="F1916" s="67"/>
      <c r="G1916" s="69" t="s">
        <v>1235</v>
      </c>
    </row>
    <row r="1917" spans="2:7">
      <c r="B1917" s="269"/>
      <c r="C1917" s="65" t="s">
        <v>543</v>
      </c>
      <c r="D1917" s="66">
        <f>VLOOKUP(C1917,基本字段定义!$B$3:$C$3008,2,FALSE)</f>
        <v>617</v>
      </c>
      <c r="E1917" s="67" t="s">
        <v>537</v>
      </c>
      <c r="F1917" s="67"/>
      <c r="G1917" s="69" t="s">
        <v>1236</v>
      </c>
    </row>
    <row r="1918" spans="2:7">
      <c r="B1918" s="269"/>
      <c r="C1918" s="65" t="s">
        <v>551</v>
      </c>
      <c r="D1918" s="66">
        <f>VLOOKUP(C1918,基本字段定义!$B$3:$C$3008,2,FALSE)</f>
        <v>1255</v>
      </c>
      <c r="E1918" s="67" t="s">
        <v>537</v>
      </c>
      <c r="F1918" s="67"/>
      <c r="G1918" s="69" t="s">
        <v>1237</v>
      </c>
    </row>
    <row r="1919" spans="2:7">
      <c r="B1919" s="269"/>
      <c r="C1919" s="65" t="s">
        <v>1238</v>
      </c>
      <c r="D1919" s="66">
        <f>VLOOKUP(C1919,基本字段定义!$B$3:$C$3008,2,FALSE)</f>
        <v>517</v>
      </c>
      <c r="E1919" s="67" t="s">
        <v>537</v>
      </c>
      <c r="F1919" s="67"/>
      <c r="G1919" s="69" t="s">
        <v>1239</v>
      </c>
    </row>
    <row r="1920" spans="2:7">
      <c r="B1920" s="269"/>
      <c r="C1920" s="65" t="s">
        <v>1240</v>
      </c>
      <c r="D1920" s="66">
        <f>VLOOKUP(C1920,基本字段定义!$B$3:$C$3008,2,FALSE)</f>
        <v>1361</v>
      </c>
      <c r="E1920" s="67" t="s">
        <v>537</v>
      </c>
      <c r="F1920" s="67"/>
      <c r="G1920" s="69" t="s">
        <v>1241</v>
      </c>
    </row>
    <row r="1921" spans="2:7">
      <c r="B1921" s="266"/>
      <c r="C1921" s="65" t="s">
        <v>1242</v>
      </c>
      <c r="D1921" s="66">
        <f>VLOOKUP(C1921,基本字段定义!$B$3:$C$3008,2,FALSE)</f>
        <v>1202</v>
      </c>
      <c r="E1921" s="67" t="s">
        <v>537</v>
      </c>
      <c r="F1921" s="67"/>
      <c r="G1921" s="69" t="s">
        <v>1243</v>
      </c>
    </row>
    <row r="1922" spans="2:7">
      <c r="B1922" s="266"/>
      <c r="C1922" s="65" t="s">
        <v>1244</v>
      </c>
      <c r="D1922" s="66">
        <f>VLOOKUP(C1922,基本字段定义!$B$3:$C$3008,2,FALSE)</f>
        <v>802</v>
      </c>
      <c r="E1922" s="67" t="s">
        <v>537</v>
      </c>
      <c r="F1922" s="67"/>
      <c r="G1922" s="69" t="s">
        <v>1245</v>
      </c>
    </row>
    <row r="1923" spans="2:7">
      <c r="B1923" s="266"/>
      <c r="C1923" s="65" t="s">
        <v>1246</v>
      </c>
      <c r="D1923" s="66">
        <f>VLOOKUP(C1923,基本字段定义!$B$3:$C$3008,2,FALSE)</f>
        <v>9308</v>
      </c>
      <c r="E1923" s="67" t="s">
        <v>537</v>
      </c>
      <c r="F1923" s="67"/>
      <c r="G1923" s="69" t="s">
        <v>1247</v>
      </c>
    </row>
    <row r="1924" spans="2:7">
      <c r="B1924" s="266"/>
      <c r="C1924" s="65" t="s">
        <v>1248</v>
      </c>
      <c r="D1924" s="66">
        <f>VLOOKUP(C1924,基本字段定义!$B$3:$C$3008,2,FALSE)</f>
        <v>621</v>
      </c>
      <c r="E1924" s="67" t="s">
        <v>537</v>
      </c>
      <c r="F1924" s="67"/>
      <c r="G1924" s="69" t="s">
        <v>1249</v>
      </c>
    </row>
    <row r="1925" spans="2:7">
      <c r="B1925" s="266"/>
      <c r="C1925" s="65" t="s">
        <v>1250</v>
      </c>
      <c r="D1925" s="66">
        <f>VLOOKUP(C1925,基本字段定义!$B$3:$C$3008,2,FALSE)</f>
        <v>9329</v>
      </c>
      <c r="E1925" s="67" t="s">
        <v>537</v>
      </c>
      <c r="F1925" s="67"/>
      <c r="G1925" s="69" t="s">
        <v>1251</v>
      </c>
    </row>
    <row r="1926" spans="2:7">
      <c r="B1926" s="266"/>
      <c r="C1926" s="65" t="s">
        <v>1252</v>
      </c>
      <c r="D1926" s="66">
        <f>VLOOKUP(C1926,基本字段定义!$B$3:$C$3008,2,FALSE)</f>
        <v>1075</v>
      </c>
      <c r="E1926" s="67" t="s">
        <v>537</v>
      </c>
      <c r="F1926" s="67"/>
      <c r="G1926" s="69" t="s">
        <v>1253</v>
      </c>
    </row>
    <row r="1927" spans="2:7">
      <c r="B1927" s="266"/>
      <c r="C1927" s="65" t="s">
        <v>1254</v>
      </c>
      <c r="D1927" s="66">
        <f>VLOOKUP(C1927,基本字段定义!$B$3:$C$3008,2,FALSE)</f>
        <v>1076</v>
      </c>
      <c r="E1927" s="67" t="s">
        <v>537</v>
      </c>
      <c r="F1927" s="67"/>
      <c r="G1927" s="69" t="s">
        <v>1255</v>
      </c>
    </row>
    <row r="1928" spans="2:7">
      <c r="B1928" s="266"/>
      <c r="C1928" s="65" t="s">
        <v>1256</v>
      </c>
      <c r="D1928" s="66">
        <f>VLOOKUP(C1928,基本字段定义!$B$3:$C$3008,2,FALSE)</f>
        <v>2508</v>
      </c>
      <c r="E1928" s="67" t="s">
        <v>537</v>
      </c>
      <c r="F1928" s="67"/>
      <c r="G1928" s="69" t="s">
        <v>1154</v>
      </c>
    </row>
    <row r="1929" spans="2:7">
      <c r="B1929" s="266"/>
      <c r="C1929" s="65" t="s">
        <v>1257</v>
      </c>
      <c r="D1929" s="66">
        <f>VLOOKUP(C1929,基本字段定义!$B$3:$C$3008,2,FALSE)</f>
        <v>1859</v>
      </c>
      <c r="E1929" s="67" t="s">
        <v>537</v>
      </c>
      <c r="F1929" s="67"/>
      <c r="G1929" s="69" t="s">
        <v>1258</v>
      </c>
    </row>
    <row r="1930" spans="2:7">
      <c r="B1930" s="266"/>
      <c r="C1930" s="65" t="s">
        <v>1259</v>
      </c>
      <c r="D1930" s="66">
        <f>VLOOKUP(C1930,基本字段定义!$B$3:$C$3008,2,FALSE)</f>
        <v>1860</v>
      </c>
      <c r="E1930" s="67" t="s">
        <v>537</v>
      </c>
      <c r="F1930" s="67"/>
      <c r="G1930" s="69" t="s">
        <v>1260</v>
      </c>
    </row>
    <row r="1931" spans="2:7">
      <c r="B1931" s="266"/>
      <c r="C1931" s="65" t="s">
        <v>1261</v>
      </c>
      <c r="D1931" s="66">
        <f>VLOOKUP(C1931,基本字段定义!$B$3:$C$3008,2,FALSE)</f>
        <v>9281</v>
      </c>
      <c r="E1931" s="67" t="s">
        <v>537</v>
      </c>
      <c r="F1931" s="67"/>
      <c r="G1931" s="69" t="s">
        <v>1262</v>
      </c>
    </row>
    <row r="1932" spans="2:7">
      <c r="B1932" s="266"/>
      <c r="C1932" s="65" t="s">
        <v>1263</v>
      </c>
      <c r="D1932" s="66">
        <f>VLOOKUP(C1932,基本字段定义!$B$3:$C$3008,2,FALSE)</f>
        <v>1319</v>
      </c>
      <c r="E1932" s="67" t="s">
        <v>537</v>
      </c>
      <c r="F1932" s="67"/>
      <c r="G1932" s="69" t="s">
        <v>1264</v>
      </c>
    </row>
    <row r="1933" spans="2:7">
      <c r="B1933" s="266"/>
      <c r="C1933" s="65" t="s">
        <v>1265</v>
      </c>
      <c r="D1933" s="66">
        <f>VLOOKUP(C1933,基本字段定义!$B$3:$C$3008,2,FALSE)</f>
        <v>1320</v>
      </c>
      <c r="E1933" s="67" t="s">
        <v>537</v>
      </c>
      <c r="F1933" s="67"/>
      <c r="G1933" s="69" t="s">
        <v>1266</v>
      </c>
    </row>
    <row r="1934" spans="2:7">
      <c r="B1934" s="266"/>
      <c r="C1934" s="65" t="s">
        <v>1155</v>
      </c>
      <c r="D1934" s="66">
        <f>VLOOKUP(C1934,基本字段定义!$B$3:$C$3008,2,FALSE)</f>
        <v>1845</v>
      </c>
      <c r="E1934" s="67" t="s">
        <v>537</v>
      </c>
      <c r="F1934" s="67"/>
      <c r="G1934" s="69" t="s">
        <v>1156</v>
      </c>
    </row>
    <row r="1935" spans="2:7">
      <c r="B1935" s="266"/>
      <c r="C1935" s="65" t="s">
        <v>1157</v>
      </c>
      <c r="D1935" s="66">
        <f>VLOOKUP(C1935,基本字段定义!$B$3:$C$3008,2,FALSE)</f>
        <v>1846</v>
      </c>
      <c r="E1935" s="67" t="s">
        <v>537</v>
      </c>
      <c r="F1935" s="67"/>
      <c r="G1935" s="69" t="s">
        <v>1158</v>
      </c>
    </row>
    <row r="1936" spans="2:7">
      <c r="B1936" s="266"/>
      <c r="C1936" s="65" t="s">
        <v>1267</v>
      </c>
      <c r="D1936" s="66">
        <f>VLOOKUP(C1936,基本字段定义!$B$3:$C$3008,2,FALSE)</f>
        <v>770</v>
      </c>
      <c r="E1936" s="67" t="s">
        <v>537</v>
      </c>
      <c r="F1936" s="67"/>
      <c r="G1936" s="69" t="s">
        <v>1268</v>
      </c>
    </row>
    <row r="1937" spans="2:7">
      <c r="B1937" s="266"/>
      <c r="C1937" s="65" t="s">
        <v>1269</v>
      </c>
      <c r="D1937" s="66">
        <f>VLOOKUP(C1937,基本字段定义!$B$3:$C$3008,2,FALSE)</f>
        <v>771</v>
      </c>
      <c r="E1937" s="67" t="s">
        <v>537</v>
      </c>
      <c r="F1937" s="67"/>
      <c r="G1937" s="69" t="s">
        <v>1270</v>
      </c>
    </row>
    <row r="1938" spans="2:7">
      <c r="B1938" s="266"/>
      <c r="C1938" s="65" t="s">
        <v>1271</v>
      </c>
      <c r="D1938" s="66">
        <f>VLOOKUP(C1938,基本字段定义!$B$3:$C$3008,2,FALSE)</f>
        <v>989</v>
      </c>
      <c r="E1938" s="67" t="s">
        <v>537</v>
      </c>
      <c r="F1938" s="67"/>
      <c r="G1938" s="69" t="s">
        <v>1272</v>
      </c>
    </row>
    <row r="1939" spans="2:7">
      <c r="B1939" s="266"/>
      <c r="C1939" s="65" t="s">
        <v>1273</v>
      </c>
      <c r="D1939" s="66">
        <f>VLOOKUP(C1939,基本字段定义!$B$3:$C$3008,2,FALSE)</f>
        <v>990</v>
      </c>
      <c r="E1939" s="67" t="s">
        <v>537</v>
      </c>
      <c r="F1939" s="67"/>
      <c r="G1939" s="69" t="s">
        <v>1274</v>
      </c>
    </row>
    <row r="1940" spans="2:7">
      <c r="B1940" s="266"/>
      <c r="C1940" s="65" t="s">
        <v>1275</v>
      </c>
      <c r="D1940" s="66">
        <f>VLOOKUP(C1940,基本字段定义!$B$3:$C$3008,2,FALSE)</f>
        <v>991</v>
      </c>
      <c r="E1940" s="67" t="s">
        <v>537</v>
      </c>
      <c r="F1940" s="67"/>
      <c r="G1940" s="69" t="s">
        <v>1276</v>
      </c>
    </row>
    <row r="1941" spans="2:7">
      <c r="B1941" s="266"/>
      <c r="C1941" s="65" t="s">
        <v>1277</v>
      </c>
      <c r="D1941" s="66">
        <f>VLOOKUP(C1941,基本字段定义!$B$3:$C$3008,2,FALSE)</f>
        <v>992</v>
      </c>
      <c r="E1941" s="67" t="s">
        <v>537</v>
      </c>
      <c r="F1941" s="67"/>
      <c r="G1941" s="69" t="s">
        <v>1278</v>
      </c>
    </row>
    <row r="1942" spans="2:7">
      <c r="B1942" s="266"/>
      <c r="C1942" s="65" t="s">
        <v>1279</v>
      </c>
      <c r="D1942" s="66">
        <f>VLOOKUP(C1942,基本字段定义!$B$3:$C$3008,2,FALSE)</f>
        <v>653</v>
      </c>
      <c r="E1942" s="67" t="s">
        <v>537</v>
      </c>
      <c r="F1942" s="67"/>
      <c r="G1942" s="69" t="s">
        <v>1280</v>
      </c>
    </row>
    <row r="1943" spans="2:7">
      <c r="B1943" s="266"/>
      <c r="C1943" s="65" t="s">
        <v>1281</v>
      </c>
      <c r="D1943" s="66">
        <f>VLOOKUP(C1943,基本字段定义!$B$3:$C$3008,2,FALSE)</f>
        <v>1809</v>
      </c>
      <c r="E1943" s="67" t="s">
        <v>537</v>
      </c>
      <c r="F1943" s="67"/>
      <c r="G1943" s="69" t="s">
        <v>1282</v>
      </c>
    </row>
    <row r="1944" spans="2:7">
      <c r="B1944" s="266"/>
      <c r="C1944" s="65" t="s">
        <v>486</v>
      </c>
      <c r="D1944" s="66">
        <f>VLOOKUP(C1944,基本字段定义!$B$3:$C$3008,2,FALSE)</f>
        <v>590</v>
      </c>
      <c r="E1944" s="67" t="s">
        <v>537</v>
      </c>
      <c r="F1944" s="67"/>
      <c r="G1944" s="69" t="s">
        <v>1283</v>
      </c>
    </row>
    <row r="1945" spans="2:7">
      <c r="B1945" s="266"/>
      <c r="C1945" s="65" t="s">
        <v>1284</v>
      </c>
      <c r="D1945" s="66">
        <f>VLOOKUP(C1945,基本字段定义!$B$3:$C$3008,2,FALSE)</f>
        <v>766</v>
      </c>
      <c r="E1945" s="67" t="s">
        <v>537</v>
      </c>
      <c r="F1945" s="67"/>
      <c r="G1945" s="69" t="s">
        <v>1285</v>
      </c>
    </row>
    <row r="1946" spans="2:7">
      <c r="B1946" s="266"/>
      <c r="C1946" s="65" t="s">
        <v>1286</v>
      </c>
      <c r="D1946" s="66">
        <f>VLOOKUP(C1946,基本字段定义!$B$3:$C$3008,2,FALSE)</f>
        <v>767</v>
      </c>
      <c r="E1946" s="67" t="s">
        <v>537</v>
      </c>
      <c r="F1946" s="67"/>
      <c r="G1946" s="69" t="s">
        <v>1287</v>
      </c>
    </row>
    <row r="1947" spans="2:7">
      <c r="B1947" s="266"/>
      <c r="C1947" s="65" t="s">
        <v>1147</v>
      </c>
      <c r="D1947" s="66">
        <f>VLOOKUP(C1947,基本字段定义!$B$3:$C$3008,2,FALSE)</f>
        <v>1821</v>
      </c>
      <c r="E1947" s="67" t="s">
        <v>537</v>
      </c>
      <c r="F1947" s="67"/>
      <c r="G1947" s="69" t="s">
        <v>1288</v>
      </c>
    </row>
    <row r="1948" spans="2:7">
      <c r="B1948" s="266"/>
      <c r="C1948" s="65" t="s">
        <v>1149</v>
      </c>
      <c r="D1948" s="66">
        <f>VLOOKUP(C1948,基本字段定义!$B$3:$C$3008,2,FALSE)</f>
        <v>1822</v>
      </c>
      <c r="E1948" s="67" t="s">
        <v>537</v>
      </c>
      <c r="F1948" s="67"/>
      <c r="G1948" s="69" t="s">
        <v>1289</v>
      </c>
    </row>
    <row r="1949" spans="2:7">
      <c r="B1949" s="266"/>
      <c r="C1949" s="65" t="s">
        <v>1290</v>
      </c>
      <c r="D1949" s="66">
        <f>VLOOKUP(C1949,基本字段定义!$B$3:$C$3008,2,FALSE)</f>
        <v>768</v>
      </c>
      <c r="E1949" s="67" t="s">
        <v>537</v>
      </c>
      <c r="F1949" s="67"/>
      <c r="G1949" s="69" t="s">
        <v>1291</v>
      </c>
    </row>
    <row r="1950" spans="2:7">
      <c r="B1950" s="266"/>
      <c r="C1950" s="65" t="s">
        <v>1292</v>
      </c>
      <c r="D1950" s="66">
        <f>VLOOKUP(C1950,基本字段定义!$B$3:$C$3008,2,FALSE)</f>
        <v>769</v>
      </c>
      <c r="E1950" s="67" t="s">
        <v>537</v>
      </c>
      <c r="F1950" s="67"/>
      <c r="G1950" s="69" t="s">
        <v>1293</v>
      </c>
    </row>
    <row r="1951" spans="2:7">
      <c r="B1951" s="266"/>
      <c r="C1951" s="65" t="s">
        <v>1294</v>
      </c>
      <c r="D1951" s="66">
        <f>VLOOKUP(C1951,基本字段定义!$B$3:$C$3008,2,FALSE)</f>
        <v>775</v>
      </c>
      <c r="E1951" s="67" t="s">
        <v>537</v>
      </c>
      <c r="F1951" s="67"/>
      <c r="G1951" s="69" t="s">
        <v>1295</v>
      </c>
    </row>
    <row r="1952" spans="2:7">
      <c r="B1952" s="270"/>
      <c r="C1952" s="71"/>
      <c r="D1952" s="79"/>
      <c r="E1952" s="73"/>
      <c r="F1952" s="73"/>
      <c r="G1952" s="74"/>
    </row>
    <row r="1954" spans="2:7">
      <c r="B1954" s="53" t="s">
        <v>146</v>
      </c>
      <c r="C1954" s="80">
        <v>204831</v>
      </c>
      <c r="D1954" s="81"/>
      <c r="E1954" s="82"/>
      <c r="F1954" s="54" t="s">
        <v>326</v>
      </c>
      <c r="G1954" s="55"/>
    </row>
    <row r="1955" spans="2:7">
      <c r="B1955" s="56" t="s">
        <v>327</v>
      </c>
      <c r="C1955" s="83" t="str">
        <f>VLOOKUP(C1954,功能索引!$C$3:$D$269,2,FALSE)</f>
        <v>信用可委托数量查询</v>
      </c>
      <c r="D1955" s="84"/>
      <c r="E1955" s="85"/>
      <c r="F1955" s="57" t="s">
        <v>148</v>
      </c>
      <c r="G1955" s="58">
        <f>VLOOKUP(C1954,功能索引!$C$3:$E2344,3,FALSE)</f>
        <v>0</v>
      </c>
    </row>
    <row r="1956" spans="2:7">
      <c r="B1956" s="269" t="s">
        <v>328</v>
      </c>
      <c r="C1956" s="95"/>
      <c r="D1956" s="96"/>
      <c r="E1956" s="96"/>
      <c r="F1956" s="96"/>
      <c r="G1956" s="97"/>
    </row>
    <row r="1957" spans="2:7">
      <c r="B1957" s="270"/>
      <c r="C1957" s="98"/>
      <c r="D1957" s="99"/>
      <c r="E1957" s="99"/>
      <c r="F1957" s="99"/>
      <c r="G1957" s="100"/>
    </row>
    <row r="1958" spans="2:7">
      <c r="B1958" s="271" t="s">
        <v>329</v>
      </c>
      <c r="C1958" s="54" t="s">
        <v>330</v>
      </c>
      <c r="D1958" s="54" t="s">
        <v>331</v>
      </c>
      <c r="E1958" s="54" t="s">
        <v>332</v>
      </c>
      <c r="F1958" s="54" t="s">
        <v>333</v>
      </c>
      <c r="G1958" s="60" t="s">
        <v>334</v>
      </c>
    </row>
    <row r="1959" spans="2:7">
      <c r="B1959" s="269"/>
      <c r="C1959" s="61" t="s">
        <v>402</v>
      </c>
      <c r="D1959" s="62">
        <f>VLOOKUP(C1959,基本字段定义!$B$3:$C$3008,2,FALSE)</f>
        <v>605</v>
      </c>
      <c r="E1959" s="63" t="s">
        <v>403</v>
      </c>
      <c r="F1959" s="63" t="s">
        <v>152</v>
      </c>
      <c r="G1959" s="64" t="s">
        <v>404</v>
      </c>
    </row>
    <row r="1960" spans="2:7">
      <c r="B1960" s="269"/>
      <c r="C1960" s="61" t="s">
        <v>405</v>
      </c>
      <c r="D1960" s="62">
        <f>VLOOKUP(C1960,基本字段定义!$B$3:$C$3008,2,FALSE)</f>
        <v>571</v>
      </c>
      <c r="E1960" s="63" t="s">
        <v>406</v>
      </c>
      <c r="F1960" s="63" t="s">
        <v>152</v>
      </c>
      <c r="G1960" s="64" t="s">
        <v>407</v>
      </c>
    </row>
    <row r="1961" spans="2:7">
      <c r="B1961" s="269"/>
      <c r="C1961" s="61" t="s">
        <v>361</v>
      </c>
      <c r="D1961" s="62">
        <f>VLOOKUP(C1961,基本字段定义!$B$3:$C$3008,2,FALSE)</f>
        <v>599</v>
      </c>
      <c r="E1961" s="63" t="s">
        <v>362</v>
      </c>
      <c r="F1961" s="63" t="s">
        <v>152</v>
      </c>
      <c r="G1961" s="64" t="s">
        <v>363</v>
      </c>
    </row>
    <row r="1962" spans="2:7">
      <c r="B1962" s="269"/>
      <c r="C1962" s="61" t="s">
        <v>640</v>
      </c>
      <c r="D1962" s="62">
        <f>VLOOKUP(C1962,基本字段定义!$B$3:$C$3008,2,FALSE)</f>
        <v>719</v>
      </c>
      <c r="E1962" s="63" t="s">
        <v>480</v>
      </c>
      <c r="F1962" s="63" t="s">
        <v>152</v>
      </c>
      <c r="G1962" s="64" t="s">
        <v>657</v>
      </c>
    </row>
    <row r="1963" spans="2:7">
      <c r="B1963" s="269"/>
      <c r="C1963" s="61" t="s">
        <v>841</v>
      </c>
      <c r="D1963" s="62">
        <f>VLOOKUP(C1963,基本字段定义!$B$3:$C$3008,2,FALSE)</f>
        <v>595</v>
      </c>
      <c r="E1963" s="63" t="s">
        <v>337</v>
      </c>
      <c r="F1963" s="63" t="s">
        <v>152</v>
      </c>
      <c r="G1963" s="64" t="s">
        <v>1296</v>
      </c>
    </row>
    <row r="1964" spans="2:7">
      <c r="B1964" s="269"/>
      <c r="C1964" s="61" t="s">
        <v>859</v>
      </c>
      <c r="D1964" s="62">
        <f>VLOOKUP(C1964,基本字段定义!$B$3:$C$3008,2,FALSE)</f>
        <v>1013</v>
      </c>
      <c r="E1964" s="63" t="s">
        <v>337</v>
      </c>
      <c r="F1964" s="101" t="s">
        <v>152</v>
      </c>
      <c r="G1964" s="64" t="s">
        <v>860</v>
      </c>
    </row>
    <row r="1965" spans="2:7">
      <c r="B1965" s="269"/>
      <c r="C1965" s="61" t="s">
        <v>778</v>
      </c>
      <c r="D1965" s="62">
        <f>VLOOKUP(C1965,基本字段定义!$B$3:$C$3008,2,FALSE)</f>
        <v>682</v>
      </c>
      <c r="E1965" s="63" t="s">
        <v>537</v>
      </c>
      <c r="F1965" s="102"/>
      <c r="G1965" s="64" t="s">
        <v>1297</v>
      </c>
    </row>
    <row r="1966" spans="2:7">
      <c r="B1966" s="269"/>
      <c r="C1966" s="61" t="s">
        <v>1298</v>
      </c>
      <c r="D1966" s="62">
        <f>VLOOKUP(C1966,基本字段定义!$B$3:$C$3008,2,FALSE)</f>
        <v>863</v>
      </c>
      <c r="E1966" s="63" t="s">
        <v>406</v>
      </c>
      <c r="F1966" s="102"/>
      <c r="G1966" s="64" t="s">
        <v>1299</v>
      </c>
    </row>
    <row r="1967" spans="2:7">
      <c r="B1967" s="269"/>
      <c r="C1967" s="61" t="s">
        <v>575</v>
      </c>
      <c r="D1967" s="62">
        <f>VLOOKUP(C1967,基本字段定义!$B$3:$C$3008,2,FALSE)</f>
        <v>797</v>
      </c>
      <c r="E1967" s="63" t="s">
        <v>339</v>
      </c>
      <c r="F1967" s="63"/>
      <c r="G1967" s="64" t="s">
        <v>1300</v>
      </c>
    </row>
    <row r="1968" spans="2:7">
      <c r="B1968" s="269" t="s">
        <v>335</v>
      </c>
      <c r="C1968" s="65" t="s">
        <v>336</v>
      </c>
      <c r="D1968" s="66">
        <f>VLOOKUP(C1968,基本字段定义!$B$3:$C$3008,2,FALSE)</f>
        <v>507</v>
      </c>
      <c r="E1968" s="67" t="s">
        <v>337</v>
      </c>
      <c r="F1968" s="67"/>
      <c r="G1968" s="68" t="s">
        <v>1209</v>
      </c>
    </row>
    <row r="1969" spans="2:7">
      <c r="B1969" s="269"/>
      <c r="C1969" s="65" t="s">
        <v>338</v>
      </c>
      <c r="D1969" s="66">
        <f>VLOOKUP(C1969,基本字段定义!$B$3:$C$3008,2,FALSE)</f>
        <v>508</v>
      </c>
      <c r="E1969" s="67" t="s">
        <v>339</v>
      </c>
      <c r="F1969" s="67"/>
      <c r="G1969" s="69" t="s">
        <v>1210</v>
      </c>
    </row>
    <row r="1970" spans="2:7">
      <c r="B1970" s="269"/>
      <c r="C1970" s="65" t="s">
        <v>776</v>
      </c>
      <c r="D1970" s="66">
        <f>VLOOKUP(C1970,基本字段定义!$B$3:$C$3008,2,FALSE)</f>
        <v>684</v>
      </c>
      <c r="E1970" s="67" t="s">
        <v>537</v>
      </c>
      <c r="F1970" s="67"/>
      <c r="G1970" s="69" t="s">
        <v>861</v>
      </c>
    </row>
    <row r="1971" spans="2:7">
      <c r="B1971" s="270"/>
      <c r="C1971" s="71"/>
      <c r="D1971" s="79"/>
      <c r="E1971" s="73"/>
      <c r="F1971" s="73"/>
      <c r="G1971" s="74"/>
    </row>
    <row r="1973" spans="2:7">
      <c r="B1973" s="53" t="s">
        <v>146</v>
      </c>
      <c r="C1973" s="80">
        <v>204850</v>
      </c>
      <c r="D1973" s="81"/>
      <c r="E1973" s="82"/>
      <c r="F1973" s="54" t="s">
        <v>326</v>
      </c>
      <c r="G1973" s="55"/>
    </row>
    <row r="1974" spans="2:7">
      <c r="B1974" s="56" t="s">
        <v>327</v>
      </c>
      <c r="C1974" s="83" t="str">
        <f>VLOOKUP(C1973,功能索引!$C$3:$D$269,2,FALSE)</f>
        <v>担保物划转</v>
      </c>
      <c r="D1974" s="84"/>
      <c r="E1974" s="85"/>
      <c r="F1974" s="57" t="s">
        <v>148</v>
      </c>
      <c r="G1974" s="58">
        <f>VLOOKUP(C1973,功能索引!$C$3:$E2362,3,FALSE)</f>
        <v>0</v>
      </c>
    </row>
    <row r="1975" spans="2:7">
      <c r="B1975" s="269" t="s">
        <v>328</v>
      </c>
      <c r="C1975" s="95"/>
      <c r="D1975" s="96"/>
      <c r="E1975" s="96"/>
      <c r="F1975" s="96"/>
      <c r="G1975" s="97"/>
    </row>
    <row r="1976" spans="2:7">
      <c r="B1976" s="270"/>
      <c r="C1976" s="98"/>
      <c r="D1976" s="99"/>
      <c r="E1976" s="99"/>
      <c r="F1976" s="99"/>
      <c r="G1976" s="100"/>
    </row>
    <row r="1977" spans="2:7">
      <c r="B1977" s="271" t="s">
        <v>329</v>
      </c>
      <c r="C1977" s="54" t="s">
        <v>330</v>
      </c>
      <c r="D1977" s="54" t="s">
        <v>331</v>
      </c>
      <c r="E1977" s="54" t="s">
        <v>332</v>
      </c>
      <c r="F1977" s="54" t="s">
        <v>333</v>
      </c>
      <c r="G1977" s="60" t="s">
        <v>334</v>
      </c>
    </row>
    <row r="1978" spans="2:7">
      <c r="B1978" s="269"/>
      <c r="C1978" s="61" t="s">
        <v>402</v>
      </c>
      <c r="D1978" s="62">
        <f>VLOOKUP(C1978,基本字段定义!$B$3:$C$3008,2,FALSE)</f>
        <v>605</v>
      </c>
      <c r="E1978" s="63" t="s">
        <v>403</v>
      </c>
      <c r="F1978" s="63" t="s">
        <v>152</v>
      </c>
      <c r="G1978" s="64" t="s">
        <v>404</v>
      </c>
    </row>
    <row r="1979" spans="2:7">
      <c r="B1979" s="269"/>
      <c r="C1979" s="61" t="s">
        <v>405</v>
      </c>
      <c r="D1979" s="62">
        <f>VLOOKUP(C1979,基本字段定义!$B$3:$C$3008,2,FALSE)</f>
        <v>571</v>
      </c>
      <c r="E1979" s="63" t="s">
        <v>406</v>
      </c>
      <c r="F1979" s="63" t="s">
        <v>152</v>
      </c>
      <c r="G1979" s="64" t="s">
        <v>1301</v>
      </c>
    </row>
    <row r="1980" spans="2:7">
      <c r="B1980" s="269"/>
      <c r="C1980" s="61" t="s">
        <v>1298</v>
      </c>
      <c r="D1980" s="62">
        <f>VLOOKUP(C1980,基本字段定义!$B$3:$C$3008,2,FALSE)</f>
        <v>863</v>
      </c>
      <c r="E1980" s="63" t="s">
        <v>406</v>
      </c>
      <c r="F1980" s="63" t="s">
        <v>152</v>
      </c>
      <c r="G1980" s="64" t="s">
        <v>1299</v>
      </c>
    </row>
    <row r="1981" spans="2:7">
      <c r="B1981" s="269"/>
      <c r="C1981" s="61" t="s">
        <v>361</v>
      </c>
      <c r="D1981" s="62">
        <f>VLOOKUP(C1981,基本字段定义!$B$3:$C$3008,2,FALSE)</f>
        <v>599</v>
      </c>
      <c r="E1981" s="63" t="s">
        <v>362</v>
      </c>
      <c r="F1981" s="63" t="s">
        <v>152</v>
      </c>
      <c r="G1981" s="64" t="s">
        <v>363</v>
      </c>
    </row>
    <row r="1982" spans="2:7">
      <c r="B1982" s="269"/>
      <c r="C1982" s="61" t="s">
        <v>640</v>
      </c>
      <c r="D1982" s="62">
        <f>VLOOKUP(C1982,基本字段定义!$B$3:$C$3008,2,FALSE)</f>
        <v>719</v>
      </c>
      <c r="E1982" s="63" t="s">
        <v>480</v>
      </c>
      <c r="F1982" s="63" t="s">
        <v>152</v>
      </c>
      <c r="G1982" s="64" t="s">
        <v>657</v>
      </c>
    </row>
    <row r="1983" spans="2:7">
      <c r="B1983" s="269"/>
      <c r="C1983" s="61" t="s">
        <v>841</v>
      </c>
      <c r="D1983" s="62">
        <f>VLOOKUP(C1983,基本字段定义!$B$3:$C$3008,2,FALSE)</f>
        <v>595</v>
      </c>
      <c r="E1983" s="63" t="s">
        <v>337</v>
      </c>
      <c r="F1983" s="63" t="s">
        <v>152</v>
      </c>
      <c r="G1983" s="64" t="s">
        <v>1302</v>
      </c>
    </row>
    <row r="1984" spans="2:7">
      <c r="B1984" s="269"/>
      <c r="C1984" s="61" t="s">
        <v>776</v>
      </c>
      <c r="D1984" s="62">
        <f>VLOOKUP(C1984,基本字段定义!$B$3:$C$3008,2,FALSE)</f>
        <v>684</v>
      </c>
      <c r="E1984" s="63" t="s">
        <v>337</v>
      </c>
      <c r="F1984" s="102" t="s">
        <v>152</v>
      </c>
      <c r="G1984" s="64" t="s">
        <v>1303</v>
      </c>
    </row>
    <row r="1985" spans="2:7">
      <c r="B1985" s="269" t="s">
        <v>335</v>
      </c>
      <c r="C1985" s="65" t="s">
        <v>336</v>
      </c>
      <c r="D1985" s="66">
        <f>VLOOKUP(C1985,基本字段定义!$B$3:$C$3008,2,FALSE)</f>
        <v>507</v>
      </c>
      <c r="E1985" s="67" t="s">
        <v>337</v>
      </c>
      <c r="F1985" s="67"/>
      <c r="G1985" s="68" t="s">
        <v>1209</v>
      </c>
    </row>
    <row r="1986" spans="2:7">
      <c r="B1986" s="269"/>
      <c r="C1986" s="65" t="s">
        <v>338</v>
      </c>
      <c r="D1986" s="66">
        <f>VLOOKUP(C1986,基本字段定义!$B$3:$C$3008,2,FALSE)</f>
        <v>508</v>
      </c>
      <c r="E1986" s="67" t="s">
        <v>339</v>
      </c>
      <c r="F1986" s="67"/>
      <c r="G1986" s="69" t="s">
        <v>1210</v>
      </c>
    </row>
    <row r="1987" spans="2:7">
      <c r="B1987" s="269"/>
      <c r="C1987" s="65" t="s">
        <v>882</v>
      </c>
      <c r="D1987" s="66">
        <f>VLOOKUP(C1987,基本字段定义!$B$3:$C$3008,2,FALSE)</f>
        <v>681</v>
      </c>
      <c r="E1987" s="67" t="s">
        <v>337</v>
      </c>
      <c r="F1987" s="67"/>
      <c r="G1987" s="69" t="s">
        <v>884</v>
      </c>
    </row>
    <row r="1988" spans="2:7">
      <c r="B1988" s="270"/>
      <c r="C1988" s="71"/>
      <c r="D1988" s="79"/>
      <c r="E1988" s="73"/>
      <c r="F1988" s="73"/>
      <c r="G1988" s="74"/>
    </row>
    <row r="1990" spans="2:7">
      <c r="B1990" s="53" t="s">
        <v>146</v>
      </c>
      <c r="C1990" s="80">
        <v>204851</v>
      </c>
      <c r="D1990" s="81"/>
      <c r="E1990" s="82"/>
      <c r="F1990" s="54" t="s">
        <v>326</v>
      </c>
      <c r="G1990" s="55"/>
    </row>
    <row r="1991" spans="2:7">
      <c r="B1991" s="56" t="s">
        <v>327</v>
      </c>
      <c r="C1991" s="83" t="str">
        <f>VLOOKUP(C1990,功能索引!$C$3:$D$269,2,FALSE)</f>
        <v>余券划转</v>
      </c>
      <c r="D1991" s="84"/>
      <c r="E1991" s="85"/>
      <c r="F1991" s="57" t="s">
        <v>148</v>
      </c>
      <c r="G1991" s="58">
        <f>VLOOKUP(C1990,功能索引!$C$3:$E2379,3,FALSE)</f>
        <v>0</v>
      </c>
    </row>
    <row r="1992" spans="2:7">
      <c r="B1992" s="269" t="s">
        <v>328</v>
      </c>
      <c r="C1992" s="95"/>
      <c r="D1992" s="96"/>
      <c r="E1992" s="96"/>
      <c r="F1992" s="96"/>
      <c r="G1992" s="97"/>
    </row>
    <row r="1993" spans="2:7">
      <c r="B1993" s="270"/>
      <c r="C1993" s="98"/>
      <c r="D1993" s="99"/>
      <c r="E1993" s="99"/>
      <c r="F1993" s="99"/>
      <c r="G1993" s="100"/>
    </row>
    <row r="1994" spans="2:7">
      <c r="B1994" s="287" t="s">
        <v>329</v>
      </c>
      <c r="C1994" s="54" t="s">
        <v>330</v>
      </c>
      <c r="D1994" s="54" t="s">
        <v>331</v>
      </c>
      <c r="E1994" s="54" t="s">
        <v>332</v>
      </c>
      <c r="F1994" s="54" t="s">
        <v>333</v>
      </c>
      <c r="G1994" s="60" t="s">
        <v>334</v>
      </c>
    </row>
    <row r="1995" spans="2:7">
      <c r="B1995" s="267"/>
      <c r="C1995" s="61" t="s">
        <v>402</v>
      </c>
      <c r="D1995" s="62">
        <f>VLOOKUP(C1995,基本字段定义!$B$3:$C$3008,2,FALSE)</f>
        <v>605</v>
      </c>
      <c r="E1995" s="63" t="s">
        <v>403</v>
      </c>
      <c r="F1995" s="63" t="s">
        <v>152</v>
      </c>
      <c r="G1995" s="64" t="s">
        <v>404</v>
      </c>
    </row>
    <row r="1996" spans="2:7">
      <c r="B1996" s="267"/>
      <c r="C1996" s="61" t="s">
        <v>405</v>
      </c>
      <c r="D1996" s="62">
        <f>VLOOKUP(C1996,基本字段定义!$B$3:$C$3008,2,FALSE)</f>
        <v>571</v>
      </c>
      <c r="E1996" s="63" t="s">
        <v>406</v>
      </c>
      <c r="F1996" s="63" t="s">
        <v>152</v>
      </c>
      <c r="G1996" s="64" t="s">
        <v>1301</v>
      </c>
    </row>
    <row r="1997" spans="2:7">
      <c r="B1997" s="267"/>
      <c r="C1997" s="61" t="s">
        <v>361</v>
      </c>
      <c r="D1997" s="62">
        <f>VLOOKUP(C1997,基本字段定义!$B$3:$C$3008,2,FALSE)</f>
        <v>599</v>
      </c>
      <c r="E1997" s="63" t="s">
        <v>362</v>
      </c>
      <c r="F1997" s="63" t="s">
        <v>152</v>
      </c>
      <c r="G1997" s="64" t="s">
        <v>363</v>
      </c>
    </row>
    <row r="1998" spans="2:7">
      <c r="B1998" s="267"/>
      <c r="C1998" s="61" t="s">
        <v>640</v>
      </c>
      <c r="D1998" s="62">
        <f>VLOOKUP(C1998,基本字段定义!$B$3:$C$3008,2,FALSE)</f>
        <v>719</v>
      </c>
      <c r="E1998" s="63" t="s">
        <v>480</v>
      </c>
      <c r="F1998" s="63" t="s">
        <v>152</v>
      </c>
      <c r="G1998" s="64" t="s">
        <v>657</v>
      </c>
    </row>
    <row r="1999" spans="2:7">
      <c r="B1999" s="267"/>
      <c r="C1999" s="61" t="s">
        <v>776</v>
      </c>
      <c r="D1999" s="62">
        <f>VLOOKUP(C1999,基本字段定义!$B$3:$C$3008,2,FALSE)</f>
        <v>684</v>
      </c>
      <c r="E1999" s="63" t="s">
        <v>337</v>
      </c>
      <c r="F1999" s="102" t="s">
        <v>152</v>
      </c>
      <c r="G1999" s="64" t="s">
        <v>1303</v>
      </c>
    </row>
    <row r="2000" spans="2:7">
      <c r="B2000" s="286"/>
      <c r="C2000" s="61" t="s">
        <v>575</v>
      </c>
      <c r="D2000" s="62">
        <f>VLOOKUP(C2000,基本字段定义!$B$3:$C$3008,2,FALSE)</f>
        <v>797</v>
      </c>
      <c r="E2000" s="63" t="s">
        <v>339</v>
      </c>
      <c r="F2000" s="63"/>
      <c r="G2000" s="64" t="s">
        <v>1304</v>
      </c>
    </row>
    <row r="2001" spans="2:7">
      <c r="B2001" s="269" t="s">
        <v>335</v>
      </c>
      <c r="C2001" s="65" t="s">
        <v>336</v>
      </c>
      <c r="D2001" s="66">
        <f>VLOOKUP(C2001,基本字段定义!$B$3:$C$3008,2,FALSE)</f>
        <v>507</v>
      </c>
      <c r="E2001" s="67" t="s">
        <v>337</v>
      </c>
      <c r="F2001" s="67"/>
      <c r="G2001" s="68" t="s">
        <v>1209</v>
      </c>
    </row>
    <row r="2002" spans="2:7">
      <c r="B2002" s="269"/>
      <c r="C2002" s="65" t="s">
        <v>338</v>
      </c>
      <c r="D2002" s="66">
        <f>VLOOKUP(C2002,基本字段定义!$B$3:$C$3008,2,FALSE)</f>
        <v>508</v>
      </c>
      <c r="E2002" s="67" t="s">
        <v>339</v>
      </c>
      <c r="F2002" s="67"/>
      <c r="G2002" s="69" t="s">
        <v>1210</v>
      </c>
    </row>
    <row r="2003" spans="2:7">
      <c r="B2003" s="269"/>
      <c r="C2003" s="65" t="s">
        <v>882</v>
      </c>
      <c r="D2003" s="66">
        <f>VLOOKUP(C2003,基本字段定义!$B$3:$C$3008,2,FALSE)</f>
        <v>681</v>
      </c>
      <c r="E2003" s="67" t="s">
        <v>337</v>
      </c>
      <c r="F2003" s="67"/>
      <c r="G2003" s="69" t="s">
        <v>884</v>
      </c>
    </row>
    <row r="2004" spans="2:7">
      <c r="B2004" s="270"/>
      <c r="C2004" s="71"/>
      <c r="D2004" s="79"/>
      <c r="E2004" s="73"/>
      <c r="F2004" s="73"/>
      <c r="G2004" s="74"/>
    </row>
    <row r="2006" spans="2:7">
      <c r="B2006" s="53" t="s">
        <v>146</v>
      </c>
      <c r="C2006" s="80">
        <v>204852</v>
      </c>
      <c r="D2006" s="81"/>
      <c r="E2006" s="82"/>
      <c r="F2006" s="54" t="s">
        <v>326</v>
      </c>
      <c r="G2006" s="55"/>
    </row>
    <row r="2007" spans="2:7">
      <c r="B2007" s="56" t="s">
        <v>327</v>
      </c>
      <c r="C2007" s="83" t="str">
        <f>VLOOKUP(C2006,功能索引!$C$3:$D$269,2,FALSE)</f>
        <v>还券划转</v>
      </c>
      <c r="D2007" s="84"/>
      <c r="E2007" s="85"/>
      <c r="F2007" s="57" t="s">
        <v>148</v>
      </c>
      <c r="G2007" s="58">
        <f>VLOOKUP(C2006,功能索引!$C$3:$E2396,3,FALSE)</f>
        <v>0</v>
      </c>
    </row>
    <row r="2008" spans="2:7">
      <c r="B2008" s="269" t="s">
        <v>328</v>
      </c>
      <c r="C2008" s="95"/>
      <c r="D2008" s="96"/>
      <c r="E2008" s="96"/>
      <c r="F2008" s="96"/>
      <c r="G2008" s="97"/>
    </row>
    <row r="2009" spans="2:7">
      <c r="B2009" s="270"/>
      <c r="C2009" s="98"/>
      <c r="D2009" s="99"/>
      <c r="E2009" s="99"/>
      <c r="F2009" s="99"/>
      <c r="G2009" s="100"/>
    </row>
    <row r="2010" spans="2:7">
      <c r="B2010" s="287" t="s">
        <v>329</v>
      </c>
      <c r="C2010" s="54" t="s">
        <v>330</v>
      </c>
      <c r="D2010" s="54" t="s">
        <v>331</v>
      </c>
      <c r="E2010" s="54" t="s">
        <v>332</v>
      </c>
      <c r="F2010" s="54" t="s">
        <v>333</v>
      </c>
      <c r="G2010" s="60" t="s">
        <v>334</v>
      </c>
    </row>
    <row r="2011" spans="2:7">
      <c r="B2011" s="267"/>
      <c r="C2011" s="61" t="s">
        <v>402</v>
      </c>
      <c r="D2011" s="62">
        <f>VLOOKUP(C2011,基本字段定义!$B$3:$C$3008,2,FALSE)</f>
        <v>605</v>
      </c>
      <c r="E2011" s="63" t="s">
        <v>403</v>
      </c>
      <c r="F2011" s="63" t="s">
        <v>152</v>
      </c>
      <c r="G2011" s="64" t="s">
        <v>404</v>
      </c>
    </row>
    <row r="2012" spans="2:7">
      <c r="B2012" s="267"/>
      <c r="C2012" s="61" t="s">
        <v>405</v>
      </c>
      <c r="D2012" s="62">
        <f>VLOOKUP(C2012,基本字段定义!$B$3:$C$3008,2,FALSE)</f>
        <v>571</v>
      </c>
      <c r="E2012" s="63" t="s">
        <v>406</v>
      </c>
      <c r="F2012" s="63" t="s">
        <v>152</v>
      </c>
      <c r="G2012" s="64" t="s">
        <v>1301</v>
      </c>
    </row>
    <row r="2013" spans="2:7">
      <c r="B2013" s="267"/>
      <c r="C2013" s="61" t="s">
        <v>361</v>
      </c>
      <c r="D2013" s="62">
        <f>VLOOKUP(C2013,基本字段定义!$B$3:$C$3008,2,FALSE)</f>
        <v>599</v>
      </c>
      <c r="E2013" s="63" t="s">
        <v>362</v>
      </c>
      <c r="F2013" s="63" t="s">
        <v>152</v>
      </c>
      <c r="G2013" s="64" t="s">
        <v>363</v>
      </c>
    </row>
    <row r="2014" spans="2:7">
      <c r="B2014" s="267"/>
      <c r="C2014" s="61" t="s">
        <v>640</v>
      </c>
      <c r="D2014" s="62">
        <f>VLOOKUP(C2014,基本字段定义!$B$3:$C$3008,2,FALSE)</f>
        <v>719</v>
      </c>
      <c r="E2014" s="63" t="s">
        <v>480</v>
      </c>
      <c r="F2014" s="63" t="s">
        <v>152</v>
      </c>
      <c r="G2014" s="64" t="s">
        <v>657</v>
      </c>
    </row>
    <row r="2015" spans="2:7">
      <c r="B2015" s="267"/>
      <c r="C2015" s="61" t="s">
        <v>776</v>
      </c>
      <c r="D2015" s="62">
        <f>VLOOKUP(C2015,基本字段定义!$B$3:$C$3008,2,FALSE)</f>
        <v>684</v>
      </c>
      <c r="E2015" s="63" t="s">
        <v>337</v>
      </c>
      <c r="F2015" s="102" t="s">
        <v>152</v>
      </c>
      <c r="G2015" s="64" t="s">
        <v>1305</v>
      </c>
    </row>
    <row r="2016" spans="2:7">
      <c r="B2016" s="286"/>
      <c r="C2016" s="61" t="s">
        <v>575</v>
      </c>
      <c r="D2016" s="62">
        <f>VLOOKUP(C2016,基本字段定义!$B$3:$C$3008,2,FALSE)</f>
        <v>797</v>
      </c>
      <c r="E2016" s="63" t="s">
        <v>339</v>
      </c>
      <c r="F2016" s="63"/>
      <c r="G2016" s="64" t="s">
        <v>1306</v>
      </c>
    </row>
    <row r="2017" spans="2:7">
      <c r="B2017" s="269" t="s">
        <v>335</v>
      </c>
      <c r="C2017" s="65" t="s">
        <v>336</v>
      </c>
      <c r="D2017" s="66">
        <f>VLOOKUP(C2017,基本字段定义!$B$3:$C$3008,2,FALSE)</f>
        <v>507</v>
      </c>
      <c r="E2017" s="67" t="s">
        <v>337</v>
      </c>
      <c r="F2017" s="67"/>
      <c r="G2017" s="68" t="s">
        <v>1209</v>
      </c>
    </row>
    <row r="2018" spans="2:7">
      <c r="B2018" s="269"/>
      <c r="C2018" s="65" t="s">
        <v>338</v>
      </c>
      <c r="D2018" s="66">
        <f>VLOOKUP(C2018,基本字段定义!$B$3:$C$3008,2,FALSE)</f>
        <v>508</v>
      </c>
      <c r="E2018" s="67" t="s">
        <v>339</v>
      </c>
      <c r="F2018" s="67"/>
      <c r="G2018" s="69" t="s">
        <v>1210</v>
      </c>
    </row>
    <row r="2019" spans="2:7">
      <c r="B2019" s="269"/>
      <c r="C2019" s="65" t="s">
        <v>882</v>
      </c>
      <c r="D2019" s="66">
        <f>VLOOKUP(C2019,基本字段定义!$B$3:$C$3008,2,FALSE)</f>
        <v>681</v>
      </c>
      <c r="E2019" s="67" t="s">
        <v>337</v>
      </c>
      <c r="F2019" s="67"/>
      <c r="G2019" s="69" t="s">
        <v>884</v>
      </c>
    </row>
    <row r="2020" spans="2:7">
      <c r="B2020" s="270"/>
      <c r="C2020" s="71"/>
      <c r="D2020" s="79"/>
      <c r="E2020" s="73"/>
      <c r="F2020" s="73"/>
      <c r="G2020" s="74"/>
    </row>
    <row r="2022" spans="2:7">
      <c r="B2022" s="53" t="s">
        <v>146</v>
      </c>
      <c r="C2022" s="80">
        <v>204853</v>
      </c>
      <c r="D2022" s="81"/>
      <c r="E2022" s="82"/>
      <c r="F2022" s="54" t="s">
        <v>326</v>
      </c>
      <c r="G2022" s="55"/>
    </row>
    <row r="2023" spans="2:7">
      <c r="B2023" s="56" t="s">
        <v>327</v>
      </c>
      <c r="C2023" s="83" t="str">
        <f>VLOOKUP(C2022,功能索引!$C$3:$D$269,2,FALSE)</f>
        <v>现金直接还款</v>
      </c>
      <c r="D2023" s="84"/>
      <c r="E2023" s="85"/>
      <c r="F2023" s="57" t="s">
        <v>148</v>
      </c>
      <c r="G2023" s="58">
        <f>VLOOKUP(C2022,功能索引!$C$3:$E2412,3,FALSE)</f>
        <v>0</v>
      </c>
    </row>
    <row r="2024" spans="2:7">
      <c r="B2024" s="269" t="s">
        <v>328</v>
      </c>
      <c r="C2024" s="95"/>
      <c r="D2024" s="96"/>
      <c r="E2024" s="96"/>
      <c r="F2024" s="96"/>
      <c r="G2024" s="97"/>
    </row>
    <row r="2025" spans="2:7">
      <c r="B2025" s="270"/>
      <c r="C2025" s="98"/>
      <c r="D2025" s="99"/>
      <c r="E2025" s="99"/>
      <c r="F2025" s="99"/>
      <c r="G2025" s="100"/>
    </row>
    <row r="2026" spans="2:7">
      <c r="B2026" s="287" t="s">
        <v>329</v>
      </c>
      <c r="C2026" s="54" t="s">
        <v>330</v>
      </c>
      <c r="D2026" s="54" t="s">
        <v>331</v>
      </c>
      <c r="E2026" s="54" t="s">
        <v>332</v>
      </c>
      <c r="F2026" s="54" t="s">
        <v>333</v>
      </c>
      <c r="G2026" s="60" t="s">
        <v>334</v>
      </c>
    </row>
    <row r="2027" spans="2:7">
      <c r="B2027" s="267"/>
      <c r="C2027" s="61" t="s">
        <v>402</v>
      </c>
      <c r="D2027" s="62">
        <f>VLOOKUP(C2027,基本字段定义!$B$3:$C$3008,2,FALSE)</f>
        <v>605</v>
      </c>
      <c r="E2027" s="63" t="s">
        <v>403</v>
      </c>
      <c r="F2027" s="63" t="s">
        <v>152</v>
      </c>
      <c r="G2027" s="64" t="s">
        <v>404</v>
      </c>
    </row>
    <row r="2028" spans="2:7">
      <c r="B2028" s="267"/>
      <c r="C2028" s="61" t="s">
        <v>522</v>
      </c>
      <c r="D2028" s="62">
        <f>VLOOKUP(C2028,基本字段定义!$B$3:$C$3008,2,FALSE)</f>
        <v>716</v>
      </c>
      <c r="E2028" s="63" t="s">
        <v>553</v>
      </c>
      <c r="F2028" s="63" t="s">
        <v>152</v>
      </c>
      <c r="G2028" s="64" t="s">
        <v>1307</v>
      </c>
    </row>
    <row r="2029" spans="2:7">
      <c r="B2029" s="267"/>
      <c r="C2029" s="61" t="s">
        <v>1308</v>
      </c>
      <c r="D2029" s="62">
        <f>VLOOKUP(C2029,基本字段定义!$B$3:$C$3008,2,FALSE)</f>
        <v>1430</v>
      </c>
      <c r="E2029" s="63" t="s">
        <v>537</v>
      </c>
      <c r="F2029" s="63" t="s">
        <v>152</v>
      </c>
      <c r="G2029" s="64" t="s">
        <v>1309</v>
      </c>
    </row>
    <row r="2030" spans="2:7">
      <c r="B2030" s="286"/>
      <c r="C2030" s="61" t="s">
        <v>575</v>
      </c>
      <c r="D2030" s="62">
        <f>VLOOKUP(C2030,基本字段定义!$B$3:$C$3008,2,FALSE)</f>
        <v>797</v>
      </c>
      <c r="E2030" s="63" t="s">
        <v>339</v>
      </c>
      <c r="F2030" s="63"/>
      <c r="G2030" s="64" t="s">
        <v>1310</v>
      </c>
    </row>
    <row r="2031" spans="2:7">
      <c r="B2031" s="269" t="s">
        <v>335</v>
      </c>
      <c r="C2031" s="65" t="s">
        <v>336</v>
      </c>
      <c r="D2031" s="66">
        <f>VLOOKUP(C2031,基本字段定义!$B$3:$C$3008,2,FALSE)</f>
        <v>507</v>
      </c>
      <c r="E2031" s="67" t="s">
        <v>337</v>
      </c>
      <c r="F2031" s="67"/>
      <c r="G2031" s="68" t="s">
        <v>1209</v>
      </c>
    </row>
    <row r="2032" spans="2:7">
      <c r="B2032" s="269"/>
      <c r="C2032" s="65" t="s">
        <v>338</v>
      </c>
      <c r="D2032" s="66">
        <f>VLOOKUP(C2032,基本字段定义!$B$3:$C$3008,2,FALSE)</f>
        <v>508</v>
      </c>
      <c r="E2032" s="67" t="s">
        <v>339</v>
      </c>
      <c r="F2032" s="67"/>
      <c r="G2032" s="69" t="s">
        <v>1210</v>
      </c>
    </row>
    <row r="2033" spans="2:7">
      <c r="B2033" s="270"/>
      <c r="C2033" s="71"/>
      <c r="D2033" s="79"/>
      <c r="E2033" s="73"/>
      <c r="F2033" s="73"/>
      <c r="G2033" s="74"/>
    </row>
    <row r="2035" spans="2:7">
      <c r="B2035" s="53" t="s">
        <v>146</v>
      </c>
      <c r="C2035" s="80">
        <v>204887</v>
      </c>
      <c r="D2035" s="81"/>
      <c r="E2035" s="82"/>
      <c r="F2035" s="54" t="s">
        <v>326</v>
      </c>
      <c r="G2035" s="55"/>
    </row>
    <row r="2036" spans="2:7">
      <c r="B2036" s="56" t="s">
        <v>327</v>
      </c>
      <c r="C2036" s="83" t="str">
        <f>VLOOKUP(C2035,功能索引!$C$3:$D$269,2,FALSE)</f>
        <v>现金替代还券</v>
      </c>
      <c r="D2036" s="84"/>
      <c r="E2036" s="85"/>
      <c r="F2036" s="57" t="s">
        <v>148</v>
      </c>
      <c r="G2036" s="58">
        <f>VLOOKUP(C2035,功能索引!$C$3:$E2425,3,FALSE)</f>
        <v>0</v>
      </c>
    </row>
    <row r="2037" spans="2:7">
      <c r="B2037" s="269" t="s">
        <v>328</v>
      </c>
      <c r="C2037" s="95"/>
      <c r="D2037" s="96"/>
      <c r="E2037" s="96"/>
      <c r="F2037" s="96"/>
      <c r="G2037" s="97"/>
    </row>
    <row r="2038" spans="2:7">
      <c r="B2038" s="270"/>
      <c r="C2038" s="98"/>
      <c r="D2038" s="99"/>
      <c r="E2038" s="99"/>
      <c r="F2038" s="99"/>
      <c r="G2038" s="100"/>
    </row>
    <row r="2039" spans="2:7">
      <c r="B2039" s="287" t="s">
        <v>329</v>
      </c>
      <c r="C2039" s="54" t="s">
        <v>330</v>
      </c>
      <c r="D2039" s="54" t="s">
        <v>331</v>
      </c>
      <c r="E2039" s="54" t="s">
        <v>332</v>
      </c>
      <c r="F2039" s="54" t="s">
        <v>333</v>
      </c>
      <c r="G2039" s="60" t="s">
        <v>334</v>
      </c>
    </row>
    <row r="2040" spans="2:7">
      <c r="B2040" s="267"/>
      <c r="C2040" s="61" t="s">
        <v>402</v>
      </c>
      <c r="D2040" s="62">
        <f>VLOOKUP(C2040,基本字段定义!$B$3:$C$3008,2,FALSE)</f>
        <v>605</v>
      </c>
      <c r="E2040" s="63" t="s">
        <v>403</v>
      </c>
      <c r="F2040" s="63" t="s">
        <v>152</v>
      </c>
      <c r="G2040" s="64" t="s">
        <v>404</v>
      </c>
    </row>
    <row r="2041" spans="2:7">
      <c r="B2041" s="267"/>
      <c r="C2041" s="61" t="s">
        <v>405</v>
      </c>
      <c r="D2041" s="62">
        <f>VLOOKUP(C2041,基本字段定义!$B$3:$C$3008,2,FALSE)</f>
        <v>571</v>
      </c>
      <c r="E2041" s="63" t="s">
        <v>406</v>
      </c>
      <c r="F2041" s="63" t="s">
        <v>152</v>
      </c>
      <c r="G2041" s="64" t="s">
        <v>1301</v>
      </c>
    </row>
    <row r="2042" spans="2:7">
      <c r="B2042" s="267"/>
      <c r="C2042" s="61" t="s">
        <v>361</v>
      </c>
      <c r="D2042" s="62">
        <f>VLOOKUP(C2042,基本字段定义!$B$3:$C$3008,2,FALSE)</f>
        <v>599</v>
      </c>
      <c r="E2042" s="63" t="s">
        <v>362</v>
      </c>
      <c r="F2042" s="63" t="s">
        <v>152</v>
      </c>
      <c r="G2042" s="64" t="s">
        <v>363</v>
      </c>
    </row>
    <row r="2043" spans="2:7">
      <c r="B2043" s="267"/>
      <c r="C2043" s="61" t="s">
        <v>640</v>
      </c>
      <c r="D2043" s="62">
        <f>VLOOKUP(C2043,基本字段定义!$B$3:$C$3008,2,FALSE)</f>
        <v>719</v>
      </c>
      <c r="E2043" s="63" t="s">
        <v>480</v>
      </c>
      <c r="F2043" s="63" t="s">
        <v>152</v>
      </c>
      <c r="G2043" s="64" t="s">
        <v>657</v>
      </c>
    </row>
    <row r="2044" spans="2:7">
      <c r="B2044" s="267"/>
      <c r="C2044" s="61" t="s">
        <v>575</v>
      </c>
      <c r="D2044" s="62">
        <f>VLOOKUP(C2044,基本字段定义!$B$3:$C$3008,2,FALSE)</f>
        <v>797</v>
      </c>
      <c r="E2044" s="63" t="s">
        <v>339</v>
      </c>
      <c r="F2044" s="63" t="s">
        <v>152</v>
      </c>
      <c r="G2044" s="64" t="s">
        <v>1311</v>
      </c>
    </row>
    <row r="2045" spans="2:7">
      <c r="B2045" s="267"/>
      <c r="C2045" s="61" t="s">
        <v>776</v>
      </c>
      <c r="D2045" s="62">
        <f>VLOOKUP(C2045,基本字段定义!$B$3:$C$3008,2,FALSE)</f>
        <v>684</v>
      </c>
      <c r="E2045" s="63" t="s">
        <v>337</v>
      </c>
      <c r="F2045" s="102" t="s">
        <v>152</v>
      </c>
      <c r="G2045" s="64" t="s">
        <v>1305</v>
      </c>
    </row>
    <row r="2046" spans="2:7">
      <c r="B2046" s="286"/>
      <c r="C2046" s="61" t="s">
        <v>778</v>
      </c>
      <c r="D2046" s="62">
        <f>VLOOKUP(C2046,基本字段定义!$B$3:$C$3008,2,FALSE)</f>
        <v>682</v>
      </c>
      <c r="E2046" s="63" t="s">
        <v>537</v>
      </c>
      <c r="F2046" s="63" t="s">
        <v>152</v>
      </c>
      <c r="G2046" s="64" t="s">
        <v>1312</v>
      </c>
    </row>
    <row r="2047" spans="2:7">
      <c r="B2047" s="269" t="s">
        <v>335</v>
      </c>
      <c r="C2047" s="65" t="s">
        <v>336</v>
      </c>
      <c r="D2047" s="66">
        <f>VLOOKUP(C2047,基本字段定义!$B$3:$C$3008,2,FALSE)</f>
        <v>507</v>
      </c>
      <c r="E2047" s="67" t="s">
        <v>337</v>
      </c>
      <c r="F2047" s="67"/>
      <c r="G2047" s="68" t="s">
        <v>1209</v>
      </c>
    </row>
    <row r="2048" spans="2:7">
      <c r="B2048" s="269"/>
      <c r="C2048" s="65" t="s">
        <v>338</v>
      </c>
      <c r="D2048" s="66">
        <f>VLOOKUP(C2048,基本字段定义!$B$3:$C$3008,2,FALSE)</f>
        <v>508</v>
      </c>
      <c r="E2048" s="67" t="s">
        <v>339</v>
      </c>
      <c r="F2048" s="67"/>
      <c r="G2048" s="69" t="s">
        <v>1210</v>
      </c>
    </row>
    <row r="2049" spans="2:7">
      <c r="B2049" s="270"/>
      <c r="C2049" s="71"/>
      <c r="D2049" s="79"/>
      <c r="E2049" s="73"/>
      <c r="F2049" s="73"/>
      <c r="G2049" s="74"/>
    </row>
    <row r="2051" spans="2:7">
      <c r="B2051" s="53" t="s">
        <v>146</v>
      </c>
      <c r="C2051" s="80">
        <v>204856</v>
      </c>
      <c r="D2051" s="81"/>
      <c r="E2051" s="82"/>
      <c r="F2051" s="54" t="s">
        <v>326</v>
      </c>
      <c r="G2051" s="55"/>
    </row>
    <row r="2052" spans="2:7">
      <c r="B2052" s="56" t="s">
        <v>327</v>
      </c>
      <c r="C2052" s="83" t="str">
        <f>VLOOKUP(C2051,功能索引!$C$3:$D$269,2,FALSE)</f>
        <v>信用交易</v>
      </c>
      <c r="D2052" s="84"/>
      <c r="E2052" s="85"/>
      <c r="F2052" s="57" t="s">
        <v>148</v>
      </c>
      <c r="G2052" s="58">
        <f>VLOOKUP(C2051,功能索引!$C$3:$E2440,3,FALSE)</f>
        <v>0</v>
      </c>
    </row>
    <row r="2053" spans="2:7">
      <c r="B2053" s="269" t="s">
        <v>328</v>
      </c>
      <c r="C2053" s="95"/>
      <c r="D2053" s="96"/>
      <c r="E2053" s="96"/>
      <c r="F2053" s="96"/>
      <c r="G2053" s="97"/>
    </row>
    <row r="2054" spans="2:7">
      <c r="B2054" s="270"/>
      <c r="C2054" s="98"/>
      <c r="D2054" s="99"/>
      <c r="E2054" s="99"/>
      <c r="F2054" s="99"/>
      <c r="G2054" s="100"/>
    </row>
    <row r="2055" spans="2:7">
      <c r="B2055" s="287" t="s">
        <v>329</v>
      </c>
      <c r="C2055" s="54" t="s">
        <v>330</v>
      </c>
      <c r="D2055" s="54" t="s">
        <v>331</v>
      </c>
      <c r="E2055" s="54" t="s">
        <v>332</v>
      </c>
      <c r="F2055" s="54" t="s">
        <v>333</v>
      </c>
      <c r="G2055" s="60" t="s">
        <v>334</v>
      </c>
    </row>
    <row r="2056" spans="2:7">
      <c r="B2056" s="267"/>
      <c r="C2056" s="61" t="s">
        <v>402</v>
      </c>
      <c r="D2056" s="62">
        <f>VLOOKUP(C2056,基本字段定义!$B$3:$C$3008,2,FALSE)</f>
        <v>605</v>
      </c>
      <c r="E2056" s="63" t="s">
        <v>403</v>
      </c>
      <c r="F2056" s="63" t="s">
        <v>152</v>
      </c>
      <c r="G2056" s="64" t="s">
        <v>404</v>
      </c>
    </row>
    <row r="2057" spans="2:7">
      <c r="B2057" s="267"/>
      <c r="C2057" s="61" t="s">
        <v>405</v>
      </c>
      <c r="D2057" s="62">
        <f>VLOOKUP(C2057,基本字段定义!$B$3:$C$3008,2,FALSE)</f>
        <v>571</v>
      </c>
      <c r="E2057" s="63" t="s">
        <v>406</v>
      </c>
      <c r="F2057" s="63" t="s">
        <v>152</v>
      </c>
      <c r="G2057" s="64" t="s">
        <v>1301</v>
      </c>
    </row>
    <row r="2058" spans="2:7">
      <c r="B2058" s="267"/>
      <c r="C2058" s="61" t="s">
        <v>361</v>
      </c>
      <c r="D2058" s="62">
        <f>VLOOKUP(C2058,基本字段定义!$B$3:$C$3008,2,FALSE)</f>
        <v>599</v>
      </c>
      <c r="E2058" s="63" t="s">
        <v>362</v>
      </c>
      <c r="F2058" s="63" t="s">
        <v>152</v>
      </c>
      <c r="G2058" s="64" t="s">
        <v>363</v>
      </c>
    </row>
    <row r="2059" spans="2:7">
      <c r="B2059" s="267"/>
      <c r="C2059" s="61" t="s">
        <v>640</v>
      </c>
      <c r="D2059" s="62">
        <f>VLOOKUP(C2059,基本字段定义!$B$3:$C$3008,2,FALSE)</f>
        <v>719</v>
      </c>
      <c r="E2059" s="63" t="s">
        <v>480</v>
      </c>
      <c r="F2059" s="63" t="s">
        <v>152</v>
      </c>
      <c r="G2059" s="64" t="s">
        <v>657</v>
      </c>
    </row>
    <row r="2060" spans="2:7">
      <c r="B2060" s="267"/>
      <c r="C2060" s="61" t="s">
        <v>841</v>
      </c>
      <c r="D2060" s="62">
        <f>VLOOKUP(C2060,基本字段定义!$B$3:$C$3008,2,FALSE)</f>
        <v>595</v>
      </c>
      <c r="E2060" s="63" t="s">
        <v>337</v>
      </c>
      <c r="F2060" s="63" t="s">
        <v>152</v>
      </c>
      <c r="G2060" s="64" t="s">
        <v>1313</v>
      </c>
    </row>
    <row r="2061" spans="2:7">
      <c r="B2061" s="267"/>
      <c r="C2061" s="61" t="s">
        <v>776</v>
      </c>
      <c r="D2061" s="62">
        <f>VLOOKUP(C2061,基本字段定义!$B$3:$C$3008,2,FALSE)</f>
        <v>684</v>
      </c>
      <c r="E2061" s="63" t="s">
        <v>337</v>
      </c>
      <c r="F2061" s="102" t="s">
        <v>152</v>
      </c>
      <c r="G2061" s="64" t="s">
        <v>777</v>
      </c>
    </row>
    <row r="2062" spans="2:7">
      <c r="B2062" s="267"/>
      <c r="C2062" s="61" t="s">
        <v>778</v>
      </c>
      <c r="D2062" s="62">
        <f>VLOOKUP(C2062,基本字段定义!$B$3:$C$3008,2,FALSE)</f>
        <v>682</v>
      </c>
      <c r="E2062" s="63" t="s">
        <v>537</v>
      </c>
      <c r="F2062" s="101" t="s">
        <v>152</v>
      </c>
      <c r="G2062" s="64" t="s">
        <v>779</v>
      </c>
    </row>
    <row r="2063" spans="2:7">
      <c r="B2063" s="267"/>
      <c r="C2063" s="61" t="s">
        <v>859</v>
      </c>
      <c r="D2063" s="62">
        <f>VLOOKUP(C2063,基本字段定义!$B$3:$C$3008,2,FALSE)</f>
        <v>1013</v>
      </c>
      <c r="E2063" s="63" t="s">
        <v>337</v>
      </c>
      <c r="F2063" s="102"/>
      <c r="G2063" s="64" t="s">
        <v>1314</v>
      </c>
    </row>
    <row r="2064" spans="2:7">
      <c r="B2064" s="286"/>
      <c r="C2064" s="61" t="s">
        <v>575</v>
      </c>
      <c r="D2064" s="62">
        <f>VLOOKUP(C2064,基本字段定义!$B$3:$C$3008,2,FALSE)</f>
        <v>797</v>
      </c>
      <c r="E2064" s="63" t="s">
        <v>339</v>
      </c>
      <c r="F2064" s="63"/>
      <c r="G2064" s="64" t="s">
        <v>1315</v>
      </c>
    </row>
    <row r="2065" spans="2:7">
      <c r="B2065" s="269" t="s">
        <v>335</v>
      </c>
      <c r="C2065" s="65" t="s">
        <v>336</v>
      </c>
      <c r="D2065" s="66">
        <f>VLOOKUP(C2065,基本字段定义!$B$3:$C$3008,2,FALSE)</f>
        <v>507</v>
      </c>
      <c r="E2065" s="67" t="s">
        <v>337</v>
      </c>
      <c r="F2065" s="67"/>
      <c r="G2065" s="68" t="s">
        <v>1209</v>
      </c>
    </row>
    <row r="2066" spans="2:7">
      <c r="B2066" s="269"/>
      <c r="C2066" s="65" t="s">
        <v>338</v>
      </c>
      <c r="D2066" s="66">
        <f>VLOOKUP(C2066,基本字段定义!$B$3:$C$3008,2,FALSE)</f>
        <v>508</v>
      </c>
      <c r="E2066" s="67" t="s">
        <v>339</v>
      </c>
      <c r="F2066" s="67"/>
      <c r="G2066" s="69" t="s">
        <v>1210</v>
      </c>
    </row>
    <row r="2067" spans="2:7">
      <c r="B2067" s="269"/>
      <c r="C2067" s="65" t="s">
        <v>882</v>
      </c>
      <c r="D2067" s="66">
        <f>VLOOKUP(C2067,基本字段定义!$B$3:$C$3008,2,FALSE)</f>
        <v>681</v>
      </c>
      <c r="E2067" s="67" t="s">
        <v>337</v>
      </c>
      <c r="F2067" s="67"/>
      <c r="G2067" s="69" t="s">
        <v>884</v>
      </c>
    </row>
    <row r="2068" spans="2:7">
      <c r="B2068" s="270"/>
      <c r="C2068" s="71"/>
      <c r="D2068" s="79"/>
      <c r="E2068" s="73"/>
      <c r="F2068" s="73"/>
      <c r="G2068" s="74"/>
    </row>
    <row r="2070" spans="2:7">
      <c r="B2070" s="53" t="s">
        <v>146</v>
      </c>
      <c r="C2070" s="80">
        <v>204857</v>
      </c>
      <c r="D2070" s="81"/>
      <c r="E2070" s="82"/>
      <c r="F2070" s="54" t="s">
        <v>326</v>
      </c>
      <c r="G2070" s="55"/>
    </row>
    <row r="2071" spans="2:7">
      <c r="B2071" s="56" t="s">
        <v>327</v>
      </c>
      <c r="C2071" s="83" t="str">
        <f>VLOOKUP(C2070,功能索引!$C$3:$D$269,2,FALSE)</f>
        <v>融资融券交易</v>
      </c>
      <c r="D2071" s="84"/>
      <c r="E2071" s="85"/>
      <c r="F2071" s="57" t="s">
        <v>148</v>
      </c>
      <c r="G2071" s="58">
        <f>VLOOKUP(C2070,功能索引!$C$3:$E2459,3,FALSE)</f>
        <v>0</v>
      </c>
    </row>
    <row r="2072" spans="2:7">
      <c r="B2072" s="269" t="s">
        <v>328</v>
      </c>
      <c r="C2072" s="95"/>
      <c r="D2072" s="96"/>
      <c r="E2072" s="96"/>
      <c r="F2072" s="96"/>
      <c r="G2072" s="97"/>
    </row>
    <row r="2073" spans="2:7">
      <c r="B2073" s="270"/>
      <c r="C2073" s="98"/>
      <c r="D2073" s="99"/>
      <c r="E2073" s="99"/>
      <c r="F2073" s="99"/>
      <c r="G2073" s="100"/>
    </row>
    <row r="2074" spans="2:7">
      <c r="B2074" s="287" t="s">
        <v>329</v>
      </c>
      <c r="C2074" s="54" t="s">
        <v>330</v>
      </c>
      <c r="D2074" s="54" t="s">
        <v>331</v>
      </c>
      <c r="E2074" s="54" t="s">
        <v>332</v>
      </c>
      <c r="F2074" s="54" t="s">
        <v>333</v>
      </c>
      <c r="G2074" s="60" t="s">
        <v>334</v>
      </c>
    </row>
    <row r="2075" spans="2:7">
      <c r="B2075" s="267"/>
      <c r="C2075" s="61" t="s">
        <v>402</v>
      </c>
      <c r="D2075" s="62">
        <f>VLOOKUP(C2075,基本字段定义!$B$3:$C$3008,2,FALSE)</f>
        <v>605</v>
      </c>
      <c r="E2075" s="63" t="s">
        <v>403</v>
      </c>
      <c r="F2075" s="63" t="s">
        <v>152</v>
      </c>
      <c r="G2075" s="64" t="s">
        <v>404</v>
      </c>
    </row>
    <row r="2076" spans="2:7">
      <c r="B2076" s="267"/>
      <c r="C2076" s="61" t="s">
        <v>405</v>
      </c>
      <c r="D2076" s="62">
        <f>VLOOKUP(C2076,基本字段定义!$B$3:$C$3008,2,FALSE)</f>
        <v>571</v>
      </c>
      <c r="E2076" s="63" t="s">
        <v>406</v>
      </c>
      <c r="F2076" s="63" t="s">
        <v>152</v>
      </c>
      <c r="G2076" s="64" t="s">
        <v>1301</v>
      </c>
    </row>
    <row r="2077" spans="2:7">
      <c r="B2077" s="267"/>
      <c r="C2077" s="61" t="s">
        <v>361</v>
      </c>
      <c r="D2077" s="62">
        <f>VLOOKUP(C2077,基本字段定义!$B$3:$C$3008,2,FALSE)</f>
        <v>599</v>
      </c>
      <c r="E2077" s="63" t="s">
        <v>362</v>
      </c>
      <c r="F2077" s="63" t="s">
        <v>152</v>
      </c>
      <c r="G2077" s="64" t="s">
        <v>363</v>
      </c>
    </row>
    <row r="2078" spans="2:7">
      <c r="B2078" s="267"/>
      <c r="C2078" s="61" t="s">
        <v>640</v>
      </c>
      <c r="D2078" s="62">
        <f>VLOOKUP(C2078,基本字段定义!$B$3:$C$3008,2,FALSE)</f>
        <v>719</v>
      </c>
      <c r="E2078" s="63" t="s">
        <v>480</v>
      </c>
      <c r="F2078" s="63" t="s">
        <v>152</v>
      </c>
      <c r="G2078" s="64" t="s">
        <v>657</v>
      </c>
    </row>
    <row r="2079" spans="2:7">
      <c r="B2079" s="267"/>
      <c r="C2079" s="61" t="s">
        <v>841</v>
      </c>
      <c r="D2079" s="62">
        <f>VLOOKUP(C2079,基本字段定义!$B$3:$C$3008,2,FALSE)</f>
        <v>595</v>
      </c>
      <c r="E2079" s="63" t="s">
        <v>337</v>
      </c>
      <c r="F2079" s="63" t="s">
        <v>152</v>
      </c>
      <c r="G2079" s="64" t="s">
        <v>1316</v>
      </c>
    </row>
    <row r="2080" spans="2:7">
      <c r="B2080" s="267"/>
      <c r="C2080" s="61" t="s">
        <v>776</v>
      </c>
      <c r="D2080" s="62">
        <f>VLOOKUP(C2080,基本字段定义!$B$3:$C$3008,2,FALSE)</f>
        <v>684</v>
      </c>
      <c r="E2080" s="63" t="s">
        <v>337</v>
      </c>
      <c r="F2080" s="102" t="s">
        <v>152</v>
      </c>
      <c r="G2080" s="64" t="s">
        <v>777</v>
      </c>
    </row>
    <row r="2081" spans="2:7">
      <c r="B2081" s="267"/>
      <c r="C2081" s="61" t="s">
        <v>778</v>
      </c>
      <c r="D2081" s="62">
        <f>VLOOKUP(C2081,基本字段定义!$B$3:$C$3008,2,FALSE)</f>
        <v>682</v>
      </c>
      <c r="E2081" s="63" t="s">
        <v>537</v>
      </c>
      <c r="F2081" s="101" t="s">
        <v>152</v>
      </c>
      <c r="G2081" s="64" t="s">
        <v>779</v>
      </c>
    </row>
    <row r="2082" spans="2:7">
      <c r="B2082" s="267"/>
      <c r="C2082" s="61" t="s">
        <v>859</v>
      </c>
      <c r="D2082" s="62">
        <f>VLOOKUP(C2082,基本字段定义!$B$3:$C$3008,2,FALSE)</f>
        <v>1013</v>
      </c>
      <c r="E2082" s="63" t="s">
        <v>337</v>
      </c>
      <c r="F2082" s="102"/>
      <c r="G2082" s="64" t="s">
        <v>1314</v>
      </c>
    </row>
    <row r="2083" spans="2:7">
      <c r="B2083" s="269" t="s">
        <v>335</v>
      </c>
      <c r="C2083" s="65" t="s">
        <v>336</v>
      </c>
      <c r="D2083" s="66">
        <f>VLOOKUP(C2083,基本字段定义!$B$3:$C$3008,2,FALSE)</f>
        <v>507</v>
      </c>
      <c r="E2083" s="67" t="s">
        <v>337</v>
      </c>
      <c r="F2083" s="67"/>
      <c r="G2083" s="68" t="s">
        <v>1209</v>
      </c>
    </row>
    <row r="2084" spans="2:7">
      <c r="B2084" s="269"/>
      <c r="C2084" s="65" t="s">
        <v>338</v>
      </c>
      <c r="D2084" s="66">
        <f>VLOOKUP(C2084,基本字段定义!$B$3:$C$3008,2,FALSE)</f>
        <v>508</v>
      </c>
      <c r="E2084" s="67" t="s">
        <v>339</v>
      </c>
      <c r="F2084" s="67"/>
      <c r="G2084" s="69" t="s">
        <v>1210</v>
      </c>
    </row>
    <row r="2085" spans="2:7">
      <c r="B2085" s="269"/>
      <c r="C2085" s="65" t="s">
        <v>882</v>
      </c>
      <c r="D2085" s="66">
        <f>VLOOKUP(C2085,基本字段定义!$B$3:$C$3008,2,FALSE)</f>
        <v>681</v>
      </c>
      <c r="E2085" s="67" t="s">
        <v>337</v>
      </c>
      <c r="F2085" s="67"/>
      <c r="G2085" s="69" t="s">
        <v>884</v>
      </c>
    </row>
    <row r="2086" spans="2:7">
      <c r="B2086" s="270"/>
      <c r="C2086" s="71"/>
      <c r="D2086" s="79"/>
      <c r="E2086" s="73"/>
      <c r="F2086" s="73"/>
      <c r="G2086" s="74"/>
    </row>
    <row r="2088" spans="2:7">
      <c r="B2088" s="53" t="s">
        <v>146</v>
      </c>
      <c r="C2088" s="80">
        <v>204858</v>
      </c>
      <c r="D2088" s="81"/>
      <c r="E2088" s="82"/>
      <c r="F2088" s="54" t="s">
        <v>326</v>
      </c>
      <c r="G2088" s="55"/>
    </row>
    <row r="2089" spans="2:7">
      <c r="B2089" s="56" t="s">
        <v>327</v>
      </c>
      <c r="C2089" s="83" t="str">
        <f>VLOOKUP(C2088,功能索引!$C$3:$D$269,2,FALSE)</f>
        <v>信用委托撤单</v>
      </c>
      <c r="D2089" s="84"/>
      <c r="E2089" s="85"/>
      <c r="F2089" s="57" t="s">
        <v>148</v>
      </c>
      <c r="G2089" s="58">
        <f>VLOOKUP(C2088,功能索引!$C$3:$E2477,3,FALSE)</f>
        <v>0</v>
      </c>
    </row>
    <row r="2090" spans="2:7">
      <c r="B2090" s="269" t="s">
        <v>328</v>
      </c>
      <c r="C2090" s="95"/>
      <c r="D2090" s="96"/>
      <c r="E2090" s="96"/>
      <c r="F2090" s="96"/>
      <c r="G2090" s="97"/>
    </row>
    <row r="2091" spans="2:7">
      <c r="B2091" s="270"/>
      <c r="C2091" s="98"/>
      <c r="D2091" s="99"/>
      <c r="E2091" s="99"/>
      <c r="F2091" s="99"/>
      <c r="G2091" s="100"/>
    </row>
    <row r="2092" spans="2:7">
      <c r="B2092" s="287" t="s">
        <v>329</v>
      </c>
      <c r="C2092" s="54" t="s">
        <v>330</v>
      </c>
      <c r="D2092" s="54" t="s">
        <v>331</v>
      </c>
      <c r="E2092" s="54" t="s">
        <v>332</v>
      </c>
      <c r="F2092" s="54" t="s">
        <v>333</v>
      </c>
      <c r="G2092" s="60" t="s">
        <v>334</v>
      </c>
    </row>
    <row r="2093" spans="2:7">
      <c r="B2093" s="267"/>
      <c r="C2093" s="61" t="s">
        <v>402</v>
      </c>
      <c r="D2093" s="62">
        <f>VLOOKUP(C2093,基本字段定义!$B$3:$C$3008,2,FALSE)</f>
        <v>605</v>
      </c>
      <c r="E2093" s="63" t="s">
        <v>403</v>
      </c>
      <c r="F2093" s="63" t="s">
        <v>152</v>
      </c>
      <c r="G2093" s="64" t="s">
        <v>404</v>
      </c>
    </row>
    <row r="2094" spans="2:7">
      <c r="B2094" s="267"/>
      <c r="C2094" s="61" t="s">
        <v>405</v>
      </c>
      <c r="D2094" s="62">
        <f>VLOOKUP(C2094,基本字段定义!$B$3:$C$3008,2,FALSE)</f>
        <v>571</v>
      </c>
      <c r="E2094" s="63" t="s">
        <v>406</v>
      </c>
      <c r="F2094" s="63" t="s">
        <v>152</v>
      </c>
      <c r="G2094" s="64" t="s">
        <v>1301</v>
      </c>
    </row>
    <row r="2095" spans="2:7">
      <c r="B2095" s="267"/>
      <c r="C2095" s="61" t="s">
        <v>361</v>
      </c>
      <c r="D2095" s="62">
        <f>VLOOKUP(C2095,基本字段定义!$B$3:$C$3008,2,FALSE)</f>
        <v>599</v>
      </c>
      <c r="E2095" s="63" t="s">
        <v>362</v>
      </c>
      <c r="F2095" s="63" t="s">
        <v>152</v>
      </c>
      <c r="G2095" s="64" t="s">
        <v>363</v>
      </c>
    </row>
    <row r="2096" spans="2:7">
      <c r="B2096" s="267"/>
      <c r="C2096" s="61" t="s">
        <v>882</v>
      </c>
      <c r="D2096" s="62">
        <f>VLOOKUP(C2096,基本字段定义!$B$3:$C$3008,2,FALSE)</f>
        <v>681</v>
      </c>
      <c r="E2096" s="63" t="s">
        <v>337</v>
      </c>
      <c r="F2096" s="63" t="s">
        <v>152</v>
      </c>
      <c r="G2096" s="64" t="s">
        <v>884</v>
      </c>
    </row>
    <row r="2097" spans="2:7">
      <c r="B2097" s="269" t="s">
        <v>335</v>
      </c>
      <c r="C2097" s="65" t="s">
        <v>336</v>
      </c>
      <c r="D2097" s="66">
        <f>VLOOKUP(C2097,基本字段定义!$B$3:$C$3008,2,FALSE)</f>
        <v>507</v>
      </c>
      <c r="E2097" s="67" t="s">
        <v>337</v>
      </c>
      <c r="F2097" s="67"/>
      <c r="G2097" s="68" t="s">
        <v>1209</v>
      </c>
    </row>
    <row r="2098" spans="2:7">
      <c r="B2098" s="269"/>
      <c r="C2098" s="65" t="s">
        <v>338</v>
      </c>
      <c r="D2098" s="66">
        <f>VLOOKUP(C2098,基本字段定义!$B$3:$C$3008,2,FALSE)</f>
        <v>508</v>
      </c>
      <c r="E2098" s="67" t="s">
        <v>339</v>
      </c>
      <c r="F2098" s="67"/>
      <c r="G2098" s="69" t="s">
        <v>1210</v>
      </c>
    </row>
    <row r="2099" spans="2:7">
      <c r="B2099" s="270"/>
      <c r="C2099" s="71"/>
      <c r="D2099" s="79"/>
      <c r="E2099" s="73"/>
      <c r="F2099" s="73"/>
      <c r="G2099" s="74"/>
    </row>
    <row r="2101" spans="2:7">
      <c r="B2101" s="53" t="s">
        <v>146</v>
      </c>
      <c r="C2101" s="80">
        <v>204833</v>
      </c>
      <c r="D2101" s="81"/>
      <c r="E2101" s="82"/>
      <c r="F2101" s="54" t="s">
        <v>326</v>
      </c>
      <c r="G2101" s="55"/>
    </row>
    <row r="2102" spans="2:7">
      <c r="B2102" s="56" t="s">
        <v>327</v>
      </c>
      <c r="C2102" s="83" t="str">
        <f>VLOOKUP(C2101,功能索引!$C$3:$D$269,2,FALSE)</f>
        <v>信用负债信息查询</v>
      </c>
      <c r="D2102" s="84"/>
      <c r="E2102" s="85"/>
      <c r="F2102" s="57" t="s">
        <v>148</v>
      </c>
      <c r="G2102" s="58" t="str">
        <f>VLOOKUP(C2101,功能索引!$C$3:$E2344,3,FALSE)</f>
        <v>Y</v>
      </c>
    </row>
    <row r="2103" spans="2:7">
      <c r="B2103" s="269" t="s">
        <v>328</v>
      </c>
      <c r="C2103" s="95"/>
      <c r="D2103" s="96"/>
      <c r="E2103" s="96"/>
      <c r="F2103" s="96"/>
      <c r="G2103" s="97"/>
    </row>
    <row r="2104" spans="2:7">
      <c r="B2104" s="270"/>
      <c r="C2104" s="98"/>
      <c r="D2104" s="99"/>
      <c r="E2104" s="99"/>
      <c r="F2104" s="99"/>
      <c r="G2104" s="100"/>
    </row>
    <row r="2105" spans="2:7">
      <c r="B2105" s="271" t="s">
        <v>329</v>
      </c>
      <c r="C2105" s="54" t="s">
        <v>330</v>
      </c>
      <c r="D2105" s="54" t="s">
        <v>331</v>
      </c>
      <c r="E2105" s="54" t="s">
        <v>332</v>
      </c>
      <c r="F2105" s="54" t="s">
        <v>333</v>
      </c>
      <c r="G2105" s="60" t="s">
        <v>334</v>
      </c>
    </row>
    <row r="2106" spans="2:7">
      <c r="B2106" s="269"/>
      <c r="C2106" s="61" t="s">
        <v>402</v>
      </c>
      <c r="D2106" s="62">
        <f>VLOOKUP(C2106,基本字段定义!$B$3:$C$3008,2,FALSE)</f>
        <v>605</v>
      </c>
      <c r="E2106" s="63" t="s">
        <v>403</v>
      </c>
      <c r="F2106" s="63" t="s">
        <v>152</v>
      </c>
      <c r="G2106" s="64" t="s">
        <v>1317</v>
      </c>
    </row>
    <row r="2107" spans="2:7">
      <c r="B2107" s="269"/>
      <c r="C2107" s="61" t="s">
        <v>361</v>
      </c>
      <c r="D2107" s="62">
        <f>VLOOKUP(C2107,基本字段定义!$B$3:$C$3008,2,FALSE)</f>
        <v>599</v>
      </c>
      <c r="E2107" s="63" t="s">
        <v>362</v>
      </c>
      <c r="F2107" s="63"/>
      <c r="G2107" s="64" t="s">
        <v>363</v>
      </c>
    </row>
    <row r="2108" spans="2:7">
      <c r="B2108" s="269"/>
      <c r="C2108" s="61" t="s">
        <v>640</v>
      </c>
      <c r="D2108" s="62">
        <f>VLOOKUP(C2108,基本字段定义!$B$3:$C$3008,2,FALSE)</f>
        <v>719</v>
      </c>
      <c r="E2108" s="63" t="s">
        <v>480</v>
      </c>
      <c r="F2108" s="63"/>
      <c r="G2108" s="64" t="s">
        <v>657</v>
      </c>
    </row>
    <row r="2109" spans="2:7">
      <c r="B2109" s="269"/>
      <c r="C2109" s="61" t="s">
        <v>575</v>
      </c>
      <c r="D2109" s="62">
        <f>VLOOKUP(C2109,基本字段定义!$B$3:$C$3008,2,FALSE)</f>
        <v>797</v>
      </c>
      <c r="E2109" s="63" t="s">
        <v>337</v>
      </c>
      <c r="F2109" s="63"/>
      <c r="G2109" s="64" t="s">
        <v>576</v>
      </c>
    </row>
    <row r="2110" spans="2:7">
      <c r="B2110" s="269"/>
      <c r="C2110" s="61" t="s">
        <v>1318</v>
      </c>
      <c r="D2110" s="62">
        <f>VLOOKUP(C2110,基本字段定义!$B$3:$C$3008,2,FALSE)</f>
        <v>557</v>
      </c>
      <c r="E2110" s="63" t="s">
        <v>339</v>
      </c>
      <c r="F2110" s="63"/>
      <c r="G2110" s="64" t="s">
        <v>1319</v>
      </c>
    </row>
    <row r="2111" spans="2:7">
      <c r="B2111" s="269"/>
      <c r="C2111" s="61" t="s">
        <v>1320</v>
      </c>
      <c r="D2111" s="62">
        <f>VLOOKUP(C2111,基本字段定义!$B$3:$C$3008,2,FALSE)</f>
        <v>556</v>
      </c>
      <c r="E2111" s="63" t="s">
        <v>339</v>
      </c>
      <c r="F2111" s="63"/>
      <c r="G2111" s="64" t="s">
        <v>1321</v>
      </c>
    </row>
    <row r="2112" spans="2:7">
      <c r="B2112" s="269"/>
      <c r="C2112" s="61" t="s">
        <v>484</v>
      </c>
      <c r="D2112" s="62">
        <f>VLOOKUP(C2112,基本字段定义!$B$3:$C$3008,2,FALSE)</f>
        <v>618</v>
      </c>
      <c r="E2112" s="63" t="s">
        <v>1322</v>
      </c>
      <c r="F2112" s="63"/>
      <c r="G2112" s="64" t="s">
        <v>1101</v>
      </c>
    </row>
    <row r="2113" spans="2:7">
      <c r="B2113" s="269"/>
      <c r="C2113" s="61" t="s">
        <v>486</v>
      </c>
      <c r="D2113" s="62">
        <f>VLOOKUP(C2113,基本字段定义!$B$3:$C$3008,2,FALSE)</f>
        <v>590</v>
      </c>
      <c r="E2113" s="63" t="s">
        <v>1322</v>
      </c>
      <c r="F2113" s="63"/>
      <c r="G2113" s="64" t="s">
        <v>1102</v>
      </c>
    </row>
    <row r="2114" spans="2:7">
      <c r="B2114" s="269"/>
      <c r="C2114" s="61" t="s">
        <v>1110</v>
      </c>
      <c r="D2114" s="62">
        <f>VLOOKUP(C2114,基本字段定义!$B$3:$C$3008,2,FALSE)</f>
        <v>1240</v>
      </c>
      <c r="E2114" s="63" t="s">
        <v>1322</v>
      </c>
      <c r="F2114" s="63"/>
      <c r="G2114" s="64" t="s">
        <v>941</v>
      </c>
    </row>
    <row r="2115" spans="2:7">
      <c r="B2115" s="269"/>
      <c r="C2115" s="61" t="s">
        <v>841</v>
      </c>
      <c r="D2115" s="62">
        <f>VLOOKUP(C2115,基本字段定义!$B$3:$C$3008,2,FALSE)</f>
        <v>595</v>
      </c>
      <c r="E2115" s="63" t="s">
        <v>337</v>
      </c>
      <c r="F2115" s="63"/>
      <c r="G2115" s="64" t="s">
        <v>1323</v>
      </c>
    </row>
    <row r="2116" spans="2:7">
      <c r="B2116" s="269"/>
      <c r="C2116" s="61" t="s">
        <v>1324</v>
      </c>
      <c r="D2116" s="62">
        <f>VLOOKUP(C2116,基本字段定义!$B$3:$C$3008,2,FALSE)</f>
        <v>1887</v>
      </c>
      <c r="E2116" s="63" t="s">
        <v>337</v>
      </c>
      <c r="F2116" s="63"/>
      <c r="G2116" s="64" t="s">
        <v>1325</v>
      </c>
    </row>
    <row r="2117" spans="2:7">
      <c r="B2117" s="269"/>
      <c r="C2117" s="61" t="s">
        <v>731</v>
      </c>
      <c r="D2117" s="62">
        <f>VLOOKUP(C2117,基本字段定义!$B$3:$C$3008,2,FALSE)</f>
        <v>9108</v>
      </c>
      <c r="E2117" s="63" t="s">
        <v>337</v>
      </c>
      <c r="F2117" s="63"/>
      <c r="G2117" s="64" t="s">
        <v>1326</v>
      </c>
    </row>
    <row r="2118" spans="2:7">
      <c r="B2118" s="269"/>
      <c r="C2118" s="61" t="s">
        <v>559</v>
      </c>
      <c r="D2118" s="62">
        <f>VLOOKUP(C2118,基本字段定义!$B$3:$C$3008,2,FALSE)</f>
        <v>9020</v>
      </c>
      <c r="E2118" s="63" t="s">
        <v>337</v>
      </c>
      <c r="F2118" s="63"/>
      <c r="G2118" s="64" t="s">
        <v>1327</v>
      </c>
    </row>
    <row r="2119" spans="2:7">
      <c r="B2119" s="269"/>
      <c r="C2119" s="61" t="s">
        <v>503</v>
      </c>
      <c r="D2119" s="62">
        <f>VLOOKUP(C2119,基本字段定义!$B$3:$C$3008,2,FALSE)</f>
        <v>1332</v>
      </c>
      <c r="E2119" s="63" t="s">
        <v>337</v>
      </c>
      <c r="F2119" s="63"/>
      <c r="G2119" s="64" t="s">
        <v>1328</v>
      </c>
    </row>
    <row r="2120" spans="2:7">
      <c r="B2120" s="269"/>
      <c r="C2120" s="61" t="s">
        <v>590</v>
      </c>
      <c r="D2120" s="62">
        <f>VLOOKUP(C2120,基本字段定义!$B$3:$C$3008,2,FALSE)</f>
        <v>9110</v>
      </c>
      <c r="E2120" s="63" t="s">
        <v>337</v>
      </c>
      <c r="F2120" s="63"/>
      <c r="G2120" s="64" t="s">
        <v>591</v>
      </c>
    </row>
    <row r="2121" spans="2:7">
      <c r="B2121" s="269"/>
      <c r="C2121" s="61" t="s">
        <v>588</v>
      </c>
      <c r="D2121" s="62">
        <f>VLOOKUP(C2121,基本字段定义!$B$3:$C$3008,2,FALSE)</f>
        <v>763</v>
      </c>
      <c r="E2121" s="63" t="s">
        <v>471</v>
      </c>
      <c r="F2121" s="63"/>
      <c r="G2121" s="64" t="s">
        <v>1203</v>
      </c>
    </row>
    <row r="2122" spans="2:7">
      <c r="B2122" s="269"/>
      <c r="C2122" s="61" t="s">
        <v>586</v>
      </c>
      <c r="D2122" s="62">
        <f>VLOOKUP(C2122,基本字段定义!$B$3:$C$3008,2,FALSE)</f>
        <v>9109</v>
      </c>
      <c r="E2122" s="63" t="s">
        <v>337</v>
      </c>
      <c r="F2122" s="63"/>
      <c r="G2122" s="64" t="s">
        <v>1329</v>
      </c>
    </row>
    <row r="2123" spans="2:7">
      <c r="B2123" s="269" t="s">
        <v>335</v>
      </c>
      <c r="C2123" s="65" t="s">
        <v>575</v>
      </c>
      <c r="D2123" s="66">
        <f>VLOOKUP(C2123,基本字段定义!$B$3:$C$3008,2,FALSE)</f>
        <v>797</v>
      </c>
      <c r="E2123" s="67" t="s">
        <v>339</v>
      </c>
      <c r="F2123" s="67"/>
      <c r="G2123" s="68" t="s">
        <v>1330</v>
      </c>
    </row>
    <row r="2124" spans="2:7">
      <c r="B2124" s="269"/>
      <c r="C2124" s="65" t="s">
        <v>1331</v>
      </c>
      <c r="D2124" s="66">
        <f>VLOOKUP(C2124,基本字段定义!$B$3:$C$3008,2,FALSE)</f>
        <v>9061</v>
      </c>
      <c r="E2124" s="67" t="s">
        <v>337</v>
      </c>
      <c r="F2124" s="67"/>
      <c r="G2124" s="69" t="s">
        <v>593</v>
      </c>
    </row>
    <row r="2125" spans="2:7">
      <c r="B2125" s="269"/>
      <c r="C2125" s="65" t="s">
        <v>1110</v>
      </c>
      <c r="D2125" s="66">
        <f>VLOOKUP(C2125,基本字段定义!$B$3:$C$3008,2,FALSE)</f>
        <v>1240</v>
      </c>
      <c r="E2125" s="67" t="s">
        <v>337</v>
      </c>
      <c r="F2125" s="67"/>
      <c r="G2125" s="69" t="s">
        <v>941</v>
      </c>
    </row>
    <row r="2126" spans="2:7">
      <c r="B2126" s="269"/>
      <c r="C2126" s="65" t="s">
        <v>882</v>
      </c>
      <c r="D2126" s="66">
        <f>VLOOKUP(C2126,基本字段定义!$B$3:$C$3008,2,FALSE)</f>
        <v>681</v>
      </c>
      <c r="E2126" s="67" t="s">
        <v>337</v>
      </c>
      <c r="F2126" s="67"/>
      <c r="G2126" s="69" t="s">
        <v>884</v>
      </c>
    </row>
    <row r="2127" spans="2:7">
      <c r="B2127" s="269"/>
      <c r="C2127" s="65" t="s">
        <v>841</v>
      </c>
      <c r="D2127" s="66">
        <f>VLOOKUP(C2127,基本字段定义!$B$3:$C$3008,2,FALSE)</f>
        <v>595</v>
      </c>
      <c r="E2127" s="67" t="s">
        <v>337</v>
      </c>
      <c r="F2127" s="67"/>
      <c r="G2127" s="111" t="s">
        <v>1332</v>
      </c>
    </row>
    <row r="2128" spans="2:7">
      <c r="B2128" s="269"/>
      <c r="C2128" s="65" t="s">
        <v>361</v>
      </c>
      <c r="D2128" s="66">
        <f>VLOOKUP(C2128,基本字段定义!$B$3:$C$3008,2,FALSE)</f>
        <v>599</v>
      </c>
      <c r="E2128" s="67" t="s">
        <v>339</v>
      </c>
      <c r="F2128" s="67"/>
      <c r="G2128" s="69" t="s">
        <v>363</v>
      </c>
    </row>
    <row r="2129" spans="2:7">
      <c r="B2129" s="269"/>
      <c r="C2129" s="65" t="s">
        <v>405</v>
      </c>
      <c r="D2129" s="66">
        <f>VLOOKUP(C2129,基本字段定义!$B$3:$C$3008,2,FALSE)</f>
        <v>571</v>
      </c>
      <c r="E2129" s="67" t="s">
        <v>339</v>
      </c>
      <c r="F2129" s="67"/>
      <c r="G2129" s="69" t="s">
        <v>407</v>
      </c>
    </row>
    <row r="2130" spans="2:7">
      <c r="B2130" s="269"/>
      <c r="C2130" s="65" t="s">
        <v>640</v>
      </c>
      <c r="D2130" s="66">
        <f>VLOOKUP(C2130,基本字段定义!$B$3:$C$3008,2,FALSE)</f>
        <v>719</v>
      </c>
      <c r="E2130" s="67" t="s">
        <v>339</v>
      </c>
      <c r="F2130" s="67"/>
      <c r="G2130" s="69" t="s">
        <v>657</v>
      </c>
    </row>
    <row r="2131" spans="2:7">
      <c r="B2131" s="269"/>
      <c r="C2131" s="65" t="s">
        <v>659</v>
      </c>
      <c r="D2131" s="66">
        <f>VLOOKUP(C2131,基本字段定义!$B$3:$C$3008,2,FALSE)</f>
        <v>722</v>
      </c>
      <c r="E2131" s="67" t="s">
        <v>339</v>
      </c>
      <c r="F2131" s="67"/>
      <c r="G2131" s="69" t="s">
        <v>660</v>
      </c>
    </row>
    <row r="2132" spans="2:7">
      <c r="B2132" s="269"/>
      <c r="C2132" s="65" t="s">
        <v>524</v>
      </c>
      <c r="D2132" s="66">
        <f>VLOOKUP(C2132,基本字段定义!$B$3:$C$3008,2,FALSE)</f>
        <v>511</v>
      </c>
      <c r="E2132" s="67" t="s">
        <v>339</v>
      </c>
      <c r="F2132" s="67"/>
      <c r="G2132" s="69" t="s">
        <v>525</v>
      </c>
    </row>
    <row r="2133" spans="2:7">
      <c r="B2133" s="269"/>
      <c r="C2133" s="65" t="s">
        <v>1333</v>
      </c>
      <c r="D2133" s="66">
        <f>VLOOKUP(C2133,基本字段定义!$B$3:$C$3008,2,FALSE)</f>
        <v>1825</v>
      </c>
      <c r="E2133" s="67" t="s">
        <v>337</v>
      </c>
      <c r="F2133" s="67"/>
      <c r="G2133" s="69" t="s">
        <v>1334</v>
      </c>
    </row>
    <row r="2134" spans="2:7">
      <c r="B2134" s="269"/>
      <c r="C2134" s="65" t="s">
        <v>1151</v>
      </c>
      <c r="D2134" s="66">
        <f>VLOOKUP(C2134,基本字段定义!$B$3:$C$3008,2,FALSE)</f>
        <v>652</v>
      </c>
      <c r="E2134" s="67" t="s">
        <v>537</v>
      </c>
      <c r="F2134" s="67"/>
      <c r="G2134" s="69" t="s">
        <v>1152</v>
      </c>
    </row>
    <row r="2135" spans="2:7">
      <c r="B2135" s="269"/>
      <c r="C2135" s="65" t="s">
        <v>1335</v>
      </c>
      <c r="D2135" s="66">
        <f>VLOOKUP(C2135,基本字段定义!$B$3:$C$3008,2,FALSE)</f>
        <v>1826</v>
      </c>
      <c r="E2135" s="67" t="s">
        <v>337</v>
      </c>
      <c r="F2135" s="67"/>
      <c r="G2135" s="69" t="s">
        <v>1336</v>
      </c>
    </row>
    <row r="2136" spans="2:7">
      <c r="B2136" s="269"/>
      <c r="C2136" s="65" t="s">
        <v>1153</v>
      </c>
      <c r="D2136" s="66">
        <f>VLOOKUP(C2136,基本字段定义!$B$3:$C$3008,2,FALSE)</f>
        <v>1823</v>
      </c>
      <c r="E2136" s="67" t="s">
        <v>537</v>
      </c>
      <c r="F2136" s="67"/>
      <c r="G2136" s="69" t="s">
        <v>1154</v>
      </c>
    </row>
    <row r="2137" spans="2:7">
      <c r="B2137" s="269"/>
      <c r="C2137" s="65" t="s">
        <v>1337</v>
      </c>
      <c r="D2137" s="66">
        <f>VLOOKUP(C2137,基本字段定义!$B$3:$C$3008,2,FALSE)</f>
        <v>1827</v>
      </c>
      <c r="E2137" s="67" t="s">
        <v>337</v>
      </c>
      <c r="F2137" s="67"/>
      <c r="G2137" s="69" t="s">
        <v>1338</v>
      </c>
    </row>
    <row r="2138" spans="2:7">
      <c r="B2138" s="269"/>
      <c r="C2138" s="65" t="s">
        <v>1225</v>
      </c>
      <c r="D2138" s="66">
        <f>VLOOKUP(C2138,基本字段定义!$B$3:$C$3008,2,FALSE)</f>
        <v>1829</v>
      </c>
      <c r="E2138" s="67" t="s">
        <v>537</v>
      </c>
      <c r="F2138" s="67"/>
      <c r="G2138" s="69" t="s">
        <v>1339</v>
      </c>
    </row>
    <row r="2139" spans="2:7">
      <c r="B2139" s="269"/>
      <c r="C2139" s="65" t="s">
        <v>1340</v>
      </c>
      <c r="D2139" s="66">
        <f>VLOOKUP(C2139,基本字段定义!$B$3:$C$3008,2,FALSE)</f>
        <v>1828</v>
      </c>
      <c r="E2139" s="67" t="s">
        <v>337</v>
      </c>
      <c r="F2139" s="67"/>
      <c r="G2139" s="69" t="s">
        <v>1341</v>
      </c>
    </row>
    <row r="2140" spans="2:7">
      <c r="B2140" s="269"/>
      <c r="C2140" s="65" t="s">
        <v>1227</v>
      </c>
      <c r="D2140" s="66">
        <f>VLOOKUP(C2140,基本字段定义!$B$3:$C$3008,2,FALSE)</f>
        <v>1830</v>
      </c>
      <c r="E2140" s="67" t="s">
        <v>537</v>
      </c>
      <c r="F2140" s="67"/>
      <c r="G2140" s="69" t="s">
        <v>1342</v>
      </c>
    </row>
    <row r="2141" spans="2:7">
      <c r="B2141" s="266"/>
      <c r="C2141" s="65" t="s">
        <v>1343</v>
      </c>
      <c r="D2141" s="66">
        <f>VLOOKUP(C2141,基本字段定义!$B$3:$C$3008,2,FALSE)</f>
        <v>1831</v>
      </c>
      <c r="E2141" s="67" t="s">
        <v>337</v>
      </c>
      <c r="F2141" s="67"/>
      <c r="G2141" s="69" t="s">
        <v>1344</v>
      </c>
    </row>
    <row r="2142" spans="2:7">
      <c r="B2142" s="266"/>
      <c r="C2142" s="65" t="s">
        <v>1345</v>
      </c>
      <c r="D2142" s="66">
        <f>VLOOKUP(C2142,基本字段定义!$B$3:$C$3008,2,FALSE)</f>
        <v>1833</v>
      </c>
      <c r="E2142" s="67" t="s">
        <v>537</v>
      </c>
      <c r="F2142" s="67"/>
      <c r="G2142" s="69" t="s">
        <v>1346</v>
      </c>
    </row>
    <row r="2143" spans="2:7">
      <c r="B2143" s="266"/>
      <c r="C2143" s="65" t="s">
        <v>1347</v>
      </c>
      <c r="D2143" s="66">
        <f>VLOOKUP(C2143,基本字段定义!$B$3:$C$3008,2,FALSE)</f>
        <v>1832</v>
      </c>
      <c r="E2143" s="67" t="s">
        <v>337</v>
      </c>
      <c r="F2143" s="67"/>
      <c r="G2143" s="69" t="s">
        <v>1348</v>
      </c>
    </row>
    <row r="2144" spans="2:7">
      <c r="B2144" s="266"/>
      <c r="C2144" s="65" t="s">
        <v>1349</v>
      </c>
      <c r="D2144" s="66">
        <f>VLOOKUP(C2144,基本字段定义!$B$3:$C$3008,2,FALSE)</f>
        <v>1834</v>
      </c>
      <c r="E2144" s="67" t="s">
        <v>537</v>
      </c>
      <c r="F2144" s="67"/>
      <c r="G2144" s="69" t="s">
        <v>1350</v>
      </c>
    </row>
    <row r="2145" spans="2:7">
      <c r="B2145" s="266"/>
      <c r="C2145" s="65" t="s">
        <v>1351</v>
      </c>
      <c r="D2145" s="66">
        <f>VLOOKUP(C2145,基本字段定义!$B$3:$C$3008,2,FALSE)</f>
        <v>1847</v>
      </c>
      <c r="E2145" s="67" t="s">
        <v>537</v>
      </c>
      <c r="F2145" s="67"/>
      <c r="G2145" s="69" t="s">
        <v>1352</v>
      </c>
    </row>
    <row r="2146" spans="2:7">
      <c r="B2146" s="266"/>
      <c r="C2146" s="65" t="s">
        <v>1353</v>
      </c>
      <c r="D2146" s="66">
        <f>VLOOKUP(C2146,基本字段定义!$B$3:$C$3008,2,FALSE)</f>
        <v>1733</v>
      </c>
      <c r="E2146" s="67" t="s">
        <v>537</v>
      </c>
      <c r="F2146" s="67"/>
      <c r="G2146" s="69" t="s">
        <v>1354</v>
      </c>
    </row>
    <row r="2147" spans="2:7">
      <c r="B2147" s="266"/>
      <c r="C2147" s="65" t="s">
        <v>1355</v>
      </c>
      <c r="D2147" s="66">
        <f>VLOOKUP(C2147,基本字段定义!$B$3:$C$3008,2,FALSE)</f>
        <v>1848</v>
      </c>
      <c r="E2147" s="67" t="s">
        <v>337</v>
      </c>
      <c r="F2147" s="67"/>
      <c r="G2147" s="69" t="s">
        <v>1356</v>
      </c>
    </row>
    <row r="2148" spans="2:7">
      <c r="B2148" s="266"/>
      <c r="C2148" s="65" t="s">
        <v>1357</v>
      </c>
      <c r="D2148" s="66">
        <f>VLOOKUP(C2148,基本字段定义!$B$3:$C$3008,2,FALSE)</f>
        <v>1941</v>
      </c>
      <c r="E2148" s="67" t="s">
        <v>337</v>
      </c>
      <c r="F2148" s="67"/>
      <c r="G2148" s="69" t="s">
        <v>1305</v>
      </c>
    </row>
    <row r="2149" spans="2:7">
      <c r="B2149" s="266"/>
      <c r="C2149" s="65" t="s">
        <v>1358</v>
      </c>
      <c r="D2149" s="66">
        <f>VLOOKUP(C2149,基本字段定义!$B$3:$C$3008,2,FALSE)</f>
        <v>540</v>
      </c>
      <c r="E2149" s="67" t="s">
        <v>537</v>
      </c>
      <c r="F2149" s="67"/>
      <c r="G2149" s="69" t="s">
        <v>1359</v>
      </c>
    </row>
    <row r="2150" spans="2:7">
      <c r="B2150" s="266"/>
      <c r="C2150" s="65" t="s">
        <v>1360</v>
      </c>
      <c r="D2150" s="66">
        <f>VLOOKUP(C2150,基本字段定义!$B$3:$C$3008,2,FALSE)</f>
        <v>1837</v>
      </c>
      <c r="E2150" s="67" t="s">
        <v>337</v>
      </c>
      <c r="F2150" s="67"/>
      <c r="G2150" s="69" t="s">
        <v>1361</v>
      </c>
    </row>
    <row r="2151" spans="2:7">
      <c r="B2151" s="266"/>
      <c r="C2151" s="65" t="s">
        <v>1362</v>
      </c>
      <c r="D2151" s="66">
        <f>VLOOKUP(C2151,基本字段定义!$B$3:$C$3008,2,FALSE)</f>
        <v>1838</v>
      </c>
      <c r="E2151" s="67" t="s">
        <v>337</v>
      </c>
      <c r="F2151" s="67"/>
      <c r="G2151" s="69" t="s">
        <v>1363</v>
      </c>
    </row>
    <row r="2152" spans="2:7">
      <c r="B2152" s="266"/>
      <c r="C2152" s="65" t="s">
        <v>1364</v>
      </c>
      <c r="D2152" s="66">
        <f>VLOOKUP(C2152,基本字段定义!$B$3:$C$3008,2,FALSE)</f>
        <v>1835</v>
      </c>
      <c r="E2152" s="67" t="s">
        <v>337</v>
      </c>
      <c r="F2152" s="67"/>
      <c r="G2152" s="69" t="s">
        <v>1365</v>
      </c>
    </row>
    <row r="2153" spans="2:7">
      <c r="B2153" s="266"/>
      <c r="C2153" s="65" t="s">
        <v>1257</v>
      </c>
      <c r="D2153" s="66">
        <f>VLOOKUP(C2153,基本字段定义!$B$3:$C$3008,2,FALSE)</f>
        <v>1859</v>
      </c>
      <c r="E2153" s="67" t="s">
        <v>537</v>
      </c>
      <c r="F2153" s="67"/>
      <c r="G2153" s="69" t="s">
        <v>1258</v>
      </c>
    </row>
    <row r="2154" spans="2:7">
      <c r="B2154" s="266"/>
      <c r="C2154" s="65" t="s">
        <v>1259</v>
      </c>
      <c r="D2154" s="66">
        <f>VLOOKUP(C2154,基本字段定义!$B$3:$C$3008,2,FALSE)</f>
        <v>1860</v>
      </c>
      <c r="E2154" s="67" t="s">
        <v>537</v>
      </c>
      <c r="F2154" s="67"/>
      <c r="G2154" s="69" t="s">
        <v>1260</v>
      </c>
    </row>
    <row r="2155" spans="2:7">
      <c r="B2155" s="266"/>
      <c r="C2155" s="65" t="s">
        <v>1248</v>
      </c>
      <c r="D2155" s="66">
        <f>VLOOKUP(C2155,基本字段定义!$B$3:$C$3008,2,FALSE)</f>
        <v>621</v>
      </c>
      <c r="E2155" s="67" t="s">
        <v>537</v>
      </c>
      <c r="F2155" s="67"/>
      <c r="G2155" s="69" t="s">
        <v>1366</v>
      </c>
    </row>
    <row r="2156" spans="2:7">
      <c r="B2156" s="266"/>
      <c r="C2156" s="65" t="s">
        <v>1367</v>
      </c>
      <c r="D2156" s="66">
        <f>VLOOKUP(C2156,基本字段定义!$B$3:$C$3008,2,FALSE)</f>
        <v>774</v>
      </c>
      <c r="E2156" s="67" t="s">
        <v>537</v>
      </c>
      <c r="F2156" s="67"/>
      <c r="G2156" s="69" t="s">
        <v>1368</v>
      </c>
    </row>
    <row r="2157" spans="2:7">
      <c r="B2157" s="266"/>
      <c r="C2157" s="65" t="s">
        <v>731</v>
      </c>
      <c r="D2157" s="66">
        <f>VLOOKUP(C2157,基本字段定义!$B$3:$C$3008,2,FALSE)</f>
        <v>9108</v>
      </c>
      <c r="E2157" s="67" t="s">
        <v>337</v>
      </c>
      <c r="F2157" s="67"/>
      <c r="G2157" s="111" t="s">
        <v>1369</v>
      </c>
    </row>
    <row r="2158" spans="2:7">
      <c r="B2158" s="266"/>
      <c r="C2158" s="65" t="s">
        <v>1370</v>
      </c>
      <c r="D2158" s="66">
        <f>VLOOKUP(C2158,基本字段定义!$B$3:$C$3008,2,FALSE)</f>
        <v>620</v>
      </c>
      <c r="E2158" s="67" t="s">
        <v>537</v>
      </c>
      <c r="F2158" s="67"/>
      <c r="G2158" s="69" t="s">
        <v>1371</v>
      </c>
    </row>
    <row r="2159" spans="2:7">
      <c r="B2159" s="266"/>
      <c r="C2159" s="65" t="s">
        <v>1164</v>
      </c>
      <c r="D2159" s="66">
        <f>VLOOKUP(C2159,基本字段定义!$B$3:$C$3008,2,FALSE)</f>
        <v>1800</v>
      </c>
      <c r="E2159" s="67" t="s">
        <v>337</v>
      </c>
      <c r="F2159" s="67"/>
      <c r="G2159" s="111" t="s">
        <v>1165</v>
      </c>
    </row>
    <row r="2160" spans="2:7">
      <c r="B2160" s="266"/>
      <c r="C2160" s="65" t="s">
        <v>1324</v>
      </c>
      <c r="D2160" s="66">
        <f>VLOOKUP(C2160,基本字段定义!$B$3:$C$3008,2,FALSE)</f>
        <v>1887</v>
      </c>
      <c r="E2160" s="67" t="s">
        <v>337</v>
      </c>
      <c r="F2160" s="67"/>
      <c r="G2160" s="111" t="s">
        <v>1372</v>
      </c>
    </row>
    <row r="2161" spans="2:7">
      <c r="B2161" s="266"/>
      <c r="C2161" s="65" t="s">
        <v>1373</v>
      </c>
      <c r="D2161" s="66">
        <f>VLOOKUP(C2161,基本字段定义!$B$3:$C$3008,2,FALSE)</f>
        <v>1246</v>
      </c>
      <c r="E2161" s="67" t="s">
        <v>537</v>
      </c>
      <c r="F2161" s="67"/>
      <c r="G2161" s="69" t="s">
        <v>1374</v>
      </c>
    </row>
    <row r="2162" spans="2:7">
      <c r="B2162" s="266"/>
      <c r="C2162" s="65" t="s">
        <v>1098</v>
      </c>
      <c r="D2162" s="66">
        <f>VLOOKUP(C2162,基本字段定义!$B$3:$C$3008,2,FALSE)</f>
        <v>9254</v>
      </c>
      <c r="E2162" s="67" t="s">
        <v>537</v>
      </c>
      <c r="F2162" s="67"/>
      <c r="G2162" s="69" t="s">
        <v>1375</v>
      </c>
    </row>
    <row r="2163" spans="2:7">
      <c r="B2163" s="266"/>
      <c r="C2163" s="65" t="s">
        <v>539</v>
      </c>
      <c r="D2163" s="66">
        <f>VLOOKUP(C2163,基本字段定义!$B$3:$C$3008,2,FALSE)</f>
        <v>826</v>
      </c>
      <c r="E2163" s="67" t="s">
        <v>537</v>
      </c>
      <c r="F2163" s="67"/>
      <c r="G2163" s="69" t="s">
        <v>1376</v>
      </c>
    </row>
    <row r="2164" spans="2:7">
      <c r="B2164" s="266"/>
      <c r="C2164" s="65" t="s">
        <v>934</v>
      </c>
      <c r="D2164" s="66">
        <f>VLOOKUP(C2164,基本字段定义!$B$3:$C$3008,2,FALSE)</f>
        <v>646</v>
      </c>
      <c r="E2164" s="67" t="s">
        <v>537</v>
      </c>
      <c r="F2164" s="67"/>
      <c r="G2164" s="69" t="s">
        <v>1377</v>
      </c>
    </row>
    <row r="2165" spans="2:7">
      <c r="B2165" s="266"/>
      <c r="C2165" s="65" t="s">
        <v>597</v>
      </c>
      <c r="D2165" s="66">
        <f>VLOOKUP(C2165,基本字段定义!$B$3:$C$3008,2,FALSE)</f>
        <v>9115</v>
      </c>
      <c r="E2165" s="67" t="s">
        <v>537</v>
      </c>
      <c r="F2165" s="67"/>
      <c r="G2165" s="69" t="s">
        <v>1378</v>
      </c>
    </row>
    <row r="2166" spans="2:7">
      <c r="B2166" s="266"/>
      <c r="C2166" s="65" t="s">
        <v>813</v>
      </c>
      <c r="D2166" s="66">
        <f>VLOOKUP(C2166,基本字段定义!$B$3:$C$3008,2,FALSE)</f>
        <v>758</v>
      </c>
      <c r="E2166" s="67" t="s">
        <v>337</v>
      </c>
      <c r="F2166" s="67"/>
      <c r="G2166" s="69" t="s">
        <v>1379</v>
      </c>
    </row>
    <row r="2167" spans="2:7">
      <c r="B2167" s="266"/>
      <c r="C2167" s="65" t="s">
        <v>1380</v>
      </c>
      <c r="D2167" s="66">
        <f>VLOOKUP(C2167,基本字段定义!$B$3:$C$3008,2,FALSE)</f>
        <v>1824</v>
      </c>
      <c r="E2167" s="67" t="s">
        <v>337</v>
      </c>
      <c r="F2167" s="67"/>
      <c r="G2167" s="69" t="s">
        <v>1381</v>
      </c>
    </row>
    <row r="2168" spans="2:7">
      <c r="B2168" s="266"/>
      <c r="C2168" s="65" t="s">
        <v>755</v>
      </c>
      <c r="D2168" s="66">
        <f>VLOOKUP(C2168,基本字段定义!$B$3:$C$3008,2,FALSE)</f>
        <v>9136</v>
      </c>
      <c r="E2168" s="67" t="s">
        <v>537</v>
      </c>
      <c r="F2168" s="67"/>
      <c r="G2168" s="69" t="s">
        <v>1382</v>
      </c>
    </row>
    <row r="2169" spans="2:7">
      <c r="B2169" s="266"/>
      <c r="C2169" s="65" t="s">
        <v>1219</v>
      </c>
      <c r="D2169" s="66">
        <f>VLOOKUP(C2169,基本字段定义!$B$3:$C$3008,2,FALSE)</f>
        <v>805</v>
      </c>
      <c r="E2169" s="67" t="s">
        <v>537</v>
      </c>
      <c r="F2169" s="67"/>
      <c r="G2169" s="69" t="s">
        <v>1383</v>
      </c>
    </row>
    <row r="2170" spans="2:7">
      <c r="B2170" s="266"/>
      <c r="C2170" s="65" t="s">
        <v>1384</v>
      </c>
      <c r="D2170" s="66">
        <f>VLOOKUP(C2170,基本字段定义!$B$3:$C$3008,2,FALSE)</f>
        <v>1939</v>
      </c>
      <c r="E2170" s="67" t="s">
        <v>337</v>
      </c>
      <c r="F2170" s="67"/>
      <c r="G2170" s="69" t="s">
        <v>1385</v>
      </c>
    </row>
    <row r="2171" spans="2:7">
      <c r="B2171" s="266"/>
      <c r="C2171" s="65" t="s">
        <v>547</v>
      </c>
      <c r="D2171" s="66">
        <f>VLOOKUP(C2171,基本字段定义!$B$3:$C$3008,2,FALSE)</f>
        <v>760</v>
      </c>
      <c r="E2171" s="67" t="s">
        <v>537</v>
      </c>
      <c r="F2171" s="67"/>
      <c r="G2171" s="69" t="s">
        <v>1386</v>
      </c>
    </row>
    <row r="2172" spans="2:7">
      <c r="B2172" s="266"/>
      <c r="C2172" s="65" t="s">
        <v>1387</v>
      </c>
      <c r="D2172" s="66">
        <f>VLOOKUP(C2172,基本字段定义!$B$3:$C$3008,2,FALSE)</f>
        <v>1641</v>
      </c>
      <c r="E2172" s="67" t="s">
        <v>537</v>
      </c>
      <c r="F2172" s="67"/>
      <c r="G2172" s="69" t="s">
        <v>1388</v>
      </c>
    </row>
    <row r="2173" spans="2:7">
      <c r="B2173" s="266"/>
      <c r="C2173" s="65" t="s">
        <v>1389</v>
      </c>
      <c r="D2173" s="66">
        <f>VLOOKUP(C2173,基本字段定义!$B$3:$C$3008,2,FALSE)</f>
        <v>1642</v>
      </c>
      <c r="E2173" s="67" t="s">
        <v>537</v>
      </c>
      <c r="F2173" s="67"/>
      <c r="G2173" s="69" t="s">
        <v>1390</v>
      </c>
    </row>
    <row r="2174" spans="2:7">
      <c r="B2174" s="266"/>
      <c r="C2174" s="65" t="s">
        <v>1252</v>
      </c>
      <c r="D2174" s="66">
        <f>VLOOKUP(C2174,基本字段定义!$B$3:$C$3008,2,FALSE)</f>
        <v>1075</v>
      </c>
      <c r="E2174" s="67" t="s">
        <v>537</v>
      </c>
      <c r="F2174" s="67"/>
      <c r="G2174" s="69" t="s">
        <v>1253</v>
      </c>
    </row>
    <row r="2175" spans="2:7">
      <c r="B2175" s="266"/>
      <c r="C2175" s="65" t="s">
        <v>1254</v>
      </c>
      <c r="D2175" s="66">
        <f>VLOOKUP(C2175,基本字段定义!$B$3:$C$3008,2,FALSE)</f>
        <v>1076</v>
      </c>
      <c r="E2175" s="67" t="s">
        <v>537</v>
      </c>
      <c r="F2175" s="67"/>
      <c r="G2175" s="69" t="s">
        <v>1391</v>
      </c>
    </row>
    <row r="2176" spans="2:7">
      <c r="B2176" s="266"/>
      <c r="C2176" s="65" t="s">
        <v>1392</v>
      </c>
      <c r="D2176" s="66">
        <v>974</v>
      </c>
      <c r="E2176" s="67" t="s">
        <v>1393</v>
      </c>
      <c r="F2176" s="67"/>
      <c r="G2176" s="69" t="s">
        <v>1394</v>
      </c>
    </row>
    <row r="2177" spans="2:7">
      <c r="B2177" s="266"/>
      <c r="C2177" s="65" t="s">
        <v>1395</v>
      </c>
      <c r="D2177" s="66">
        <v>799</v>
      </c>
      <c r="E2177" s="67" t="s">
        <v>1393</v>
      </c>
      <c r="F2177" s="67"/>
      <c r="G2177" s="69" t="s">
        <v>1396</v>
      </c>
    </row>
    <row r="2178" spans="2:7">
      <c r="B2178" s="270"/>
      <c r="C2178" s="71" t="s">
        <v>588</v>
      </c>
      <c r="D2178" s="79">
        <v>763</v>
      </c>
      <c r="E2178" s="73" t="s">
        <v>471</v>
      </c>
      <c r="F2178" s="73"/>
      <c r="G2178" s="74" t="s">
        <v>1203</v>
      </c>
    </row>
    <row r="2180" spans="2:7">
      <c r="B2180" s="53" t="s">
        <v>146</v>
      </c>
      <c r="C2180" s="80">
        <v>204834</v>
      </c>
      <c r="D2180" s="81"/>
      <c r="E2180" s="82"/>
      <c r="F2180" s="54" t="s">
        <v>326</v>
      </c>
      <c r="G2180" s="55"/>
    </row>
    <row r="2181" spans="2:7">
      <c r="B2181" s="56" t="s">
        <v>327</v>
      </c>
      <c r="C2181" s="83" t="str">
        <f>VLOOKUP(C2180,功能索引!$C$3:$D$269,2,FALSE)</f>
        <v>信用负债汇总查询</v>
      </c>
      <c r="D2181" s="84"/>
      <c r="E2181" s="85"/>
      <c r="F2181" s="57" t="s">
        <v>148</v>
      </c>
      <c r="G2181" s="58" t="str">
        <f>VLOOKUP(C2180,功能索引!$C$3:$E2408,3,FALSE)</f>
        <v>Y</v>
      </c>
    </row>
    <row r="2182" spans="2:7">
      <c r="B2182" s="269" t="s">
        <v>328</v>
      </c>
      <c r="C2182" s="95"/>
      <c r="D2182" s="96"/>
      <c r="E2182" s="96"/>
      <c r="F2182" s="96"/>
      <c r="G2182" s="97"/>
    </row>
    <row r="2183" spans="2:7">
      <c r="B2183" s="270"/>
      <c r="C2183" s="98"/>
      <c r="D2183" s="99"/>
      <c r="E2183" s="99"/>
      <c r="F2183" s="99"/>
      <c r="G2183" s="100"/>
    </row>
    <row r="2184" spans="2:7">
      <c r="B2184" s="271" t="s">
        <v>329</v>
      </c>
      <c r="C2184" s="54" t="s">
        <v>330</v>
      </c>
      <c r="D2184" s="54" t="s">
        <v>331</v>
      </c>
      <c r="E2184" s="54" t="s">
        <v>332</v>
      </c>
      <c r="F2184" s="54" t="s">
        <v>333</v>
      </c>
      <c r="G2184" s="60" t="s">
        <v>334</v>
      </c>
    </row>
    <row r="2185" spans="2:7">
      <c r="B2185" s="269"/>
      <c r="C2185" s="61" t="s">
        <v>402</v>
      </c>
      <c r="D2185" s="62">
        <f>VLOOKUP(C2185,基本字段定义!$B$3:$C$3008,2,FALSE)</f>
        <v>605</v>
      </c>
      <c r="E2185" s="63" t="s">
        <v>403</v>
      </c>
      <c r="F2185" s="63" t="s">
        <v>152</v>
      </c>
      <c r="G2185" s="64" t="s">
        <v>404</v>
      </c>
    </row>
    <row r="2186" spans="2:7">
      <c r="B2186" s="269"/>
      <c r="C2186" s="61" t="s">
        <v>361</v>
      </c>
      <c r="D2186" s="62">
        <f>VLOOKUP(C2186,基本字段定义!$B$3:$C$3008,2,FALSE)</f>
        <v>599</v>
      </c>
      <c r="E2186" s="63" t="s">
        <v>362</v>
      </c>
      <c r="F2186" s="63"/>
      <c r="G2186" s="64" t="s">
        <v>363</v>
      </c>
    </row>
    <row r="2187" spans="2:7">
      <c r="B2187" s="269"/>
      <c r="C2187" s="61" t="s">
        <v>640</v>
      </c>
      <c r="D2187" s="62">
        <f>VLOOKUP(C2187,基本字段定义!$B$3:$C$3008,2,FALSE)</f>
        <v>719</v>
      </c>
      <c r="E2187" s="63" t="s">
        <v>480</v>
      </c>
      <c r="F2187" s="63"/>
      <c r="G2187" s="64" t="s">
        <v>657</v>
      </c>
    </row>
    <row r="2188" spans="2:7">
      <c r="B2188" s="269"/>
      <c r="C2188" s="61" t="s">
        <v>503</v>
      </c>
      <c r="D2188" s="62">
        <f>VLOOKUP(C2188,基本字段定义!$B$3:$C$3008,2,FALSE)</f>
        <v>1332</v>
      </c>
      <c r="E2188" s="63" t="s">
        <v>337</v>
      </c>
      <c r="F2188" s="63"/>
      <c r="G2188" s="64" t="s">
        <v>1328</v>
      </c>
    </row>
    <row r="2189" spans="2:7">
      <c r="B2189" s="269" t="s">
        <v>335</v>
      </c>
      <c r="C2189" s="65" t="s">
        <v>361</v>
      </c>
      <c r="D2189" s="66">
        <f>VLOOKUP(C2189,基本字段定义!$B$3:$C$3008,2,FALSE)</f>
        <v>599</v>
      </c>
      <c r="E2189" s="67" t="s">
        <v>339</v>
      </c>
      <c r="F2189" s="67"/>
      <c r="G2189" s="68" t="s">
        <v>363</v>
      </c>
    </row>
    <row r="2190" spans="2:7">
      <c r="B2190" s="269"/>
      <c r="C2190" s="65" t="s">
        <v>405</v>
      </c>
      <c r="D2190" s="66">
        <f>VLOOKUP(C2190,基本字段定义!$B$3:$C$3008,2,FALSE)</f>
        <v>571</v>
      </c>
      <c r="E2190" s="67" t="s">
        <v>339</v>
      </c>
      <c r="F2190" s="67"/>
      <c r="G2190" s="69" t="s">
        <v>407</v>
      </c>
    </row>
    <row r="2191" spans="2:7">
      <c r="B2191" s="269"/>
      <c r="C2191" s="65" t="s">
        <v>841</v>
      </c>
      <c r="D2191" s="66">
        <f>VLOOKUP(C2191,基本字段定义!$B$3:$C$3008,2,FALSE)</f>
        <v>595</v>
      </c>
      <c r="E2191" s="67" t="s">
        <v>337</v>
      </c>
      <c r="F2191" s="67"/>
      <c r="G2191" s="111" t="s">
        <v>1332</v>
      </c>
    </row>
    <row r="2192" spans="2:7">
      <c r="B2192" s="269"/>
      <c r="C2192" s="65" t="s">
        <v>640</v>
      </c>
      <c r="D2192" s="66">
        <f>VLOOKUP(C2192,基本字段定义!$B$3:$C$3008,2,FALSE)</f>
        <v>719</v>
      </c>
      <c r="E2192" s="67" t="s">
        <v>339</v>
      </c>
      <c r="F2192" s="67"/>
      <c r="G2192" s="69" t="s">
        <v>657</v>
      </c>
    </row>
    <row r="2193" spans="2:7">
      <c r="B2193" s="269"/>
      <c r="C2193" s="65" t="s">
        <v>659</v>
      </c>
      <c r="D2193" s="66">
        <f>VLOOKUP(C2193,基本字段定义!$B$3:$C$3008,2,FALSE)</f>
        <v>722</v>
      </c>
      <c r="E2193" s="67" t="s">
        <v>339</v>
      </c>
      <c r="F2193" s="67"/>
      <c r="G2193" s="69" t="s">
        <v>660</v>
      </c>
    </row>
    <row r="2194" spans="2:7">
      <c r="B2194" s="269"/>
      <c r="C2194" s="65" t="s">
        <v>524</v>
      </c>
      <c r="D2194" s="66">
        <f>VLOOKUP(C2194,基本字段定义!$B$3:$C$3008,2,FALSE)</f>
        <v>511</v>
      </c>
      <c r="E2194" s="67" t="s">
        <v>339</v>
      </c>
      <c r="F2194" s="67"/>
      <c r="G2194" s="69" t="s">
        <v>525</v>
      </c>
    </row>
    <row r="2195" spans="2:7">
      <c r="B2195" s="269"/>
      <c r="C2195" s="65" t="s">
        <v>1333</v>
      </c>
      <c r="D2195" s="66">
        <f>VLOOKUP(C2195,基本字段定义!$B$3:$C$3008,2,FALSE)</f>
        <v>1825</v>
      </c>
      <c r="E2195" s="67" t="s">
        <v>337</v>
      </c>
      <c r="F2195" s="67"/>
      <c r="G2195" s="69" t="s">
        <v>1334</v>
      </c>
    </row>
    <row r="2196" spans="2:7">
      <c r="B2196" s="269"/>
      <c r="C2196" s="65" t="s">
        <v>1151</v>
      </c>
      <c r="D2196" s="66">
        <f>VLOOKUP(C2196,基本字段定义!$B$3:$C$3008,2,FALSE)</f>
        <v>652</v>
      </c>
      <c r="E2196" s="67" t="s">
        <v>537</v>
      </c>
      <c r="F2196" s="67"/>
      <c r="G2196" s="69" t="s">
        <v>1152</v>
      </c>
    </row>
    <row r="2197" spans="2:7">
      <c r="B2197" s="269"/>
      <c r="C2197" s="65" t="s">
        <v>1335</v>
      </c>
      <c r="D2197" s="66">
        <f>VLOOKUP(C2197,基本字段定义!$B$3:$C$3008,2,FALSE)</f>
        <v>1826</v>
      </c>
      <c r="E2197" s="67" t="s">
        <v>337</v>
      </c>
      <c r="F2197" s="67"/>
      <c r="G2197" s="69" t="s">
        <v>1336</v>
      </c>
    </row>
    <row r="2198" spans="2:7">
      <c r="B2198" s="269"/>
      <c r="C2198" s="65" t="s">
        <v>1153</v>
      </c>
      <c r="D2198" s="66">
        <f>VLOOKUP(C2198,基本字段定义!$B$3:$C$3008,2,FALSE)</f>
        <v>1823</v>
      </c>
      <c r="E2198" s="67" t="s">
        <v>537</v>
      </c>
      <c r="F2198" s="67"/>
      <c r="G2198" s="69" t="s">
        <v>1154</v>
      </c>
    </row>
    <row r="2199" spans="2:7">
      <c r="B2199" s="269"/>
      <c r="C2199" s="65" t="s">
        <v>1337</v>
      </c>
      <c r="D2199" s="66">
        <f>VLOOKUP(C2199,基本字段定义!$B$3:$C$3008,2,FALSE)</f>
        <v>1827</v>
      </c>
      <c r="E2199" s="67" t="s">
        <v>337</v>
      </c>
      <c r="F2199" s="67"/>
      <c r="G2199" s="69" t="s">
        <v>1338</v>
      </c>
    </row>
    <row r="2200" spans="2:7">
      <c r="B2200" s="269"/>
      <c r="C2200" s="65" t="s">
        <v>1225</v>
      </c>
      <c r="D2200" s="66">
        <f>VLOOKUP(C2200,基本字段定义!$B$3:$C$3008,2,FALSE)</f>
        <v>1829</v>
      </c>
      <c r="E2200" s="67" t="s">
        <v>537</v>
      </c>
      <c r="F2200" s="67"/>
      <c r="G2200" s="69" t="s">
        <v>1339</v>
      </c>
    </row>
    <row r="2201" spans="2:7">
      <c r="B2201" s="269"/>
      <c r="C2201" s="65" t="s">
        <v>1340</v>
      </c>
      <c r="D2201" s="66">
        <f>VLOOKUP(C2201,基本字段定义!$B$3:$C$3008,2,FALSE)</f>
        <v>1828</v>
      </c>
      <c r="E2201" s="67" t="s">
        <v>337</v>
      </c>
      <c r="F2201" s="67"/>
      <c r="G2201" s="69" t="s">
        <v>1341</v>
      </c>
    </row>
    <row r="2202" spans="2:7">
      <c r="B2202" s="269"/>
      <c r="C2202" s="65" t="s">
        <v>1227</v>
      </c>
      <c r="D2202" s="66">
        <f>VLOOKUP(C2202,基本字段定义!$B$3:$C$3008,2,FALSE)</f>
        <v>1830</v>
      </c>
      <c r="E2202" s="67" t="s">
        <v>537</v>
      </c>
      <c r="F2202" s="67"/>
      <c r="G2202" s="69" t="s">
        <v>1342</v>
      </c>
    </row>
    <row r="2203" spans="2:7">
      <c r="B2203" s="269"/>
      <c r="C2203" s="65" t="s">
        <v>1343</v>
      </c>
      <c r="D2203" s="66">
        <f>VLOOKUP(C2203,基本字段定义!$B$3:$C$3008,2,FALSE)</f>
        <v>1831</v>
      </c>
      <c r="E2203" s="67" t="s">
        <v>337</v>
      </c>
      <c r="F2203" s="67"/>
      <c r="G2203" s="69" t="s">
        <v>1344</v>
      </c>
    </row>
    <row r="2204" spans="2:7">
      <c r="B2204" s="269"/>
      <c r="C2204" s="65" t="s">
        <v>1345</v>
      </c>
      <c r="D2204" s="66">
        <f>VLOOKUP(C2204,基本字段定义!$B$3:$C$3008,2,FALSE)</f>
        <v>1833</v>
      </c>
      <c r="E2204" s="67" t="s">
        <v>537</v>
      </c>
      <c r="F2204" s="67"/>
      <c r="G2204" s="69" t="s">
        <v>1346</v>
      </c>
    </row>
    <row r="2205" spans="2:7">
      <c r="B2205" s="269"/>
      <c r="C2205" s="65" t="s">
        <v>1347</v>
      </c>
      <c r="D2205" s="66">
        <f>VLOOKUP(C2205,基本字段定义!$B$3:$C$3008,2,FALSE)</f>
        <v>1832</v>
      </c>
      <c r="E2205" s="67" t="s">
        <v>337</v>
      </c>
      <c r="F2205" s="67"/>
      <c r="G2205" s="69" t="s">
        <v>1348</v>
      </c>
    </row>
    <row r="2206" spans="2:7">
      <c r="B2206" s="269"/>
      <c r="C2206" s="65" t="s">
        <v>1349</v>
      </c>
      <c r="D2206" s="66">
        <f>VLOOKUP(C2206,基本字段定义!$B$3:$C$3008,2,FALSE)</f>
        <v>1834</v>
      </c>
      <c r="E2206" s="67" t="s">
        <v>537</v>
      </c>
      <c r="F2206" s="67"/>
      <c r="G2206" s="69" t="s">
        <v>1350</v>
      </c>
    </row>
    <row r="2207" spans="2:7">
      <c r="B2207" s="269"/>
      <c r="C2207" s="65" t="s">
        <v>1351</v>
      </c>
      <c r="D2207" s="66">
        <f>VLOOKUP(C2207,基本字段定义!$B$3:$C$3008,2,FALSE)</f>
        <v>1847</v>
      </c>
      <c r="E2207" s="67" t="s">
        <v>537</v>
      </c>
      <c r="F2207" s="67"/>
      <c r="G2207" s="69" t="s">
        <v>1352</v>
      </c>
    </row>
    <row r="2208" spans="2:7">
      <c r="B2208" s="266"/>
      <c r="C2208" s="65" t="s">
        <v>1353</v>
      </c>
      <c r="D2208" s="66">
        <f>VLOOKUP(C2208,基本字段定义!$B$3:$C$3008,2,FALSE)</f>
        <v>1733</v>
      </c>
      <c r="E2208" s="67" t="s">
        <v>537</v>
      </c>
      <c r="F2208" s="67"/>
      <c r="G2208" s="69" t="s">
        <v>1354</v>
      </c>
    </row>
    <row r="2209" spans="2:7">
      <c r="B2209" s="266"/>
      <c r="C2209" s="65" t="s">
        <v>1355</v>
      </c>
      <c r="D2209" s="66">
        <f>VLOOKUP(C2209,基本字段定义!$B$3:$C$3008,2,FALSE)</f>
        <v>1848</v>
      </c>
      <c r="E2209" s="67" t="s">
        <v>337</v>
      </c>
      <c r="F2209" s="67"/>
      <c r="G2209" s="69" t="s">
        <v>1356</v>
      </c>
    </row>
    <row r="2210" spans="2:7">
      <c r="B2210" s="266"/>
      <c r="C2210" s="65" t="s">
        <v>1357</v>
      </c>
      <c r="D2210" s="66">
        <f>VLOOKUP(C2210,基本字段定义!$B$3:$C$3008,2,FALSE)</f>
        <v>1941</v>
      </c>
      <c r="E2210" s="67" t="s">
        <v>337</v>
      </c>
      <c r="F2210" s="67"/>
      <c r="G2210" s="69" t="s">
        <v>1305</v>
      </c>
    </row>
    <row r="2211" spans="2:7">
      <c r="B2211" s="266"/>
      <c r="C2211" s="65" t="s">
        <v>1358</v>
      </c>
      <c r="D2211" s="66">
        <f>VLOOKUP(C2211,基本字段定义!$B$3:$C$3008,2,FALSE)</f>
        <v>540</v>
      </c>
      <c r="E2211" s="67" t="s">
        <v>537</v>
      </c>
      <c r="F2211" s="67"/>
      <c r="G2211" s="69" t="s">
        <v>1359</v>
      </c>
    </row>
    <row r="2212" spans="2:7">
      <c r="B2212" s="266"/>
      <c r="C2212" s="65" t="s">
        <v>1360</v>
      </c>
      <c r="D2212" s="66">
        <f>VLOOKUP(C2212,基本字段定义!$B$3:$C$3008,2,FALSE)</f>
        <v>1837</v>
      </c>
      <c r="E2212" s="67" t="s">
        <v>337</v>
      </c>
      <c r="F2212" s="67"/>
      <c r="G2212" s="69" t="s">
        <v>1361</v>
      </c>
    </row>
    <row r="2213" spans="2:7">
      <c r="B2213" s="266"/>
      <c r="C2213" s="65" t="s">
        <v>1362</v>
      </c>
      <c r="D2213" s="66">
        <f>VLOOKUP(C2213,基本字段定义!$B$3:$C$3008,2,FALSE)</f>
        <v>1838</v>
      </c>
      <c r="E2213" s="67" t="s">
        <v>337</v>
      </c>
      <c r="F2213" s="67"/>
      <c r="G2213" s="69" t="s">
        <v>1363</v>
      </c>
    </row>
    <row r="2214" spans="2:7">
      <c r="B2214" s="266"/>
      <c r="C2214" s="65" t="s">
        <v>1364</v>
      </c>
      <c r="D2214" s="66">
        <f>VLOOKUP(C2214,基本字段定义!$B$3:$C$3008,2,FALSE)</f>
        <v>1835</v>
      </c>
      <c r="E2214" s="67" t="s">
        <v>537</v>
      </c>
      <c r="F2214" s="67"/>
      <c r="G2214" s="69" t="s">
        <v>1365</v>
      </c>
    </row>
    <row r="2215" spans="2:7">
      <c r="B2215" s="266"/>
      <c r="C2215" s="65" t="s">
        <v>1248</v>
      </c>
      <c r="D2215" s="66">
        <f>VLOOKUP(C2215,基本字段定义!$B$3:$C$3008,2,FALSE)</f>
        <v>621</v>
      </c>
      <c r="E2215" s="67" t="s">
        <v>537</v>
      </c>
      <c r="F2215" s="67"/>
      <c r="G2215" s="69" t="s">
        <v>1366</v>
      </c>
    </row>
    <row r="2216" spans="2:7">
      <c r="B2216" s="266"/>
      <c r="C2216" s="65" t="s">
        <v>1367</v>
      </c>
      <c r="D2216" s="66">
        <f>VLOOKUP(C2216,基本字段定义!$B$3:$C$3008,2,FALSE)</f>
        <v>774</v>
      </c>
      <c r="E2216" s="67" t="s">
        <v>537</v>
      </c>
      <c r="F2216" s="67"/>
      <c r="G2216" s="69" t="s">
        <v>1368</v>
      </c>
    </row>
    <row r="2217" spans="2:7">
      <c r="B2217" s="266"/>
      <c r="C2217" s="65" t="s">
        <v>1257</v>
      </c>
      <c r="D2217" s="66">
        <f>VLOOKUP(C2217,基本字段定义!$B$3:$C$3008,2,FALSE)</f>
        <v>1859</v>
      </c>
      <c r="E2217" s="67" t="s">
        <v>537</v>
      </c>
      <c r="F2217" s="67"/>
      <c r="G2217" s="69" t="s">
        <v>1258</v>
      </c>
    </row>
    <row r="2218" spans="2:7">
      <c r="B2218" s="266"/>
      <c r="C2218" s="65" t="s">
        <v>1259</v>
      </c>
      <c r="D2218" s="66">
        <f>VLOOKUP(C2218,基本字段定义!$B$3:$C$3008,2,FALSE)</f>
        <v>1860</v>
      </c>
      <c r="E2218" s="67" t="s">
        <v>537</v>
      </c>
      <c r="F2218" s="67"/>
      <c r="G2218" s="69" t="s">
        <v>1260</v>
      </c>
    </row>
    <row r="2219" spans="2:7">
      <c r="B2219" s="266"/>
      <c r="C2219" s="65" t="s">
        <v>1397</v>
      </c>
      <c r="D2219" s="66">
        <f>VLOOKUP(C2219,基本字段定义!$B$3:$C$3008,2,FALSE)</f>
        <v>515</v>
      </c>
      <c r="E2219" s="67" t="s">
        <v>537</v>
      </c>
      <c r="F2219" s="67"/>
      <c r="G2219" s="69" t="s">
        <v>1398</v>
      </c>
    </row>
    <row r="2220" spans="2:7">
      <c r="B2220" s="266"/>
      <c r="C2220" s="65" t="s">
        <v>1399</v>
      </c>
      <c r="D2220" s="66">
        <f>VLOOKUP(C2220,基本字段定义!$B$3:$C$3008,2,FALSE)</f>
        <v>551</v>
      </c>
      <c r="E2220" s="67" t="s">
        <v>537</v>
      </c>
      <c r="F2220" s="67"/>
      <c r="G2220" s="69" t="s">
        <v>1400</v>
      </c>
    </row>
    <row r="2221" spans="2:7">
      <c r="B2221" s="266"/>
      <c r="C2221" s="65" t="s">
        <v>813</v>
      </c>
      <c r="D2221" s="66">
        <f>VLOOKUP(C2221,基本字段定义!$B$3:$C$3008,2,FALSE)</f>
        <v>758</v>
      </c>
      <c r="E2221" s="67" t="s">
        <v>337</v>
      </c>
      <c r="F2221" s="67"/>
      <c r="G2221" s="69" t="s">
        <v>1401</v>
      </c>
    </row>
    <row r="2222" spans="2:7">
      <c r="B2222" s="266"/>
      <c r="C2222" s="65" t="s">
        <v>1380</v>
      </c>
      <c r="D2222" s="66">
        <f>VLOOKUP(C2222,基本字段定义!$B$3:$C$3008,2,FALSE)</f>
        <v>1824</v>
      </c>
      <c r="E2222" s="67" t="s">
        <v>337</v>
      </c>
      <c r="F2222" s="67"/>
      <c r="G2222" s="69" t="s">
        <v>1402</v>
      </c>
    </row>
    <row r="2223" spans="2:7">
      <c r="B2223" s="266"/>
      <c r="C2223" s="65" t="s">
        <v>755</v>
      </c>
      <c r="D2223" s="66">
        <f>VLOOKUP(C2223,基本字段定义!$B$3:$C$3008,2,FALSE)</f>
        <v>9136</v>
      </c>
      <c r="E2223" s="67" t="s">
        <v>537</v>
      </c>
      <c r="F2223" s="67"/>
      <c r="G2223" s="69" t="s">
        <v>1403</v>
      </c>
    </row>
    <row r="2224" spans="2:7">
      <c r="B2224" s="266"/>
      <c r="C2224" s="65" t="s">
        <v>1219</v>
      </c>
      <c r="D2224" s="66">
        <f>VLOOKUP(C2224,基本字段定义!$B$3:$C$3008,2,FALSE)</f>
        <v>805</v>
      </c>
      <c r="E2224" s="67" t="s">
        <v>537</v>
      </c>
      <c r="F2224" s="67"/>
      <c r="G2224" s="69" t="s">
        <v>1404</v>
      </c>
    </row>
    <row r="2225" spans="2:7">
      <c r="B2225" s="266"/>
      <c r="C2225" s="65" t="s">
        <v>1405</v>
      </c>
      <c r="D2225" s="66">
        <f>VLOOKUP(C2225,基本字段定义!$B$3:$C$3008,2,FALSE)</f>
        <v>932</v>
      </c>
      <c r="E2225" s="67" t="s">
        <v>537</v>
      </c>
      <c r="F2225" s="67"/>
      <c r="G2225" s="69" t="s">
        <v>1154</v>
      </c>
    </row>
    <row r="2226" spans="2:7">
      <c r="B2226" s="266"/>
      <c r="C2226" s="65" t="s">
        <v>547</v>
      </c>
      <c r="D2226" s="66">
        <f>VLOOKUP(C2226,基本字段定义!$B$3:$C$3008,2,FALSE)</f>
        <v>760</v>
      </c>
      <c r="E2226" s="67" t="s">
        <v>537</v>
      </c>
      <c r="F2226" s="67"/>
      <c r="G2226" s="69" t="s">
        <v>1386</v>
      </c>
    </row>
    <row r="2227" spans="2:7">
      <c r="B2227" s="266"/>
      <c r="C2227" s="65" t="s">
        <v>1387</v>
      </c>
      <c r="D2227" s="66">
        <f>VLOOKUP(C2227,基本字段定义!$B$3:$C$3008,2,FALSE)</f>
        <v>1641</v>
      </c>
      <c r="E2227" s="67" t="s">
        <v>537</v>
      </c>
      <c r="F2227" s="67"/>
      <c r="G2227" s="69" t="s">
        <v>1388</v>
      </c>
    </row>
    <row r="2228" spans="2:7">
      <c r="B2228" s="266"/>
      <c r="C2228" s="65" t="s">
        <v>1389</v>
      </c>
      <c r="D2228" s="66">
        <f>VLOOKUP(C2228,基本字段定义!$B$3:$C$3008,2,FALSE)</f>
        <v>1642</v>
      </c>
      <c r="E2228" s="67" t="s">
        <v>537</v>
      </c>
      <c r="F2228" s="67"/>
      <c r="G2228" s="69" t="s">
        <v>1390</v>
      </c>
    </row>
    <row r="2229" spans="2:7">
      <c r="B2229" s="270"/>
      <c r="C2229" s="71"/>
      <c r="D2229" s="79"/>
      <c r="E2229" s="73"/>
      <c r="F2229" s="73"/>
      <c r="G2229" s="74"/>
    </row>
    <row r="2231" spans="2:7">
      <c r="B2231" s="53" t="s">
        <v>146</v>
      </c>
      <c r="C2231" s="80">
        <v>304804</v>
      </c>
      <c r="D2231" s="81"/>
      <c r="E2231" s="82"/>
      <c r="F2231" s="54" t="s">
        <v>326</v>
      </c>
      <c r="G2231" s="55"/>
    </row>
    <row r="2232" spans="2:7">
      <c r="B2232" s="56" t="s">
        <v>327</v>
      </c>
      <c r="C2232" s="83" t="str">
        <f>VLOOKUP(C2231,功能索引!$C$3:$D$269,2,FALSE)</f>
        <v>信用指令信息查询</v>
      </c>
      <c r="D2232" s="84"/>
      <c r="E2232" s="85"/>
      <c r="F2232" s="57" t="s">
        <v>148</v>
      </c>
      <c r="G2232" s="58" t="str">
        <f>VLOOKUP(C2231,功能索引!$C$3:$E2459,3,FALSE)</f>
        <v>Y</v>
      </c>
    </row>
    <row r="2233" spans="2:7">
      <c r="B2233" s="269" t="s">
        <v>328</v>
      </c>
      <c r="C2233" s="95"/>
      <c r="D2233" s="96"/>
      <c r="E2233" s="96"/>
      <c r="F2233" s="96"/>
      <c r="G2233" s="97"/>
    </row>
    <row r="2234" spans="2:7">
      <c r="B2234" s="270"/>
      <c r="C2234" s="98"/>
      <c r="D2234" s="99"/>
      <c r="E2234" s="99"/>
      <c r="F2234" s="99"/>
      <c r="G2234" s="100"/>
    </row>
    <row r="2235" spans="2:7">
      <c r="B2235" s="287" t="s">
        <v>329</v>
      </c>
      <c r="C2235" s="54" t="s">
        <v>330</v>
      </c>
      <c r="D2235" s="54" t="s">
        <v>331</v>
      </c>
      <c r="E2235" s="54" t="s">
        <v>332</v>
      </c>
      <c r="F2235" s="54" t="s">
        <v>333</v>
      </c>
      <c r="G2235" s="60" t="s">
        <v>334</v>
      </c>
    </row>
    <row r="2236" spans="2:7">
      <c r="B2236" s="267"/>
      <c r="C2236" s="61" t="s">
        <v>402</v>
      </c>
      <c r="D2236" s="62">
        <f>VLOOKUP(C2236,基本字段定义!$B$3:$C$3008,2,FALSE)</f>
        <v>605</v>
      </c>
      <c r="E2236" s="63" t="s">
        <v>403</v>
      </c>
      <c r="F2236" s="63" t="s">
        <v>152</v>
      </c>
      <c r="G2236" s="64" t="s">
        <v>404</v>
      </c>
    </row>
    <row r="2237" spans="2:7">
      <c r="B2237" s="286"/>
      <c r="C2237" s="61" t="s">
        <v>467</v>
      </c>
      <c r="D2237" s="62">
        <f>VLOOKUP(C2237,基本字段定义!$B$3:$C$3008,2,FALSE)</f>
        <v>891</v>
      </c>
      <c r="E2237" s="63" t="s">
        <v>337</v>
      </c>
      <c r="F2237" s="63"/>
      <c r="G2237" s="64" t="s">
        <v>1406</v>
      </c>
    </row>
    <row r="2238" spans="2:7">
      <c r="B2238" s="269" t="s">
        <v>335</v>
      </c>
      <c r="C2238" s="65" t="s">
        <v>614</v>
      </c>
      <c r="D2238" s="66">
        <f>VLOOKUP(C2238,基本字段定义!$B$3:$C$3008,2,FALSE)</f>
        <v>912</v>
      </c>
      <c r="E2238" s="67" t="s">
        <v>339</v>
      </c>
      <c r="F2238" s="67"/>
      <c r="G2238" s="68" t="s">
        <v>1407</v>
      </c>
    </row>
    <row r="2239" spans="2:7">
      <c r="B2239" s="269"/>
      <c r="C2239" s="65" t="s">
        <v>524</v>
      </c>
      <c r="D2239" s="66">
        <f>VLOOKUP(C2239,基本字段定义!$B$3:$C$3008,2,FALSE)</f>
        <v>511</v>
      </c>
      <c r="E2239" s="67" t="s">
        <v>339</v>
      </c>
      <c r="F2239" s="67"/>
      <c r="G2239" s="69" t="s">
        <v>525</v>
      </c>
    </row>
    <row r="2240" spans="2:7">
      <c r="B2240" s="269"/>
      <c r="C2240" s="65" t="s">
        <v>467</v>
      </c>
      <c r="D2240" s="66">
        <f>VLOOKUP(C2240,基本字段定义!$B$3:$C$3008,2,FALSE)</f>
        <v>891</v>
      </c>
      <c r="E2240" s="67" t="s">
        <v>337</v>
      </c>
      <c r="F2240" s="67"/>
      <c r="G2240" s="69" t="s">
        <v>1406</v>
      </c>
    </row>
    <row r="2241" spans="2:7">
      <c r="B2241" s="269"/>
      <c r="C2241" s="65" t="s">
        <v>731</v>
      </c>
      <c r="D2241" s="66">
        <f>VLOOKUP(C2241,基本字段定义!$B$3:$C$3008,2,FALSE)</f>
        <v>9108</v>
      </c>
      <c r="E2241" s="67" t="s">
        <v>337</v>
      </c>
      <c r="F2241" s="67"/>
      <c r="G2241" s="69" t="s">
        <v>1408</v>
      </c>
    </row>
    <row r="2242" spans="2:7">
      <c r="B2242" s="269"/>
      <c r="C2242" s="65" t="s">
        <v>652</v>
      </c>
      <c r="D2242" s="66">
        <f>VLOOKUP(C2242,基本字段定义!$B$3:$C$3008,2,FALSE)</f>
        <v>1980</v>
      </c>
      <c r="E2242" s="67" t="s">
        <v>337</v>
      </c>
      <c r="F2242" s="67"/>
      <c r="G2242" s="69" t="s">
        <v>653</v>
      </c>
    </row>
    <row r="2243" spans="2:7">
      <c r="B2243" s="269"/>
      <c r="C2243" s="65" t="s">
        <v>755</v>
      </c>
      <c r="D2243" s="66">
        <f>VLOOKUP(C2243,基本字段定义!$B$3:$C$3008,2,FALSE)</f>
        <v>9136</v>
      </c>
      <c r="E2243" s="67" t="s">
        <v>537</v>
      </c>
      <c r="F2243" s="67"/>
      <c r="G2243" s="69" t="s">
        <v>1409</v>
      </c>
    </row>
    <row r="2244" spans="2:7">
      <c r="B2244" s="269"/>
      <c r="C2244" s="65" t="s">
        <v>1136</v>
      </c>
      <c r="D2244" s="66">
        <f>VLOOKUP(C2244,基本字段定义!$B$3:$C$3008,2,FALSE)</f>
        <v>1262</v>
      </c>
      <c r="E2244" s="67" t="s">
        <v>339</v>
      </c>
      <c r="F2244" s="67"/>
      <c r="G2244" s="69" t="s">
        <v>1410</v>
      </c>
    </row>
    <row r="2245" spans="2:7">
      <c r="B2245" s="270"/>
      <c r="C2245" s="71"/>
      <c r="D2245" s="79"/>
      <c r="E2245" s="73"/>
      <c r="F2245" s="73"/>
      <c r="G2245" s="74"/>
    </row>
    <row r="2247" spans="2:7">
      <c r="B2247" s="53" t="s">
        <v>146</v>
      </c>
      <c r="C2247" s="80">
        <v>304822</v>
      </c>
      <c r="D2247" s="81"/>
      <c r="E2247" s="82"/>
      <c r="F2247" s="54" t="s">
        <v>326</v>
      </c>
      <c r="G2247" s="55"/>
    </row>
    <row r="2248" spans="2:7">
      <c r="B2248" s="56" t="s">
        <v>327</v>
      </c>
      <c r="C2248" s="83" t="str">
        <f>VLOOKUP(C2247,功能索引!$C$3:$D$269,2,FALSE)</f>
        <v>信用负债变动明细查询</v>
      </c>
      <c r="D2248" s="84"/>
      <c r="E2248" s="85"/>
      <c r="F2248" s="57" t="s">
        <v>148</v>
      </c>
      <c r="G2248" s="58" t="str">
        <f>VLOOKUP(C2247,功能索引!$C$3:$E2344,3,FALSE)</f>
        <v>Y</v>
      </c>
    </row>
    <row r="2249" spans="2:7">
      <c r="B2249" s="269" t="s">
        <v>328</v>
      </c>
      <c r="C2249" s="95"/>
      <c r="D2249" s="96"/>
      <c r="E2249" s="96"/>
      <c r="F2249" s="96"/>
      <c r="G2249" s="97"/>
    </row>
    <row r="2250" spans="2:7">
      <c r="B2250" s="270"/>
      <c r="C2250" s="98"/>
      <c r="D2250" s="99"/>
      <c r="E2250" s="99"/>
      <c r="F2250" s="99"/>
      <c r="G2250" s="100"/>
    </row>
    <row r="2251" spans="2:7">
      <c r="B2251" s="287" t="s">
        <v>329</v>
      </c>
      <c r="C2251" s="54" t="s">
        <v>330</v>
      </c>
      <c r="D2251" s="54" t="s">
        <v>331</v>
      </c>
      <c r="E2251" s="54" t="s">
        <v>332</v>
      </c>
      <c r="F2251" s="54" t="s">
        <v>333</v>
      </c>
      <c r="G2251" s="60" t="s">
        <v>334</v>
      </c>
    </row>
    <row r="2252" spans="2:7">
      <c r="B2252" s="267"/>
      <c r="C2252" s="61" t="s">
        <v>402</v>
      </c>
      <c r="D2252" s="62">
        <f>VLOOKUP(C2252,基本字段定义!$B$3:$C$3008,2,FALSE)</f>
        <v>605</v>
      </c>
      <c r="E2252" s="63" t="s">
        <v>403</v>
      </c>
      <c r="F2252" s="63" t="s">
        <v>152</v>
      </c>
      <c r="G2252" s="64" t="s">
        <v>404</v>
      </c>
    </row>
    <row r="2253" spans="2:7">
      <c r="B2253" s="267"/>
      <c r="C2253" s="61" t="s">
        <v>559</v>
      </c>
      <c r="D2253" s="62">
        <f>VLOOKUP(C2253,基本字段定义!$B$3:$C$3008,2,FALSE)</f>
        <v>9020</v>
      </c>
      <c r="E2253" s="63" t="s">
        <v>337</v>
      </c>
      <c r="F2253" s="63"/>
      <c r="G2253" s="64" t="s">
        <v>1411</v>
      </c>
    </row>
    <row r="2254" spans="2:7">
      <c r="B2254" s="286"/>
      <c r="C2254" s="61" t="s">
        <v>899</v>
      </c>
      <c r="D2254" s="62">
        <f>VLOOKUP(C2254,基本字段定义!$B$3:$C$3008,2,FALSE)</f>
        <v>755</v>
      </c>
      <c r="E2254" s="63" t="s">
        <v>339</v>
      </c>
      <c r="F2254" s="63"/>
      <c r="G2254" s="115" t="s">
        <v>1412</v>
      </c>
    </row>
    <row r="2255" spans="2:7">
      <c r="B2255" s="269" t="s">
        <v>335</v>
      </c>
      <c r="C2255" s="65" t="s">
        <v>575</v>
      </c>
      <c r="D2255" s="66">
        <f>VLOOKUP(C2255,基本字段定义!$B$3:$C$3008,2,FALSE)</f>
        <v>797</v>
      </c>
      <c r="E2255" s="67" t="s">
        <v>339</v>
      </c>
      <c r="F2255" s="67"/>
      <c r="G2255" s="68" t="s">
        <v>1330</v>
      </c>
    </row>
    <row r="2256" spans="2:7">
      <c r="B2256" s="269"/>
      <c r="C2256" s="65" t="s">
        <v>1413</v>
      </c>
      <c r="D2256" s="66">
        <f>VLOOKUP(C2256,基本字段定义!$B$3:$C$3008,2,FALSE)</f>
        <v>871</v>
      </c>
      <c r="E2256" s="67" t="s">
        <v>339</v>
      </c>
      <c r="F2256" s="67"/>
      <c r="G2256" s="69" t="s">
        <v>1414</v>
      </c>
    </row>
    <row r="2257" spans="2:7">
      <c r="B2257" s="269"/>
      <c r="C2257" s="65" t="s">
        <v>899</v>
      </c>
      <c r="D2257" s="66">
        <f>VLOOKUP(C2257,基本字段定义!$B$3:$C$3008,2,FALSE)</f>
        <v>755</v>
      </c>
      <c r="E2257" s="67" t="s">
        <v>337</v>
      </c>
      <c r="F2257" s="67"/>
      <c r="G2257" s="111" t="s">
        <v>1415</v>
      </c>
    </row>
    <row r="2258" spans="2:7">
      <c r="B2258" s="269"/>
      <c r="C2258" s="65" t="s">
        <v>405</v>
      </c>
      <c r="D2258" s="66">
        <f>VLOOKUP(C2258,基本字段定义!$B$3:$C$3008,2,FALSE)</f>
        <v>571</v>
      </c>
      <c r="E2258" s="67" t="s">
        <v>339</v>
      </c>
      <c r="F2258" s="67"/>
      <c r="G2258" s="69" t="s">
        <v>407</v>
      </c>
    </row>
    <row r="2259" spans="2:7">
      <c r="B2259" s="269"/>
      <c r="C2259" s="65" t="s">
        <v>361</v>
      </c>
      <c r="D2259" s="66">
        <f>VLOOKUP(C2259,基本字段定义!$B$3:$C$3008,2,FALSE)</f>
        <v>599</v>
      </c>
      <c r="E2259" s="67" t="s">
        <v>339</v>
      </c>
      <c r="F2259" s="67"/>
      <c r="G2259" s="69" t="s">
        <v>363</v>
      </c>
    </row>
    <row r="2260" spans="2:7">
      <c r="B2260" s="269"/>
      <c r="C2260" s="65" t="s">
        <v>640</v>
      </c>
      <c r="D2260" s="66">
        <f>VLOOKUP(C2260,基本字段定义!$B$3:$C$3008,2,FALSE)</f>
        <v>719</v>
      </c>
      <c r="E2260" s="67" t="s">
        <v>339</v>
      </c>
      <c r="F2260" s="67"/>
      <c r="G2260" s="69" t="s">
        <v>657</v>
      </c>
    </row>
    <row r="2261" spans="2:7">
      <c r="B2261" s="269"/>
      <c r="C2261" s="65" t="s">
        <v>841</v>
      </c>
      <c r="D2261" s="66">
        <f>VLOOKUP(C2261,基本字段定义!$B$3:$C$3008,2,FALSE)</f>
        <v>595</v>
      </c>
      <c r="E2261" s="67" t="s">
        <v>337</v>
      </c>
      <c r="F2261" s="67"/>
      <c r="G2261" s="69" t="s">
        <v>896</v>
      </c>
    </row>
    <row r="2262" spans="2:7">
      <c r="B2262" s="269"/>
      <c r="C2262" s="65" t="s">
        <v>582</v>
      </c>
      <c r="D2262" s="66">
        <f>VLOOKUP(C2262,基本字段定义!$B$3:$C$3008,2,FALSE)</f>
        <v>808</v>
      </c>
      <c r="E2262" s="67" t="s">
        <v>537</v>
      </c>
      <c r="F2262" s="67"/>
      <c r="G2262" s="69" t="s">
        <v>1416</v>
      </c>
    </row>
    <row r="2263" spans="2:7">
      <c r="B2263" s="269"/>
      <c r="C2263" s="65" t="s">
        <v>1417</v>
      </c>
      <c r="D2263" s="66">
        <f>VLOOKUP(C2263,基本字段定义!$B$3:$C$3008,2,FALSE)</f>
        <v>9146</v>
      </c>
      <c r="E2263" s="67" t="s">
        <v>337</v>
      </c>
      <c r="F2263" s="67"/>
      <c r="G2263" s="69" t="s">
        <v>1418</v>
      </c>
    </row>
    <row r="2264" spans="2:7">
      <c r="B2264" s="269"/>
      <c r="C2264" s="65" t="s">
        <v>964</v>
      </c>
      <c r="D2264" s="66">
        <f>VLOOKUP(C2264,基本字段定义!$B$3:$C$3008,2,FALSE)</f>
        <v>1234</v>
      </c>
      <c r="E2264" s="67" t="s">
        <v>537</v>
      </c>
      <c r="F2264" s="67"/>
      <c r="G2264" s="69" t="s">
        <v>965</v>
      </c>
    </row>
    <row r="2265" spans="2:7">
      <c r="B2265" s="269"/>
      <c r="C2265" s="65" t="s">
        <v>1331</v>
      </c>
      <c r="D2265" s="66">
        <f>VLOOKUP(C2265,基本字段定义!$B$3:$C$3008,2,FALSE)</f>
        <v>9061</v>
      </c>
      <c r="E2265" s="67" t="s">
        <v>337</v>
      </c>
      <c r="F2265" s="67"/>
      <c r="G2265" s="69" t="s">
        <v>593</v>
      </c>
    </row>
    <row r="2266" spans="2:7">
      <c r="B2266" s="269"/>
      <c r="C2266" s="65" t="s">
        <v>594</v>
      </c>
      <c r="D2266" s="66">
        <f>VLOOKUP(C2266,基本字段定义!$B$3:$C$3008,2,FALSE)</f>
        <v>865</v>
      </c>
      <c r="E2266" s="67" t="s">
        <v>339</v>
      </c>
      <c r="F2266" s="67"/>
      <c r="G2266" s="69" t="s">
        <v>595</v>
      </c>
    </row>
    <row r="2267" spans="2:7">
      <c r="B2267" s="269"/>
      <c r="C2267" s="65" t="s">
        <v>340</v>
      </c>
      <c r="D2267" s="66">
        <f>VLOOKUP(C2267,基本字段定义!$B$3:$C$3008,2,FALSE)</f>
        <v>1137</v>
      </c>
      <c r="E2267" s="67" t="s">
        <v>337</v>
      </c>
      <c r="F2267" s="67"/>
      <c r="G2267" s="69" t="s">
        <v>1419</v>
      </c>
    </row>
    <row r="2268" spans="2:7">
      <c r="B2268" s="269"/>
      <c r="C2268" s="65" t="s">
        <v>470</v>
      </c>
      <c r="D2268" s="66">
        <f>VLOOKUP(C2268,基本字段定义!$B$3:$C$3008,2,FALSE)</f>
        <v>730</v>
      </c>
      <c r="E2268" s="67" t="s">
        <v>339</v>
      </c>
      <c r="F2268" s="67"/>
      <c r="G2268" s="69" t="s">
        <v>1420</v>
      </c>
    </row>
    <row r="2269" spans="2:7">
      <c r="B2269" s="270"/>
      <c r="C2269" s="71"/>
      <c r="D2269" s="79"/>
      <c r="E2269" s="73"/>
      <c r="F2269" s="73"/>
      <c r="G2269" s="74"/>
    </row>
    <row r="2271" spans="2:7">
      <c r="B2271" s="53" t="s">
        <v>146</v>
      </c>
      <c r="C2271" s="80">
        <v>204884</v>
      </c>
      <c r="D2271" s="81"/>
      <c r="E2271" s="82"/>
      <c r="F2271" s="54" t="s">
        <v>326</v>
      </c>
      <c r="G2271" s="55"/>
    </row>
    <row r="2272" spans="2:7">
      <c r="B2272" s="56" t="s">
        <v>327</v>
      </c>
      <c r="C2272" s="83" t="str">
        <f>VLOOKUP(C2271,功能索引!$C$3:$D$269,2,FALSE)</f>
        <v>普通股东账户查询</v>
      </c>
      <c r="D2272" s="84"/>
      <c r="E2272" s="85"/>
      <c r="F2272" s="57" t="s">
        <v>148</v>
      </c>
      <c r="G2272" s="58" t="str">
        <f>VLOOKUP(C2271,功能索引!$C$3:$E2417,3,FALSE)</f>
        <v>Y</v>
      </c>
    </row>
    <row r="2273" spans="2:7" ht="13.5" customHeight="1">
      <c r="B2273" s="269" t="s">
        <v>328</v>
      </c>
      <c r="C2273" s="132" t="s">
        <v>1421</v>
      </c>
      <c r="D2273" s="133"/>
      <c r="E2273" s="133"/>
      <c r="F2273" s="133"/>
      <c r="G2273" s="134"/>
    </row>
    <row r="2274" spans="2:7">
      <c r="B2274" s="270"/>
      <c r="C2274" s="135"/>
      <c r="D2274" s="136"/>
      <c r="E2274" s="136"/>
      <c r="F2274" s="136"/>
      <c r="G2274" s="137"/>
    </row>
    <row r="2275" spans="2:7">
      <c r="B2275" s="271" t="s">
        <v>329</v>
      </c>
      <c r="C2275" s="54" t="s">
        <v>330</v>
      </c>
      <c r="D2275" s="54" t="s">
        <v>331</v>
      </c>
      <c r="E2275" s="54" t="s">
        <v>332</v>
      </c>
      <c r="F2275" s="54" t="s">
        <v>333</v>
      </c>
      <c r="G2275" s="60" t="s">
        <v>334</v>
      </c>
    </row>
    <row r="2276" spans="2:7">
      <c r="B2276" s="269"/>
      <c r="C2276" s="61" t="s">
        <v>402</v>
      </c>
      <c r="D2276" s="62">
        <f>VLOOKUP(C2276,基本字段定义!$B$3:$C$3008,2,FALSE)</f>
        <v>605</v>
      </c>
      <c r="E2276" s="63" t="s">
        <v>403</v>
      </c>
      <c r="F2276" s="63" t="s">
        <v>152</v>
      </c>
      <c r="G2276" s="64" t="s">
        <v>404</v>
      </c>
    </row>
    <row r="2277" spans="2:7">
      <c r="B2277" s="269"/>
      <c r="C2277" s="61" t="s">
        <v>361</v>
      </c>
      <c r="D2277" s="62">
        <f>VLOOKUP(C2277,基本字段定义!$B$3:$C$3008,2,FALSE)</f>
        <v>599</v>
      </c>
      <c r="E2277" s="63" t="s">
        <v>362</v>
      </c>
      <c r="F2277" s="63"/>
      <c r="G2277" s="64" t="s">
        <v>363</v>
      </c>
    </row>
    <row r="2278" spans="2:7">
      <c r="B2278" s="269" t="s">
        <v>335</v>
      </c>
      <c r="C2278" s="65" t="s">
        <v>405</v>
      </c>
      <c r="D2278" s="66">
        <f>VLOOKUP(C2278,基本字段定义!$B$3:$C$3008,2,FALSE)</f>
        <v>571</v>
      </c>
      <c r="E2278" s="67" t="s">
        <v>339</v>
      </c>
      <c r="F2278" s="67"/>
      <c r="G2278" s="68" t="s">
        <v>407</v>
      </c>
    </row>
    <row r="2279" spans="2:7">
      <c r="B2279" s="269"/>
      <c r="C2279" s="65" t="s">
        <v>361</v>
      </c>
      <c r="D2279" s="66">
        <f>VLOOKUP(C2279,基本字段定义!$B$3:$C$3008,2,FALSE)</f>
        <v>599</v>
      </c>
      <c r="E2279" s="67" t="s">
        <v>339</v>
      </c>
      <c r="F2279" s="67"/>
      <c r="G2279" s="69" t="s">
        <v>363</v>
      </c>
    </row>
    <row r="2280" spans="2:7">
      <c r="B2280" s="269"/>
      <c r="C2280" s="65" t="s">
        <v>524</v>
      </c>
      <c r="D2280" s="66">
        <f>VLOOKUP(C2280,基本字段定义!$B$3:$C$3008,2,FALSE)</f>
        <v>511</v>
      </c>
      <c r="E2280" s="67" t="s">
        <v>339</v>
      </c>
      <c r="F2280" s="67"/>
      <c r="G2280" s="69" t="s">
        <v>525</v>
      </c>
    </row>
    <row r="2281" spans="2:7">
      <c r="B2281" s="269"/>
      <c r="C2281" s="65" t="s">
        <v>530</v>
      </c>
      <c r="D2281" s="66">
        <f>VLOOKUP(C2281,基本字段定义!$B$3:$C$3008,2,FALSE)</f>
        <v>727</v>
      </c>
      <c r="E2281" s="67" t="s">
        <v>337</v>
      </c>
      <c r="F2281" s="67"/>
      <c r="G2281" s="69" t="s">
        <v>786</v>
      </c>
    </row>
    <row r="2282" spans="2:7">
      <c r="B2282" s="270"/>
      <c r="C2282" s="71"/>
      <c r="D2282" s="79"/>
      <c r="E2282" s="73"/>
      <c r="F2282" s="73"/>
      <c r="G2282" s="74"/>
    </row>
    <row r="2284" spans="2:7">
      <c r="B2284" s="53" t="s">
        <v>146</v>
      </c>
      <c r="C2284" s="80">
        <v>204880</v>
      </c>
      <c r="D2284" s="81"/>
      <c r="E2284" s="82"/>
      <c r="F2284" s="54" t="s">
        <v>326</v>
      </c>
      <c r="G2284" s="55"/>
    </row>
    <row r="2285" spans="2:7">
      <c r="B2285" s="56" t="s">
        <v>327</v>
      </c>
      <c r="C2285" s="83" t="str">
        <f>VLOOKUP(C2284,功能索引!$C$3:$D$269,2,FALSE)</f>
        <v>普通账户证券持仓查询</v>
      </c>
      <c r="D2285" s="84"/>
      <c r="E2285" s="85"/>
      <c r="F2285" s="57" t="s">
        <v>148</v>
      </c>
      <c r="G2285" s="58" t="str">
        <f>VLOOKUP(C2284,功能索引!$C$3:$E2442,3,FALSE)</f>
        <v>Y</v>
      </c>
    </row>
    <row r="2286" spans="2:7" ht="13.5" customHeight="1">
      <c r="B2286" s="269" t="s">
        <v>328</v>
      </c>
      <c r="C2286" s="132" t="s">
        <v>1422</v>
      </c>
      <c r="D2286" s="133"/>
      <c r="E2286" s="133"/>
      <c r="F2286" s="133"/>
      <c r="G2286" s="134"/>
    </row>
    <row r="2287" spans="2:7">
      <c r="B2287" s="270"/>
      <c r="C2287" s="135"/>
      <c r="D2287" s="136"/>
      <c r="E2287" s="136"/>
      <c r="F2287" s="136"/>
      <c r="G2287" s="137"/>
    </row>
    <row r="2288" spans="2:7">
      <c r="B2288" s="271" t="s">
        <v>329</v>
      </c>
      <c r="C2288" s="54" t="s">
        <v>330</v>
      </c>
      <c r="D2288" s="54" t="s">
        <v>331</v>
      </c>
      <c r="E2288" s="54" t="s">
        <v>332</v>
      </c>
      <c r="F2288" s="54" t="s">
        <v>333</v>
      </c>
      <c r="G2288" s="60" t="s">
        <v>334</v>
      </c>
    </row>
    <row r="2289" spans="2:7">
      <c r="B2289" s="269"/>
      <c r="C2289" s="61" t="s">
        <v>402</v>
      </c>
      <c r="D2289" s="62">
        <f>VLOOKUP(C2289,基本字段定义!$B$3:$C$3008,2,FALSE)</f>
        <v>605</v>
      </c>
      <c r="E2289" s="63" t="s">
        <v>403</v>
      </c>
      <c r="F2289" s="63" t="s">
        <v>152</v>
      </c>
      <c r="G2289" s="64" t="s">
        <v>404</v>
      </c>
    </row>
    <row r="2290" spans="2:7">
      <c r="B2290" s="269"/>
      <c r="C2290" s="61" t="s">
        <v>405</v>
      </c>
      <c r="D2290" s="62">
        <f>VLOOKUP(C2290,基本字段定义!$B$3:$C$3008,2,FALSE)</f>
        <v>571</v>
      </c>
      <c r="E2290" s="63" t="s">
        <v>406</v>
      </c>
      <c r="F2290" s="63"/>
      <c r="G2290" s="64" t="s">
        <v>407</v>
      </c>
    </row>
    <row r="2291" spans="2:7">
      <c r="B2291" s="269"/>
      <c r="C2291" s="61" t="s">
        <v>361</v>
      </c>
      <c r="D2291" s="62">
        <f>VLOOKUP(C2291,基本字段定义!$B$3:$C$3008,2,FALSE)</f>
        <v>599</v>
      </c>
      <c r="E2291" s="63" t="s">
        <v>362</v>
      </c>
      <c r="F2291" s="63"/>
      <c r="G2291" s="64" t="s">
        <v>363</v>
      </c>
    </row>
    <row r="2292" spans="2:7">
      <c r="B2292" s="269"/>
      <c r="C2292" s="61" t="s">
        <v>640</v>
      </c>
      <c r="D2292" s="62">
        <f>VLOOKUP(C2292,基本字段定义!$B$3:$C$3008,2,FALSE)</f>
        <v>719</v>
      </c>
      <c r="E2292" s="63" t="s">
        <v>480</v>
      </c>
      <c r="F2292" s="63"/>
      <c r="G2292" s="64" t="s">
        <v>657</v>
      </c>
    </row>
    <row r="2293" spans="2:7">
      <c r="B2293" s="269"/>
      <c r="C2293" s="61" t="s">
        <v>432</v>
      </c>
      <c r="D2293" s="62">
        <f>VLOOKUP(C2293,基本字段定义!$B$3:$C$3008,2,FALSE)</f>
        <v>988</v>
      </c>
      <c r="E2293" s="63" t="s">
        <v>337</v>
      </c>
      <c r="F2293" s="63"/>
      <c r="G2293" s="64" t="s">
        <v>793</v>
      </c>
    </row>
    <row r="2294" spans="2:7">
      <c r="B2294" s="269" t="s">
        <v>335</v>
      </c>
      <c r="C2294" s="65" t="s">
        <v>405</v>
      </c>
      <c r="D2294" s="66">
        <f>VLOOKUP(C2294,基本字段定义!$B$3:$C$3008,2,FALSE)</f>
        <v>571</v>
      </c>
      <c r="E2294" s="67" t="s">
        <v>339</v>
      </c>
      <c r="F2294" s="67"/>
      <c r="G2294" s="69" t="s">
        <v>407</v>
      </c>
    </row>
    <row r="2295" spans="2:7">
      <c r="B2295" s="269"/>
      <c r="C2295" s="65" t="s">
        <v>361</v>
      </c>
      <c r="D2295" s="66">
        <f>VLOOKUP(C2295,基本字段定义!$B$3:$C$3008,2,FALSE)</f>
        <v>599</v>
      </c>
      <c r="E2295" s="67" t="s">
        <v>339</v>
      </c>
      <c r="F2295" s="67"/>
      <c r="G2295" s="69" t="s">
        <v>363</v>
      </c>
    </row>
    <row r="2296" spans="2:7">
      <c r="B2296" s="269"/>
      <c r="C2296" s="65" t="s">
        <v>640</v>
      </c>
      <c r="D2296" s="66">
        <f>VLOOKUP(C2296,基本字段定义!$B$3:$C$3008,2,FALSE)</f>
        <v>719</v>
      </c>
      <c r="E2296" s="67" t="s">
        <v>339</v>
      </c>
      <c r="F2296" s="67"/>
      <c r="G2296" s="69" t="s">
        <v>657</v>
      </c>
    </row>
    <row r="2297" spans="2:7">
      <c r="B2297" s="269"/>
      <c r="C2297" s="65" t="s">
        <v>659</v>
      </c>
      <c r="D2297" s="66">
        <f>VLOOKUP(C2297,基本字段定义!$B$3:$C$3008,2,FALSE)</f>
        <v>722</v>
      </c>
      <c r="E2297" s="67" t="s">
        <v>339</v>
      </c>
      <c r="F2297" s="67"/>
      <c r="G2297" s="69" t="s">
        <v>660</v>
      </c>
    </row>
    <row r="2298" spans="2:7">
      <c r="B2298" s="269"/>
      <c r="C2298" s="65" t="s">
        <v>524</v>
      </c>
      <c r="D2298" s="66">
        <f>VLOOKUP(C2298,基本字段定义!$B$3:$C$3008,2,FALSE)</f>
        <v>511</v>
      </c>
      <c r="E2298" s="67" t="s">
        <v>339</v>
      </c>
      <c r="F2298" s="67"/>
      <c r="G2298" s="69" t="s">
        <v>525</v>
      </c>
    </row>
    <row r="2299" spans="2:7">
      <c r="B2299" s="269"/>
      <c r="C2299" s="65" t="s">
        <v>762</v>
      </c>
      <c r="D2299" s="66">
        <f>VLOOKUP(C2299,基本字段定义!$B$3:$C$3008,2,FALSE)</f>
        <v>724</v>
      </c>
      <c r="E2299" s="67" t="s">
        <v>337</v>
      </c>
      <c r="F2299" s="67"/>
      <c r="G2299" s="69" t="s">
        <v>794</v>
      </c>
    </row>
    <row r="2300" spans="2:7">
      <c r="B2300" s="269"/>
      <c r="C2300" s="65" t="s">
        <v>795</v>
      </c>
      <c r="D2300" s="66">
        <f>VLOOKUP(C2300,基本字段定义!$B$3:$C$3008,2,FALSE)</f>
        <v>543</v>
      </c>
      <c r="E2300" s="67" t="s">
        <v>337</v>
      </c>
      <c r="F2300" s="67"/>
      <c r="G2300" s="69" t="s">
        <v>796</v>
      </c>
    </row>
    <row r="2301" spans="2:7">
      <c r="B2301" s="269"/>
      <c r="C2301" s="65" t="s">
        <v>797</v>
      </c>
      <c r="D2301" s="66">
        <f>VLOOKUP(C2301,基本字段定义!$B$3:$C$3008,2,FALSE)</f>
        <v>545</v>
      </c>
      <c r="E2301" s="67" t="s">
        <v>337</v>
      </c>
      <c r="F2301" s="67"/>
      <c r="G2301" s="69" t="s">
        <v>798</v>
      </c>
    </row>
    <row r="2302" spans="2:7">
      <c r="B2302" s="269"/>
      <c r="C2302" s="65" t="s">
        <v>799</v>
      </c>
      <c r="D2302" s="66">
        <f>VLOOKUP(C2302,基本字段定义!$B$3:$C$3008,2,FALSE)</f>
        <v>541</v>
      </c>
      <c r="E2302" s="67" t="s">
        <v>337</v>
      </c>
      <c r="F2302" s="67"/>
      <c r="G2302" s="69" t="s">
        <v>800</v>
      </c>
    </row>
    <row r="2303" spans="2:7">
      <c r="B2303" s="269"/>
      <c r="C2303" s="65" t="s">
        <v>801</v>
      </c>
      <c r="D2303" s="66">
        <f>VLOOKUP(C2303,基本字段定义!$B$3:$C$3008,2,FALSE)</f>
        <v>1184</v>
      </c>
      <c r="E2303" s="67" t="s">
        <v>337</v>
      </c>
      <c r="F2303" s="67"/>
      <c r="G2303" s="69" t="s">
        <v>802</v>
      </c>
    </row>
    <row r="2304" spans="2:7">
      <c r="B2304" s="269"/>
      <c r="C2304" s="65" t="s">
        <v>803</v>
      </c>
      <c r="D2304" s="66">
        <f>VLOOKUP(C2304,基本字段定义!$B$3:$C$3008,2,FALSE)</f>
        <v>1179</v>
      </c>
      <c r="E2304" s="67" t="s">
        <v>337</v>
      </c>
      <c r="F2304" s="67"/>
      <c r="G2304" s="69" t="s">
        <v>804</v>
      </c>
    </row>
    <row r="2305" spans="2:7">
      <c r="B2305" s="269"/>
      <c r="C2305" s="65" t="s">
        <v>805</v>
      </c>
      <c r="D2305" s="66">
        <f>VLOOKUP(C2305,基本字段定义!$B$3:$C$3008,2,FALSE)</f>
        <v>615</v>
      </c>
      <c r="E2305" s="67" t="s">
        <v>337</v>
      </c>
      <c r="F2305" s="67"/>
      <c r="G2305" s="69" t="s">
        <v>806</v>
      </c>
    </row>
    <row r="2306" spans="2:7">
      <c r="B2306" s="269"/>
      <c r="C2306" s="65" t="s">
        <v>807</v>
      </c>
      <c r="D2306" s="66">
        <f>VLOOKUP(C2306,基本字段定义!$B$3:$C$3008,2,FALSE)</f>
        <v>1235</v>
      </c>
      <c r="E2306" s="67" t="s">
        <v>337</v>
      </c>
      <c r="F2306" s="67"/>
      <c r="G2306" s="69" t="s">
        <v>808</v>
      </c>
    </row>
    <row r="2307" spans="2:7">
      <c r="B2307" s="269"/>
      <c r="C2307" s="65" t="s">
        <v>809</v>
      </c>
      <c r="D2307" s="66">
        <f>VLOOKUP(C2307,基本字段定义!$B$3:$C$3008,2,FALSE)</f>
        <v>568</v>
      </c>
      <c r="E2307" s="67" t="s">
        <v>337</v>
      </c>
      <c r="F2307" s="67"/>
      <c r="G2307" s="69" t="s">
        <v>810</v>
      </c>
    </row>
    <row r="2308" spans="2:7">
      <c r="B2308" s="269"/>
      <c r="C2308" s="65" t="s">
        <v>811</v>
      </c>
      <c r="D2308" s="66">
        <f>VLOOKUP(C2308,基本字段定义!$B$3:$C$3008,2,FALSE)</f>
        <v>757</v>
      </c>
      <c r="E2308" s="67" t="s">
        <v>337</v>
      </c>
      <c r="F2308" s="67"/>
      <c r="G2308" s="69" t="s">
        <v>812</v>
      </c>
    </row>
    <row r="2309" spans="2:7">
      <c r="B2309" s="269"/>
      <c r="C2309" s="65" t="s">
        <v>813</v>
      </c>
      <c r="D2309" s="66">
        <f>VLOOKUP(C2309,基本字段定义!$B$3:$C$3008,2,FALSE)</f>
        <v>758</v>
      </c>
      <c r="E2309" s="67" t="s">
        <v>337</v>
      </c>
      <c r="F2309" s="67"/>
      <c r="G2309" s="69" t="s">
        <v>814</v>
      </c>
    </row>
    <row r="2310" spans="2:7">
      <c r="B2310" s="269"/>
      <c r="C2310" s="65" t="s">
        <v>815</v>
      </c>
      <c r="D2310" s="66">
        <f>VLOOKUP(C2310,基本字段定义!$B$3:$C$3008,2,FALSE)</f>
        <v>603</v>
      </c>
      <c r="E2310" s="67" t="s">
        <v>337</v>
      </c>
      <c r="F2310" s="67"/>
      <c r="G2310" s="69" t="s">
        <v>816</v>
      </c>
    </row>
    <row r="2311" spans="2:7">
      <c r="B2311" s="269"/>
      <c r="C2311" s="65" t="s">
        <v>547</v>
      </c>
      <c r="D2311" s="66">
        <f>VLOOKUP(C2311,基本字段定义!$B$3:$C$3008,2,FALSE)</f>
        <v>760</v>
      </c>
      <c r="E2311" s="67" t="s">
        <v>537</v>
      </c>
      <c r="F2311" s="67"/>
      <c r="G2311" s="69" t="s">
        <v>817</v>
      </c>
    </row>
    <row r="2312" spans="2:7">
      <c r="B2312" s="269"/>
      <c r="C2312" s="65" t="s">
        <v>661</v>
      </c>
      <c r="D2312" s="66">
        <f>VLOOKUP(C2312,基本字段定义!$B$3:$C$3008,2,FALSE)</f>
        <v>591</v>
      </c>
      <c r="E2312" s="67" t="s">
        <v>337</v>
      </c>
      <c r="F2312" s="67"/>
      <c r="G2312" s="69" t="s">
        <v>818</v>
      </c>
    </row>
    <row r="2313" spans="2:7">
      <c r="B2313" s="269"/>
      <c r="C2313" s="65" t="s">
        <v>665</v>
      </c>
      <c r="D2313" s="66">
        <f>VLOOKUP(C2313,基本字段定义!$B$3:$C$3008,2,FALSE)</f>
        <v>729</v>
      </c>
      <c r="E2313" s="67" t="s">
        <v>537</v>
      </c>
      <c r="F2313" s="67"/>
      <c r="G2313" s="69" t="s">
        <v>819</v>
      </c>
    </row>
    <row r="2314" spans="2:7">
      <c r="B2314" s="269"/>
      <c r="C2314" s="65" t="s">
        <v>675</v>
      </c>
      <c r="D2314" s="66">
        <f>VLOOKUP(C2314,基本字段定义!$B$3:$C$3008,2,FALSE)</f>
        <v>961</v>
      </c>
      <c r="E2314" s="67" t="s">
        <v>537</v>
      </c>
      <c r="F2314" s="67"/>
      <c r="G2314" s="69" t="s">
        <v>820</v>
      </c>
    </row>
    <row r="2315" spans="2:7">
      <c r="B2315" s="269"/>
      <c r="C2315" s="65" t="s">
        <v>821</v>
      </c>
      <c r="D2315" s="66">
        <f>VLOOKUP(C2315,基本字段定义!$B$3:$C$3008,2,FALSE)</f>
        <v>636</v>
      </c>
      <c r="E2315" s="67" t="s">
        <v>537</v>
      </c>
      <c r="F2315" s="67"/>
      <c r="G2315" s="69" t="s">
        <v>822</v>
      </c>
    </row>
    <row r="2316" spans="2:7">
      <c r="B2316" s="269"/>
      <c r="C2316" s="65" t="s">
        <v>823</v>
      </c>
      <c r="D2316" s="66">
        <f>VLOOKUP(C2316,基本字段定义!$B$3:$C$3008,2,FALSE)</f>
        <v>1209</v>
      </c>
      <c r="E2316" s="67" t="s">
        <v>537</v>
      </c>
      <c r="F2316" s="67" t="s">
        <v>824</v>
      </c>
      <c r="G2316" s="69" t="s">
        <v>825</v>
      </c>
    </row>
    <row r="2317" spans="2:7">
      <c r="B2317" s="269"/>
      <c r="C2317" s="65" t="s">
        <v>826</v>
      </c>
      <c r="D2317" s="66">
        <f>VLOOKUP(C2317,基本字段定义!$B$3:$C$3008,2,FALSE)</f>
        <v>1098</v>
      </c>
      <c r="E2317" s="67" t="s">
        <v>537</v>
      </c>
      <c r="F2317" s="67"/>
      <c r="G2317" s="69" t="s">
        <v>827</v>
      </c>
    </row>
    <row r="2318" spans="2:7">
      <c r="B2318" s="269"/>
      <c r="C2318" s="65" t="s">
        <v>828</v>
      </c>
      <c r="D2318" s="66">
        <f>VLOOKUP(C2318,基本字段定义!$B$3:$C$3008,2,FALSE)</f>
        <v>761</v>
      </c>
      <c r="E2318" s="67" t="s">
        <v>537</v>
      </c>
      <c r="F2318" s="67"/>
      <c r="G2318" s="69" t="s">
        <v>829</v>
      </c>
    </row>
    <row r="2319" spans="2:7">
      <c r="B2319" s="269"/>
      <c r="C2319" s="65" t="s">
        <v>830</v>
      </c>
      <c r="D2319" s="66">
        <f>VLOOKUP(C2319,基本字段定义!$B$3:$C$3008,2,FALSE)</f>
        <v>1210</v>
      </c>
      <c r="E2319" s="67" t="s">
        <v>537</v>
      </c>
      <c r="F2319" s="67"/>
      <c r="G2319" s="69" t="s">
        <v>831</v>
      </c>
    </row>
    <row r="2320" spans="2:7">
      <c r="B2320" s="269"/>
      <c r="C2320" s="65" t="s">
        <v>832</v>
      </c>
      <c r="D2320" s="66">
        <f>VLOOKUP(C2320,基本字段定义!$B$3:$C$3008,2,FALSE)</f>
        <v>671</v>
      </c>
      <c r="E2320" s="67" t="s">
        <v>537</v>
      </c>
      <c r="F2320" s="67" t="s">
        <v>833</v>
      </c>
      <c r="G2320" s="69" t="s">
        <v>834</v>
      </c>
    </row>
    <row r="2321" spans="2:7">
      <c r="B2321" s="269"/>
      <c r="C2321" s="65" t="s">
        <v>835</v>
      </c>
      <c r="D2321" s="66">
        <f>VLOOKUP(C2321,基本字段定义!$B$3:$C$3008,2,FALSE)</f>
        <v>748</v>
      </c>
      <c r="E2321" s="67" t="s">
        <v>537</v>
      </c>
      <c r="F2321" s="67"/>
      <c r="G2321" s="69" t="s">
        <v>836</v>
      </c>
    </row>
    <row r="2322" spans="2:7">
      <c r="B2322" s="269"/>
      <c r="C2322" s="65" t="s">
        <v>837</v>
      </c>
      <c r="D2322" s="66">
        <f>VLOOKUP(C2322,基本字段定义!$B$3:$C$3008,2,FALSE)</f>
        <v>749</v>
      </c>
      <c r="E2322" s="67" t="s">
        <v>537</v>
      </c>
      <c r="F2322" s="67"/>
      <c r="G2322" s="69" t="s">
        <v>838</v>
      </c>
    </row>
    <row r="2323" spans="2:7">
      <c r="B2323" s="270"/>
      <c r="C2323" s="71"/>
      <c r="D2323" s="79"/>
      <c r="E2323" s="73"/>
      <c r="F2323" s="73"/>
      <c r="G2323" s="74"/>
    </row>
    <row r="2325" spans="2:7">
      <c r="B2325" s="53" t="s">
        <v>146</v>
      </c>
      <c r="C2325" s="80">
        <v>204956</v>
      </c>
      <c r="D2325" s="81"/>
      <c r="E2325" s="82"/>
      <c r="F2325" s="54" t="s">
        <v>326</v>
      </c>
      <c r="G2325" s="55"/>
    </row>
    <row r="2326" spans="2:7">
      <c r="B2326" s="56" t="s">
        <v>327</v>
      </c>
      <c r="C2326" s="83" t="str">
        <f>VLOOKUP(C2325,功能索引!$C$3:$D$269,2,FALSE)</f>
        <v>校验风险控制指标</v>
      </c>
      <c r="D2326" s="84"/>
      <c r="E2326" s="85"/>
      <c r="F2326" s="57" t="s">
        <v>148</v>
      </c>
      <c r="G2326" s="58">
        <f>VLOOKUP(C2325,功能索引!$C$3:$E2482,3,FALSE)</f>
        <v>0</v>
      </c>
    </row>
    <row r="2327" spans="2:7" ht="13.5" customHeight="1">
      <c r="B2327" s="269" t="s">
        <v>328</v>
      </c>
      <c r="C2327" s="132" t="s">
        <v>1422</v>
      </c>
      <c r="D2327" s="133"/>
      <c r="E2327" s="133"/>
      <c r="F2327" s="133"/>
      <c r="G2327" s="134"/>
    </row>
    <row r="2328" spans="2:7">
      <c r="B2328" s="270"/>
      <c r="C2328" s="135"/>
      <c r="D2328" s="136"/>
      <c r="E2328" s="136"/>
      <c r="F2328" s="136"/>
      <c r="G2328" s="137"/>
    </row>
    <row r="2329" spans="2:7">
      <c r="B2329" s="271" t="s">
        <v>329</v>
      </c>
      <c r="C2329" s="54" t="s">
        <v>330</v>
      </c>
      <c r="D2329" s="54" t="s">
        <v>331</v>
      </c>
      <c r="E2329" s="54" t="s">
        <v>332</v>
      </c>
      <c r="F2329" s="54" t="s">
        <v>333</v>
      </c>
      <c r="G2329" s="60" t="s">
        <v>334</v>
      </c>
    </row>
    <row r="2330" spans="2:7">
      <c r="B2330" s="269"/>
      <c r="C2330" s="61" t="s">
        <v>402</v>
      </c>
      <c r="D2330" s="62">
        <f>VLOOKUP(C2330,基本字段定义!$B$3:$C$3008,2,FALSE)</f>
        <v>605</v>
      </c>
      <c r="E2330" s="63" t="s">
        <v>403</v>
      </c>
      <c r="F2330" s="63"/>
      <c r="G2330" s="64" t="s">
        <v>404</v>
      </c>
    </row>
    <row r="2331" spans="2:7">
      <c r="B2331" s="269"/>
      <c r="C2331" s="61" t="s">
        <v>1066</v>
      </c>
      <c r="D2331" s="62">
        <f>VLOOKUP(C2331,基本字段定义!$B$3:$C$3008,2,FALSE)</f>
        <v>9132</v>
      </c>
      <c r="E2331" s="63" t="s">
        <v>537</v>
      </c>
      <c r="F2331" s="63" t="s">
        <v>152</v>
      </c>
      <c r="G2331" s="64" t="s">
        <v>1423</v>
      </c>
    </row>
    <row r="2332" spans="2:7">
      <c r="B2332" s="269"/>
      <c r="C2332" s="61" t="s">
        <v>776</v>
      </c>
      <c r="D2332" s="62">
        <v>684</v>
      </c>
      <c r="E2332" s="63" t="s">
        <v>537</v>
      </c>
      <c r="F2332" s="63" t="s">
        <v>152</v>
      </c>
      <c r="G2332" s="64"/>
    </row>
    <row r="2333" spans="2:7">
      <c r="B2333" s="269"/>
      <c r="C2333" s="61" t="s">
        <v>361</v>
      </c>
      <c r="D2333" s="62">
        <f>VLOOKUP(C2333,基本字段定义!$B$3:$C$3008,2,FALSE)</f>
        <v>599</v>
      </c>
      <c r="E2333" s="63" t="s">
        <v>362</v>
      </c>
      <c r="F2333" s="63"/>
      <c r="G2333" s="64" t="s">
        <v>363</v>
      </c>
    </row>
    <row r="2334" spans="2:7">
      <c r="B2334" s="269"/>
      <c r="C2334" s="61" t="s">
        <v>640</v>
      </c>
      <c r="D2334" s="62">
        <f>VLOOKUP(C2334,基本字段定义!$B$3:$C$3008,2,FALSE)</f>
        <v>719</v>
      </c>
      <c r="E2334" s="63" t="s">
        <v>480</v>
      </c>
      <c r="F2334" s="63"/>
      <c r="G2334" s="64" t="s">
        <v>657</v>
      </c>
    </row>
    <row r="2335" spans="2:7" ht="36" customHeight="1">
      <c r="B2335" s="269"/>
      <c r="C2335" s="61" t="s">
        <v>1129</v>
      </c>
      <c r="D2335" s="62">
        <f>VLOOKUP(C2335,基本字段定义!$B$3:$C$3008,2,FALSE)</f>
        <v>1463</v>
      </c>
      <c r="E2335" s="63" t="s">
        <v>337</v>
      </c>
      <c r="F2335" s="63" t="s">
        <v>152</v>
      </c>
      <c r="G2335" s="86" t="s">
        <v>1424</v>
      </c>
    </row>
    <row r="2336" spans="2:7">
      <c r="B2336" s="269" t="s">
        <v>335</v>
      </c>
      <c r="C2336" s="65" t="s">
        <v>336</v>
      </c>
      <c r="D2336" s="66">
        <f>VLOOKUP(C2336,基本字段定义!$B$3:$C$3008,2,FALSE)</f>
        <v>507</v>
      </c>
      <c r="E2336" s="67" t="s">
        <v>337</v>
      </c>
      <c r="F2336" s="67"/>
      <c r="G2336" s="69" t="s">
        <v>1425</v>
      </c>
    </row>
    <row r="2337" spans="2:7">
      <c r="B2337" s="269"/>
      <c r="C2337" s="65" t="s">
        <v>338</v>
      </c>
      <c r="D2337" s="66">
        <f>VLOOKUP(C2337,基本字段定义!$B$3:$C$3008,2,FALSE)</f>
        <v>508</v>
      </c>
      <c r="E2337" s="67" t="s">
        <v>339</v>
      </c>
      <c r="F2337" s="67"/>
      <c r="G2337" s="69" t="s">
        <v>363</v>
      </c>
    </row>
    <row r="2338" spans="2:7">
      <c r="B2338" s="270"/>
      <c r="C2338" s="71"/>
      <c r="D2338" s="79"/>
      <c r="E2338" s="73"/>
      <c r="F2338" s="73"/>
      <c r="G2338" s="74"/>
    </row>
    <row r="2340" spans="2:7">
      <c r="B2340" s="53" t="s">
        <v>146</v>
      </c>
      <c r="C2340" s="80">
        <v>404202</v>
      </c>
      <c r="D2340" s="81"/>
      <c r="E2340" s="82"/>
      <c r="F2340" s="54" t="s">
        <v>326</v>
      </c>
      <c r="G2340" s="55"/>
    </row>
    <row r="2341" spans="2:7">
      <c r="B2341" s="56" t="s">
        <v>327</v>
      </c>
      <c r="C2341" s="83" t="str">
        <f>VLOOKUP(C2340,功能索引!$C$3:$D$269,2,FALSE)</f>
        <v>证券历史委托查询</v>
      </c>
      <c r="D2341" s="84"/>
      <c r="E2341" s="85"/>
      <c r="F2341" s="57" t="s">
        <v>148</v>
      </c>
      <c r="G2341" s="58" t="str">
        <f>VLOOKUP(C2340,功能索引!$C$3:$E2383,3,FALSE)</f>
        <v>Y</v>
      </c>
    </row>
    <row r="2342" spans="2:7">
      <c r="B2342" s="269" t="s">
        <v>328</v>
      </c>
      <c r="C2342" s="95" t="s">
        <v>585</v>
      </c>
      <c r="D2342" s="96"/>
      <c r="E2342" s="96"/>
      <c r="F2342" s="96"/>
      <c r="G2342" s="97"/>
    </row>
    <row r="2343" spans="2:7">
      <c r="B2343" s="270"/>
      <c r="C2343" s="98"/>
      <c r="D2343" s="99"/>
      <c r="E2343" s="99"/>
      <c r="F2343" s="99"/>
      <c r="G2343" s="100"/>
    </row>
    <row r="2344" spans="2:7">
      <c r="B2344" s="271" t="s">
        <v>329</v>
      </c>
      <c r="C2344" s="54" t="s">
        <v>330</v>
      </c>
      <c r="D2344" s="54" t="s">
        <v>331</v>
      </c>
      <c r="E2344" s="54" t="s">
        <v>332</v>
      </c>
      <c r="F2344" s="54" t="s">
        <v>333</v>
      </c>
      <c r="G2344" s="60" t="s">
        <v>334</v>
      </c>
    </row>
    <row r="2345" spans="2:7">
      <c r="B2345" s="269"/>
      <c r="C2345" s="61" t="s">
        <v>402</v>
      </c>
      <c r="D2345" s="62">
        <f>VLOOKUP(C2345,基本字段定义!$B$3:$C$3008,2,FALSE)</f>
        <v>605</v>
      </c>
      <c r="E2345" s="63" t="s">
        <v>403</v>
      </c>
      <c r="F2345" s="63" t="s">
        <v>152</v>
      </c>
      <c r="G2345" s="64" t="s">
        <v>404</v>
      </c>
    </row>
    <row r="2346" spans="2:7">
      <c r="B2346" s="269"/>
      <c r="C2346" s="61" t="s">
        <v>484</v>
      </c>
      <c r="D2346" s="62">
        <f>VLOOKUP(C2346,基本字段定义!$B$3:$C$3008,2,FALSE)</f>
        <v>618</v>
      </c>
      <c r="E2346" s="63" t="s">
        <v>337</v>
      </c>
      <c r="F2346" s="63" t="s">
        <v>152</v>
      </c>
      <c r="G2346" s="64" t="s">
        <v>1101</v>
      </c>
    </row>
    <row r="2347" spans="2:7">
      <c r="B2347" s="269"/>
      <c r="C2347" s="61" t="s">
        <v>486</v>
      </c>
      <c r="D2347" s="62">
        <f>VLOOKUP(C2347,基本字段定义!$B$3:$C$3008,2,FALSE)</f>
        <v>590</v>
      </c>
      <c r="E2347" s="63" t="s">
        <v>337</v>
      </c>
      <c r="F2347" s="63" t="s">
        <v>152</v>
      </c>
      <c r="G2347" s="64" t="s">
        <v>1102</v>
      </c>
    </row>
    <row r="2348" spans="2:7">
      <c r="B2348" s="269"/>
      <c r="C2348" s="61" t="s">
        <v>361</v>
      </c>
      <c r="D2348" s="62">
        <f>VLOOKUP(C2348,基本字段定义!$B$3:$C$3008,2,FALSE)</f>
        <v>599</v>
      </c>
      <c r="E2348" s="63" t="s">
        <v>362</v>
      </c>
      <c r="F2348" s="63"/>
      <c r="G2348" s="64" t="s">
        <v>363</v>
      </c>
    </row>
    <row r="2349" spans="2:7">
      <c r="B2349" s="269"/>
      <c r="C2349" s="61" t="s">
        <v>640</v>
      </c>
      <c r="D2349" s="62">
        <f>VLOOKUP(C2349,基本字段定义!$B$3:$C$3008,2,FALSE)</f>
        <v>719</v>
      </c>
      <c r="E2349" s="63" t="s">
        <v>480</v>
      </c>
      <c r="F2349" s="63"/>
      <c r="G2349" s="64" t="s">
        <v>657</v>
      </c>
    </row>
    <row r="2350" spans="2:7">
      <c r="B2350" s="269"/>
      <c r="C2350" s="61" t="s">
        <v>590</v>
      </c>
      <c r="D2350" s="62">
        <f>VLOOKUP(C2350,基本字段定义!$B$3:$C$3008,2,FALSE)</f>
        <v>9110</v>
      </c>
      <c r="E2350" s="63" t="s">
        <v>337</v>
      </c>
      <c r="F2350" s="63"/>
      <c r="G2350" s="64" t="s">
        <v>591</v>
      </c>
    </row>
    <row r="2351" spans="2:7">
      <c r="B2351" s="269"/>
      <c r="C2351" s="61" t="s">
        <v>588</v>
      </c>
      <c r="D2351" s="62">
        <f>VLOOKUP(C2351,基本字段定义!$B$3:$C$3008,2,FALSE)</f>
        <v>763</v>
      </c>
      <c r="E2351" s="63" t="s">
        <v>471</v>
      </c>
      <c r="F2351" s="63"/>
      <c r="G2351" s="64" t="s">
        <v>1203</v>
      </c>
    </row>
    <row r="2352" spans="2:7">
      <c r="B2352" s="269"/>
      <c r="C2352" s="61" t="s">
        <v>586</v>
      </c>
      <c r="D2352" s="62">
        <f>VLOOKUP(C2352,基本字段定义!$B$3:$C$3008,2,FALSE)</f>
        <v>9109</v>
      </c>
      <c r="E2352" s="63" t="s">
        <v>337</v>
      </c>
      <c r="F2352" s="63"/>
      <c r="G2352" s="64" t="s">
        <v>1329</v>
      </c>
    </row>
    <row r="2353" spans="2:7">
      <c r="B2353" s="269" t="s">
        <v>335</v>
      </c>
      <c r="C2353" s="65" t="s">
        <v>588</v>
      </c>
      <c r="D2353" s="66">
        <f>VLOOKUP(C2353,基本字段定义!$B$3:$C$3008,2,FALSE)</f>
        <v>763</v>
      </c>
      <c r="E2353" s="67" t="s">
        <v>339</v>
      </c>
      <c r="F2353" s="67"/>
      <c r="G2353" s="68" t="s">
        <v>592</v>
      </c>
    </row>
    <row r="2354" spans="2:7">
      <c r="B2354" s="269"/>
      <c r="C2354" s="65" t="s">
        <v>956</v>
      </c>
      <c r="D2354" s="66">
        <f>VLOOKUP(C2354,基本字段定义!$B$3:$C$3008,2,FALSE)</f>
        <v>1898</v>
      </c>
      <c r="E2354" s="67" t="s">
        <v>337</v>
      </c>
      <c r="F2354" s="67"/>
      <c r="G2354" s="69" t="s">
        <v>957</v>
      </c>
    </row>
    <row r="2355" spans="2:7">
      <c r="B2355" s="269"/>
      <c r="C2355" s="65" t="s">
        <v>361</v>
      </c>
      <c r="D2355" s="66">
        <f>VLOOKUP(C2355,基本字段定义!$B$3:$C$3008,2,FALSE)</f>
        <v>599</v>
      </c>
      <c r="E2355" s="67" t="s">
        <v>339</v>
      </c>
      <c r="F2355" s="67"/>
      <c r="G2355" s="69" t="s">
        <v>363</v>
      </c>
    </row>
    <row r="2356" spans="2:7">
      <c r="B2356" s="269"/>
      <c r="C2356" s="65" t="s">
        <v>405</v>
      </c>
      <c r="D2356" s="66">
        <f>VLOOKUP(C2356,基本字段定义!$B$3:$C$3008,2,FALSE)</f>
        <v>571</v>
      </c>
      <c r="E2356" s="67" t="s">
        <v>339</v>
      </c>
      <c r="F2356" s="67"/>
      <c r="G2356" s="69" t="s">
        <v>407</v>
      </c>
    </row>
    <row r="2357" spans="2:7">
      <c r="B2357" s="269"/>
      <c r="C2357" s="65" t="s">
        <v>882</v>
      </c>
      <c r="D2357" s="66">
        <f>VLOOKUP(C2357,基本字段定义!$B$3:$C$3008,2,FALSE)</f>
        <v>681</v>
      </c>
      <c r="E2357" s="67" t="s">
        <v>339</v>
      </c>
      <c r="F2357" s="67"/>
      <c r="G2357" s="69" t="s">
        <v>884</v>
      </c>
    </row>
    <row r="2358" spans="2:7">
      <c r="B2358" s="269"/>
      <c r="C2358" s="65" t="s">
        <v>772</v>
      </c>
      <c r="D2358" s="66">
        <f>VLOOKUP(C2358,基本字段定义!$B$3:$C$3008,2,FALSE)</f>
        <v>683</v>
      </c>
      <c r="E2358" s="67" t="s">
        <v>337</v>
      </c>
      <c r="F2358" s="67"/>
      <c r="G2358" s="69" t="s">
        <v>896</v>
      </c>
    </row>
    <row r="2359" spans="2:7">
      <c r="B2359" s="269"/>
      <c r="C2359" s="65" t="s">
        <v>899</v>
      </c>
      <c r="D2359" s="66">
        <f>VLOOKUP(C2359,基本字段定义!$B$3:$C$3008,2,FALSE)</f>
        <v>755</v>
      </c>
      <c r="E2359" s="67" t="s">
        <v>339</v>
      </c>
      <c r="F2359" s="67"/>
      <c r="G2359" s="69" t="s">
        <v>905</v>
      </c>
    </row>
    <row r="2360" spans="2:7">
      <c r="B2360" s="269"/>
      <c r="C2360" s="65" t="s">
        <v>640</v>
      </c>
      <c r="D2360" s="66">
        <f>VLOOKUP(C2360,基本字段定义!$B$3:$C$3008,2,FALSE)</f>
        <v>719</v>
      </c>
      <c r="E2360" s="67" t="s">
        <v>339</v>
      </c>
      <c r="F2360" s="67"/>
      <c r="G2360" s="69" t="s">
        <v>657</v>
      </c>
    </row>
    <row r="2361" spans="2:7">
      <c r="B2361" s="269"/>
      <c r="C2361" s="65" t="s">
        <v>659</v>
      </c>
      <c r="D2361" s="66">
        <f>VLOOKUP(C2361,基本字段定义!$B$3:$C$3008,2,FALSE)</f>
        <v>722</v>
      </c>
      <c r="E2361" s="67" t="s">
        <v>339</v>
      </c>
      <c r="F2361" s="67"/>
      <c r="G2361" s="69" t="s">
        <v>660</v>
      </c>
    </row>
    <row r="2362" spans="2:7">
      <c r="B2362" s="269"/>
      <c r="C2362" s="65" t="s">
        <v>859</v>
      </c>
      <c r="D2362" s="66">
        <f>VLOOKUP(C2362,基本字段定义!$B$3:$C$3008,2,FALSE)</f>
        <v>1013</v>
      </c>
      <c r="E2362" s="67" t="s">
        <v>337</v>
      </c>
      <c r="F2362" s="67"/>
      <c r="G2362" s="69" t="s">
        <v>906</v>
      </c>
    </row>
    <row r="2363" spans="2:7">
      <c r="B2363" s="269"/>
      <c r="C2363" s="65" t="s">
        <v>776</v>
      </c>
      <c r="D2363" s="66">
        <f>VLOOKUP(C2363,基本字段定义!$B$3:$C$3008,2,FALSE)</f>
        <v>684</v>
      </c>
      <c r="E2363" s="67" t="s">
        <v>337</v>
      </c>
      <c r="F2363" s="67"/>
      <c r="G2363" s="69" t="s">
        <v>777</v>
      </c>
    </row>
    <row r="2364" spans="2:7">
      <c r="B2364" s="269"/>
      <c r="C2364" s="65" t="s">
        <v>778</v>
      </c>
      <c r="D2364" s="66">
        <f>VLOOKUP(C2364,基本字段定义!$B$3:$C$3008,2,FALSE)</f>
        <v>682</v>
      </c>
      <c r="E2364" s="67" t="s">
        <v>537</v>
      </c>
      <c r="F2364" s="67"/>
      <c r="G2364" s="69" t="s">
        <v>779</v>
      </c>
    </row>
    <row r="2365" spans="2:7">
      <c r="B2365" s="269"/>
      <c r="C2365" s="65" t="s">
        <v>907</v>
      </c>
      <c r="D2365" s="66">
        <f>VLOOKUP(C2365,基本字段定义!$B$3:$C$3008,2,FALSE)</f>
        <v>750</v>
      </c>
      <c r="E2365" s="67" t="s">
        <v>339</v>
      </c>
      <c r="F2365" s="67"/>
      <c r="G2365" s="69" t="s">
        <v>908</v>
      </c>
    </row>
    <row r="2366" spans="2:7">
      <c r="B2366" s="269"/>
      <c r="C2366" s="65" t="s">
        <v>909</v>
      </c>
      <c r="D2366" s="66">
        <f>VLOOKUP(C2366,基本字段定义!$B$3:$C$3008,2,FALSE)</f>
        <v>751</v>
      </c>
      <c r="E2366" s="67" t="s">
        <v>339</v>
      </c>
      <c r="F2366" s="67"/>
      <c r="G2366" s="69" t="s">
        <v>910</v>
      </c>
    </row>
    <row r="2367" spans="2:7" ht="25.5">
      <c r="B2367" s="269"/>
      <c r="C2367" s="65" t="s">
        <v>911</v>
      </c>
      <c r="D2367" s="66">
        <f>VLOOKUP(C2367,基本字段定义!$B$3:$C$3008,2,FALSE)</f>
        <v>753</v>
      </c>
      <c r="E2367" s="67" t="s">
        <v>337</v>
      </c>
      <c r="F2367" s="67"/>
      <c r="G2367" s="70" t="s">
        <v>912</v>
      </c>
    </row>
    <row r="2368" spans="2:7">
      <c r="B2368" s="269"/>
      <c r="C2368" s="65" t="s">
        <v>635</v>
      </c>
      <c r="D2368" s="66">
        <f>VLOOKUP(C2368,基本字段定义!$B$3:$C$3008,2,FALSE)</f>
        <v>830</v>
      </c>
      <c r="E2368" s="67" t="s">
        <v>339</v>
      </c>
      <c r="F2368" s="67"/>
      <c r="G2368" s="69" t="s">
        <v>913</v>
      </c>
    </row>
    <row r="2369" spans="2:7">
      <c r="B2369" s="269"/>
      <c r="C2369" s="65" t="s">
        <v>914</v>
      </c>
      <c r="D2369" s="66">
        <f>VLOOKUP(C2369,基本字段定义!$B$3:$C$3008,2,FALSE)</f>
        <v>886</v>
      </c>
      <c r="E2369" s="67" t="s">
        <v>337</v>
      </c>
      <c r="F2369" s="67"/>
      <c r="G2369" s="69" t="s">
        <v>915</v>
      </c>
    </row>
    <row r="2370" spans="2:7">
      <c r="B2370" s="269"/>
      <c r="C2370" s="65" t="s">
        <v>681</v>
      </c>
      <c r="D2370" s="66">
        <f>VLOOKUP(C2370,基本字段定义!$B$3:$C$3008,2,FALSE)</f>
        <v>528</v>
      </c>
      <c r="E2370" s="67" t="s">
        <v>337</v>
      </c>
      <c r="F2370" s="67"/>
      <c r="G2370" s="69" t="s">
        <v>916</v>
      </c>
    </row>
    <row r="2371" spans="2:7">
      <c r="B2371" s="269"/>
      <c r="C2371" s="65" t="s">
        <v>683</v>
      </c>
      <c r="D2371" s="66">
        <f>VLOOKUP(C2371,基本字段定义!$B$3:$C$3008,2,FALSE)</f>
        <v>524</v>
      </c>
      <c r="E2371" s="67" t="s">
        <v>537</v>
      </c>
      <c r="F2371" s="67"/>
      <c r="G2371" s="69" t="s">
        <v>917</v>
      </c>
    </row>
    <row r="2372" spans="2:7">
      <c r="B2372" s="269"/>
      <c r="C2372" s="65" t="s">
        <v>918</v>
      </c>
      <c r="D2372" s="66">
        <f>VLOOKUP(C2372,基本字段定义!$B$3:$C$3008,2,FALSE)</f>
        <v>525</v>
      </c>
      <c r="E2372" s="67" t="s">
        <v>537</v>
      </c>
      <c r="F2372" s="67"/>
      <c r="G2372" s="69" t="s">
        <v>919</v>
      </c>
    </row>
    <row r="2373" spans="2:7">
      <c r="B2373" s="269"/>
      <c r="C2373" s="65" t="s">
        <v>524</v>
      </c>
      <c r="D2373" s="66">
        <f>VLOOKUP(C2373,基本字段定义!$B$3:$C$3008,2,FALSE)</f>
        <v>511</v>
      </c>
      <c r="E2373" s="67" t="s">
        <v>339</v>
      </c>
      <c r="F2373" s="67"/>
      <c r="G2373" s="69" t="s">
        <v>525</v>
      </c>
    </row>
    <row r="2374" spans="2:7">
      <c r="B2374" s="269"/>
      <c r="C2374" s="65" t="s">
        <v>920</v>
      </c>
      <c r="D2374" s="66">
        <f>VLOOKUP(C2374,基本字段定义!$B$3:$C$3008,2,FALSE)</f>
        <v>647</v>
      </c>
      <c r="E2374" s="67" t="s">
        <v>537</v>
      </c>
      <c r="F2374" s="67"/>
      <c r="G2374" s="69" t="s">
        <v>921</v>
      </c>
    </row>
    <row r="2375" spans="2:7">
      <c r="B2375" s="269"/>
      <c r="C2375" s="65" t="s">
        <v>922</v>
      </c>
      <c r="D2375" s="66">
        <f>VLOOKUP(C2375,基本字段定义!$B$3:$C$3008,2,FALSE)</f>
        <v>641</v>
      </c>
      <c r="E2375" s="67" t="s">
        <v>339</v>
      </c>
      <c r="F2375" s="67"/>
      <c r="G2375" s="69" t="s">
        <v>923</v>
      </c>
    </row>
    <row r="2376" spans="2:7">
      <c r="B2376" s="269"/>
      <c r="C2376" s="65" t="s">
        <v>876</v>
      </c>
      <c r="D2376" s="66">
        <f>VLOOKUP(C2376,基本字段定义!$B$3:$C$3008,2,FALSE)</f>
        <v>1017</v>
      </c>
      <c r="E2376" s="67" t="s">
        <v>339</v>
      </c>
      <c r="F2376" s="67"/>
      <c r="G2376" s="69" t="s">
        <v>877</v>
      </c>
    </row>
    <row r="2377" spans="2:7">
      <c r="B2377" s="270"/>
      <c r="C2377" s="71"/>
      <c r="D2377" s="79"/>
      <c r="E2377" s="73"/>
      <c r="F2377" s="73"/>
      <c r="G2377" s="74"/>
    </row>
    <row r="2379" spans="2:7">
      <c r="B2379" s="53" t="s">
        <v>146</v>
      </c>
      <c r="C2379" s="80">
        <v>404201</v>
      </c>
      <c r="D2379" s="81"/>
      <c r="E2379" s="82"/>
      <c r="F2379" s="54" t="s">
        <v>326</v>
      </c>
      <c r="G2379" s="55"/>
    </row>
    <row r="2380" spans="2:7">
      <c r="B2380" s="56" t="s">
        <v>327</v>
      </c>
      <c r="C2380" s="83" t="str">
        <f>VLOOKUP(C2379,功能索引!$C$3:$D$269,2,FALSE)</f>
        <v>证券历史成交查询</v>
      </c>
      <c r="D2380" s="84"/>
      <c r="E2380" s="85"/>
      <c r="F2380" s="57" t="s">
        <v>148</v>
      </c>
      <c r="G2380" s="58" t="str">
        <f>VLOOKUP(C2379,功能索引!$C$3:$E2457,3,FALSE)</f>
        <v>Y</v>
      </c>
    </row>
    <row r="2381" spans="2:7">
      <c r="B2381" s="269" t="s">
        <v>328</v>
      </c>
      <c r="C2381" s="95"/>
      <c r="D2381" s="96"/>
      <c r="E2381" s="96"/>
      <c r="F2381" s="96"/>
      <c r="G2381" s="97"/>
    </row>
    <row r="2382" spans="2:7">
      <c r="B2382" s="270"/>
      <c r="C2382" s="98"/>
      <c r="D2382" s="99"/>
      <c r="E2382" s="99"/>
      <c r="F2382" s="99"/>
      <c r="G2382" s="100"/>
    </row>
    <row r="2383" spans="2:7">
      <c r="B2383" s="271" t="s">
        <v>329</v>
      </c>
      <c r="C2383" s="54" t="s">
        <v>330</v>
      </c>
      <c r="D2383" s="54" t="s">
        <v>331</v>
      </c>
      <c r="E2383" s="54" t="s">
        <v>332</v>
      </c>
      <c r="F2383" s="54" t="s">
        <v>333</v>
      </c>
      <c r="G2383" s="60" t="s">
        <v>334</v>
      </c>
    </row>
    <row r="2384" spans="2:7">
      <c r="B2384" s="269"/>
      <c r="C2384" s="61" t="s">
        <v>402</v>
      </c>
      <c r="D2384" s="62">
        <f>VLOOKUP(C2384,基本字段定义!$B$3:$C$3008,2,FALSE)</f>
        <v>605</v>
      </c>
      <c r="E2384" s="63" t="s">
        <v>403</v>
      </c>
      <c r="F2384" s="63" t="s">
        <v>152</v>
      </c>
      <c r="G2384" s="64" t="s">
        <v>404</v>
      </c>
    </row>
    <row r="2385" spans="2:7">
      <c r="B2385" s="269"/>
      <c r="C2385" s="61" t="s">
        <v>484</v>
      </c>
      <c r="D2385" s="62">
        <f>VLOOKUP(C2385,基本字段定义!$B$3:$C$3008,2,FALSE)</f>
        <v>618</v>
      </c>
      <c r="E2385" s="63" t="s">
        <v>337</v>
      </c>
      <c r="F2385" s="63" t="s">
        <v>152</v>
      </c>
      <c r="G2385" s="64" t="s">
        <v>1101</v>
      </c>
    </row>
    <row r="2386" spans="2:7">
      <c r="B2386" s="269"/>
      <c r="C2386" s="61" t="s">
        <v>486</v>
      </c>
      <c r="D2386" s="62">
        <f>VLOOKUP(C2386,基本字段定义!$B$3:$C$3008,2,FALSE)</f>
        <v>590</v>
      </c>
      <c r="E2386" s="63" t="s">
        <v>337</v>
      </c>
      <c r="F2386" s="63" t="s">
        <v>152</v>
      </c>
      <c r="G2386" s="64" t="s">
        <v>1102</v>
      </c>
    </row>
    <row r="2387" spans="2:7">
      <c r="B2387" s="269"/>
      <c r="C2387" s="61" t="s">
        <v>405</v>
      </c>
      <c r="D2387" s="62">
        <f>VLOOKUP(C2387,基本字段定义!$B$3:$C$3008,2,FALSE)</f>
        <v>571</v>
      </c>
      <c r="E2387" s="63" t="s">
        <v>406</v>
      </c>
      <c r="F2387" s="63"/>
      <c r="G2387" s="64" t="s">
        <v>407</v>
      </c>
    </row>
    <row r="2388" spans="2:7">
      <c r="B2388" s="269"/>
      <c r="C2388" s="61" t="s">
        <v>361</v>
      </c>
      <c r="D2388" s="62">
        <f>VLOOKUP(C2388,基本字段定义!$B$3:$C$3008,2,FALSE)</f>
        <v>599</v>
      </c>
      <c r="E2388" s="63" t="s">
        <v>362</v>
      </c>
      <c r="F2388" s="63"/>
      <c r="G2388" s="64" t="s">
        <v>363</v>
      </c>
    </row>
    <row r="2389" spans="2:7">
      <c r="B2389" s="269"/>
      <c r="C2389" s="61" t="s">
        <v>640</v>
      </c>
      <c r="D2389" s="62">
        <f>VLOOKUP(C2389,基本字段定义!$B$3:$C$3008,2,FALSE)</f>
        <v>719</v>
      </c>
      <c r="E2389" s="63" t="s">
        <v>480</v>
      </c>
      <c r="F2389" s="63"/>
      <c r="G2389" s="64" t="s">
        <v>657</v>
      </c>
    </row>
    <row r="2390" spans="2:7">
      <c r="B2390" s="269"/>
      <c r="C2390" s="61" t="s">
        <v>524</v>
      </c>
      <c r="D2390" s="62">
        <f>VLOOKUP(C2390,基本字段定义!$B$3:$C$3008,2,FALSE)</f>
        <v>511</v>
      </c>
      <c r="E2390" s="63" t="s">
        <v>527</v>
      </c>
      <c r="F2390" s="63"/>
      <c r="G2390" s="64" t="s">
        <v>525</v>
      </c>
    </row>
    <row r="2391" spans="2:7">
      <c r="B2391" s="269"/>
      <c r="C2391" s="61" t="s">
        <v>588</v>
      </c>
      <c r="D2391" s="62">
        <f>VLOOKUP(C2391,基本字段定义!$B$3:$C$3008,2,FALSE)</f>
        <v>763</v>
      </c>
      <c r="E2391" s="63" t="s">
        <v>471</v>
      </c>
      <c r="F2391" s="63"/>
      <c r="G2391" s="64" t="s">
        <v>1426</v>
      </c>
    </row>
    <row r="2392" spans="2:7">
      <c r="B2392" s="269"/>
      <c r="C2392" s="61" t="s">
        <v>590</v>
      </c>
      <c r="D2392" s="62">
        <f>VLOOKUP(C2392,基本字段定义!$B$3:$C$3008,2,FALSE)</f>
        <v>9110</v>
      </c>
      <c r="E2392" s="63" t="s">
        <v>337</v>
      </c>
      <c r="F2392" s="63"/>
      <c r="G2392" s="64" t="s">
        <v>903</v>
      </c>
    </row>
    <row r="2393" spans="2:7">
      <c r="B2393" s="269"/>
      <c r="C2393" s="61" t="s">
        <v>586</v>
      </c>
      <c r="D2393" s="62">
        <f>VLOOKUP(C2393,基本字段定义!$B$3:$C$3008,2,FALSE)</f>
        <v>9109</v>
      </c>
      <c r="E2393" s="63" t="s">
        <v>337</v>
      </c>
      <c r="F2393" s="63"/>
      <c r="G2393" s="64" t="s">
        <v>1329</v>
      </c>
    </row>
    <row r="2394" spans="2:7">
      <c r="B2394" s="269" t="s">
        <v>335</v>
      </c>
      <c r="C2394" s="65" t="s">
        <v>588</v>
      </c>
      <c r="D2394" s="66">
        <f>VLOOKUP(C2394,基本字段定义!$B$3:$C$3008,2,FALSE)</f>
        <v>763</v>
      </c>
      <c r="E2394" s="67" t="s">
        <v>339</v>
      </c>
      <c r="F2394" s="67"/>
      <c r="G2394" s="69" t="s">
        <v>592</v>
      </c>
    </row>
    <row r="2395" spans="2:7">
      <c r="B2395" s="269"/>
      <c r="C2395" s="65" t="s">
        <v>733</v>
      </c>
      <c r="D2395" s="66">
        <f>VLOOKUP(C2395,基本字段定义!$B$3:$C$3008,2,FALSE)</f>
        <v>526</v>
      </c>
      <c r="E2395" s="67" t="s">
        <v>337</v>
      </c>
      <c r="F2395" s="67"/>
      <c r="G2395" s="69" t="s">
        <v>940</v>
      </c>
    </row>
    <row r="2396" spans="2:7">
      <c r="B2396" s="269"/>
      <c r="C2396" s="65" t="s">
        <v>361</v>
      </c>
      <c r="D2396" s="66">
        <f>VLOOKUP(C2396,基本字段定义!$B$3:$C$3008,2,FALSE)</f>
        <v>599</v>
      </c>
      <c r="E2396" s="67" t="s">
        <v>339</v>
      </c>
      <c r="F2396" s="67"/>
      <c r="G2396" s="69" t="s">
        <v>363</v>
      </c>
    </row>
    <row r="2397" spans="2:7">
      <c r="B2397" s="269"/>
      <c r="C2397" s="65" t="s">
        <v>405</v>
      </c>
      <c r="D2397" s="66">
        <f>VLOOKUP(C2397,基本字段定义!$B$3:$C$3008,2,FALSE)</f>
        <v>571</v>
      </c>
      <c r="E2397" s="67" t="s">
        <v>339</v>
      </c>
      <c r="F2397" s="67"/>
      <c r="G2397" s="69" t="s">
        <v>407</v>
      </c>
    </row>
    <row r="2398" spans="2:7">
      <c r="B2398" s="269"/>
      <c r="C2398" s="65" t="s">
        <v>524</v>
      </c>
      <c r="D2398" s="66">
        <f>VLOOKUP(C2398,基本字段定义!$B$3:$C$3008,2,FALSE)</f>
        <v>511</v>
      </c>
      <c r="E2398" s="67" t="s">
        <v>339</v>
      </c>
      <c r="F2398" s="67"/>
      <c r="G2398" s="69" t="s">
        <v>525</v>
      </c>
    </row>
    <row r="2399" spans="2:7">
      <c r="B2399" s="269"/>
      <c r="C2399" s="65" t="s">
        <v>882</v>
      </c>
      <c r="D2399" s="66">
        <f>VLOOKUP(C2399,基本字段定义!$B$3:$C$3008,2,FALSE)</f>
        <v>681</v>
      </c>
      <c r="E2399" s="67" t="s">
        <v>337</v>
      </c>
      <c r="F2399" s="67"/>
      <c r="G2399" s="69" t="s">
        <v>884</v>
      </c>
    </row>
    <row r="2400" spans="2:7">
      <c r="B2400" s="269"/>
      <c r="C2400" s="65" t="s">
        <v>772</v>
      </c>
      <c r="D2400" s="66">
        <f>VLOOKUP(C2400,基本字段定义!$B$3:$C$3008,2,FALSE)</f>
        <v>683</v>
      </c>
      <c r="E2400" s="67" t="s">
        <v>337</v>
      </c>
      <c r="F2400" s="67"/>
      <c r="G2400" s="69" t="s">
        <v>896</v>
      </c>
    </row>
    <row r="2401" spans="2:7">
      <c r="B2401" s="269"/>
      <c r="C2401" s="65" t="s">
        <v>640</v>
      </c>
      <c r="D2401" s="66">
        <f>VLOOKUP(C2401,基本字段定义!$B$3:$C$3008,2,FALSE)</f>
        <v>719</v>
      </c>
      <c r="E2401" s="67" t="s">
        <v>339</v>
      </c>
      <c r="F2401" s="67"/>
      <c r="G2401" s="69" t="s">
        <v>657</v>
      </c>
    </row>
    <row r="2402" spans="2:7">
      <c r="B2402" s="269"/>
      <c r="C2402" s="65" t="s">
        <v>659</v>
      </c>
      <c r="D2402" s="66">
        <f>VLOOKUP(C2402,基本字段定义!$B$3:$C$3008,2,FALSE)</f>
        <v>722</v>
      </c>
      <c r="E2402" s="67" t="s">
        <v>339</v>
      </c>
      <c r="F2402" s="67"/>
      <c r="G2402" s="69" t="s">
        <v>660</v>
      </c>
    </row>
    <row r="2403" spans="2:7">
      <c r="B2403" s="269"/>
      <c r="C2403" s="65" t="s">
        <v>936</v>
      </c>
      <c r="D2403" s="66">
        <f>VLOOKUP(C2403,基本字段定义!$B$3:$C$3008,2,FALSE)</f>
        <v>527</v>
      </c>
      <c r="E2403" s="67" t="s">
        <v>339</v>
      </c>
      <c r="F2403" s="67"/>
      <c r="G2403" s="69" t="s">
        <v>937</v>
      </c>
    </row>
    <row r="2404" spans="2:7">
      <c r="B2404" s="269"/>
      <c r="C2404" s="65" t="s">
        <v>681</v>
      </c>
      <c r="D2404" s="66">
        <f>VLOOKUP(C2404,基本字段定义!$B$3:$C$3008,2,FALSE)</f>
        <v>528</v>
      </c>
      <c r="E2404" s="67" t="s">
        <v>337</v>
      </c>
      <c r="F2404" s="67"/>
      <c r="G2404" s="69" t="s">
        <v>916</v>
      </c>
    </row>
    <row r="2405" spans="2:7">
      <c r="B2405" s="269"/>
      <c r="C2405" s="65" t="s">
        <v>918</v>
      </c>
      <c r="D2405" s="66">
        <f>VLOOKUP(C2405,基本字段定义!$B$3:$C$3008,2,FALSE)</f>
        <v>525</v>
      </c>
      <c r="E2405" s="67" t="s">
        <v>537</v>
      </c>
      <c r="F2405" s="67"/>
      <c r="G2405" s="69" t="s">
        <v>931</v>
      </c>
    </row>
    <row r="2406" spans="2:7">
      <c r="B2406" s="269"/>
      <c r="C2406" s="65" t="s">
        <v>1427</v>
      </c>
      <c r="D2406" s="66">
        <f>VLOOKUP(C2406,基本字段定义!$B$3:$C$3008,2,FALSE)</f>
        <v>9118</v>
      </c>
      <c r="E2406" s="67" t="s">
        <v>537</v>
      </c>
      <c r="F2406" s="67"/>
      <c r="G2406" s="69" t="s">
        <v>1428</v>
      </c>
    </row>
    <row r="2407" spans="2:7">
      <c r="B2407" s="269"/>
      <c r="C2407" s="65" t="s">
        <v>683</v>
      </c>
      <c r="D2407" s="66">
        <f>VLOOKUP(C2407,基本字段定义!$B$3:$C$3008,2,FALSE)</f>
        <v>524</v>
      </c>
      <c r="E2407" s="67" t="s">
        <v>537</v>
      </c>
      <c r="F2407" s="67"/>
      <c r="G2407" s="69" t="s">
        <v>917</v>
      </c>
    </row>
    <row r="2408" spans="2:7">
      <c r="B2408" s="269"/>
      <c r="C2408" s="65" t="s">
        <v>1294</v>
      </c>
      <c r="D2408" s="66">
        <f>VLOOKUP(C2408,基本字段定义!$B$3:$C$3008,2,FALSE)</f>
        <v>775</v>
      </c>
      <c r="E2408" s="67" t="s">
        <v>537</v>
      </c>
      <c r="F2408" s="67"/>
      <c r="G2408" s="69" t="s">
        <v>1429</v>
      </c>
    </row>
    <row r="2409" spans="2:7">
      <c r="B2409" s="269"/>
      <c r="C2409" s="65" t="s">
        <v>1284</v>
      </c>
      <c r="D2409" s="66">
        <f>VLOOKUP(C2409,基本字段定义!$B$3:$C$3008,2,FALSE)</f>
        <v>766</v>
      </c>
      <c r="E2409" s="67" t="s">
        <v>537</v>
      </c>
      <c r="F2409" s="67"/>
      <c r="G2409" s="69" t="s">
        <v>1430</v>
      </c>
    </row>
    <row r="2410" spans="2:7">
      <c r="B2410" s="269"/>
      <c r="C2410" s="65" t="s">
        <v>1286</v>
      </c>
      <c r="D2410" s="66">
        <f>VLOOKUP(C2410,基本字段定义!$B$3:$C$3008,2,FALSE)</f>
        <v>767</v>
      </c>
      <c r="E2410" s="67" t="s">
        <v>537</v>
      </c>
      <c r="F2410" s="67"/>
      <c r="G2410" s="69" t="s">
        <v>1431</v>
      </c>
    </row>
    <row r="2411" spans="2:7">
      <c r="B2411" s="269"/>
      <c r="C2411" s="65" t="s">
        <v>1290</v>
      </c>
      <c r="D2411" s="66">
        <f>VLOOKUP(C2411,基本字段定义!$B$3:$C$3008,2,FALSE)</f>
        <v>768</v>
      </c>
      <c r="E2411" s="67" t="s">
        <v>537</v>
      </c>
      <c r="F2411" s="67"/>
      <c r="G2411" s="69" t="s">
        <v>1432</v>
      </c>
    </row>
    <row r="2412" spans="2:7">
      <c r="B2412" s="269"/>
      <c r="C2412" s="65" t="s">
        <v>1292</v>
      </c>
      <c r="D2412" s="66">
        <f>VLOOKUP(C2412,基本字段定义!$B$3:$C$3008,2,FALSE)</f>
        <v>769</v>
      </c>
      <c r="E2412" s="67" t="s">
        <v>537</v>
      </c>
      <c r="F2412" s="67"/>
      <c r="G2412" s="69" t="s">
        <v>1433</v>
      </c>
    </row>
    <row r="2413" spans="2:7">
      <c r="B2413" s="269"/>
      <c r="C2413" s="65" t="s">
        <v>1267</v>
      </c>
      <c r="D2413" s="66">
        <f>VLOOKUP(C2413,基本字段定义!$B$3:$C$3008,2,FALSE)</f>
        <v>770</v>
      </c>
      <c r="E2413" s="67" t="s">
        <v>537</v>
      </c>
      <c r="F2413" s="67"/>
      <c r="G2413" s="69" t="s">
        <v>1434</v>
      </c>
    </row>
    <row r="2414" spans="2:7">
      <c r="B2414" s="269"/>
      <c r="C2414" s="65" t="s">
        <v>1269</v>
      </c>
      <c r="D2414" s="66">
        <f>VLOOKUP(C2414,基本字段定义!$B$3:$C$3008,2,FALSE)</f>
        <v>771</v>
      </c>
      <c r="E2414" s="67" t="s">
        <v>537</v>
      </c>
      <c r="F2414" s="67"/>
      <c r="G2414" s="69" t="s">
        <v>1435</v>
      </c>
    </row>
    <row r="2415" spans="2:7">
      <c r="B2415" s="269"/>
      <c r="C2415" s="65" t="s">
        <v>869</v>
      </c>
      <c r="D2415" s="66">
        <f>VLOOKUP(C2415,基本字段定义!$B$3:$C$3008,2,FALSE)</f>
        <v>522</v>
      </c>
      <c r="E2415" s="67" t="s">
        <v>339</v>
      </c>
      <c r="F2415" s="67"/>
      <c r="G2415" s="69" t="s">
        <v>938</v>
      </c>
    </row>
    <row r="2416" spans="2:7">
      <c r="B2416" s="269"/>
      <c r="C2416" s="65" t="s">
        <v>1436</v>
      </c>
      <c r="D2416" s="66">
        <f>VLOOKUP(C2416,基本字段定义!$B$3:$C$3008,2,FALSE)</f>
        <v>915</v>
      </c>
      <c r="E2416" s="67" t="s">
        <v>337</v>
      </c>
      <c r="F2416" s="67"/>
      <c r="G2416" s="69" t="s">
        <v>1437</v>
      </c>
    </row>
    <row r="2417" spans="2:7">
      <c r="B2417" s="269"/>
      <c r="C2417" s="65" t="s">
        <v>944</v>
      </c>
      <c r="D2417" s="66">
        <f>VLOOKUP(C2417,基本字段定义!$B$3:$C$3008,2,FALSE)</f>
        <v>772</v>
      </c>
      <c r="E2417" s="67" t="s">
        <v>537</v>
      </c>
      <c r="F2417" s="67"/>
      <c r="G2417" s="69" t="s">
        <v>1438</v>
      </c>
    </row>
    <row r="2418" spans="2:7">
      <c r="B2418" s="269"/>
      <c r="C2418" s="65" t="s">
        <v>1439</v>
      </c>
      <c r="D2418" s="66">
        <f>VLOOKUP(C2418,基本字段定义!$B$3:$C$3008,2,FALSE)</f>
        <v>776</v>
      </c>
      <c r="E2418" s="67" t="s">
        <v>337</v>
      </c>
      <c r="F2418" s="67"/>
      <c r="G2418" s="69" t="s">
        <v>1440</v>
      </c>
    </row>
    <row r="2419" spans="2:7">
      <c r="B2419" s="269"/>
      <c r="C2419" s="65" t="s">
        <v>601</v>
      </c>
      <c r="D2419" s="66">
        <f>VLOOKUP(C2419,基本字段定义!$B$3:$C$3008,2,FALSE)</f>
        <v>501</v>
      </c>
      <c r="E2419" s="67" t="s">
        <v>537</v>
      </c>
      <c r="F2419" s="67"/>
      <c r="G2419" s="69" t="s">
        <v>538</v>
      </c>
    </row>
    <row r="2420" spans="2:7">
      <c r="B2420" s="269"/>
      <c r="C2420" s="65" t="s">
        <v>486</v>
      </c>
      <c r="D2420" s="66">
        <f>VLOOKUP(C2420,基本字段定义!$B$3:$C$3008,2,FALSE)</f>
        <v>590</v>
      </c>
      <c r="E2420" s="67" t="s">
        <v>337</v>
      </c>
      <c r="F2420" s="67"/>
      <c r="G2420" s="69" t="s">
        <v>1441</v>
      </c>
    </row>
    <row r="2421" spans="2:7">
      <c r="B2421" s="270"/>
      <c r="C2421" s="71"/>
      <c r="D2421" s="79"/>
      <c r="E2421" s="73"/>
      <c r="F2421" s="73"/>
      <c r="G2421" s="74"/>
    </row>
    <row r="2423" spans="2:7">
      <c r="B2423" s="53" t="s">
        <v>146</v>
      </c>
      <c r="C2423" s="80">
        <v>405001</v>
      </c>
      <c r="D2423" s="81"/>
      <c r="E2423" s="82"/>
      <c r="F2423" s="54" t="s">
        <v>326</v>
      </c>
      <c r="G2423" s="55"/>
    </row>
    <row r="2424" spans="2:7">
      <c r="B2424" s="56" t="s">
        <v>327</v>
      </c>
      <c r="C2424" s="83" t="str">
        <f>VLOOKUP(C2423,功能索引!$C$3:$D$269,2,FALSE)</f>
        <v>基金历史委托查询</v>
      </c>
      <c r="D2424" s="84"/>
      <c r="E2424" s="85"/>
      <c r="F2424" s="57" t="s">
        <v>148</v>
      </c>
      <c r="G2424" s="58" t="str">
        <f>VLOOKUP(C2423,功能索引!$C$3:$E2532,3,FALSE)</f>
        <v>Y</v>
      </c>
    </row>
    <row r="2425" spans="2:7">
      <c r="B2425" s="269" t="s">
        <v>328</v>
      </c>
      <c r="C2425" s="95"/>
      <c r="D2425" s="96"/>
      <c r="E2425" s="96"/>
      <c r="F2425" s="96"/>
      <c r="G2425" s="97"/>
    </row>
    <row r="2426" spans="2:7">
      <c r="B2426" s="270"/>
      <c r="C2426" s="98"/>
      <c r="D2426" s="99"/>
      <c r="E2426" s="99"/>
      <c r="F2426" s="99"/>
      <c r="G2426" s="100"/>
    </row>
    <row r="2427" spans="2:7">
      <c r="B2427" s="271" t="s">
        <v>329</v>
      </c>
      <c r="C2427" s="54" t="s">
        <v>330</v>
      </c>
      <c r="D2427" s="54" t="s">
        <v>331</v>
      </c>
      <c r="E2427" s="54" t="s">
        <v>332</v>
      </c>
      <c r="F2427" s="54" t="s">
        <v>333</v>
      </c>
      <c r="G2427" s="60" t="s">
        <v>334</v>
      </c>
    </row>
    <row r="2428" spans="2:7">
      <c r="B2428" s="269"/>
      <c r="C2428" s="61" t="s">
        <v>402</v>
      </c>
      <c r="D2428" s="62">
        <f>VLOOKUP(C2428,基本字段定义!$B$3:$C$3008,2,FALSE)</f>
        <v>605</v>
      </c>
      <c r="E2428" s="63" t="s">
        <v>403</v>
      </c>
      <c r="F2428" s="63" t="s">
        <v>152</v>
      </c>
      <c r="G2428" s="64" t="s">
        <v>404</v>
      </c>
    </row>
    <row r="2429" spans="2:7">
      <c r="B2429" s="269"/>
      <c r="C2429" s="61" t="s">
        <v>484</v>
      </c>
      <c r="D2429" s="62">
        <f>VLOOKUP(C2429,基本字段定义!$B$3:$C$3008,2,FALSE)</f>
        <v>618</v>
      </c>
      <c r="E2429" s="63" t="s">
        <v>337</v>
      </c>
      <c r="F2429" s="63" t="s">
        <v>152</v>
      </c>
      <c r="G2429" s="64" t="s">
        <v>1101</v>
      </c>
    </row>
    <row r="2430" spans="2:7">
      <c r="B2430" s="269"/>
      <c r="C2430" s="61" t="s">
        <v>486</v>
      </c>
      <c r="D2430" s="62">
        <f>VLOOKUP(C2430,基本字段定义!$B$3:$C$3008,2,FALSE)</f>
        <v>590</v>
      </c>
      <c r="E2430" s="63" t="s">
        <v>337</v>
      </c>
      <c r="F2430" s="63" t="s">
        <v>152</v>
      </c>
      <c r="G2430" s="64" t="s">
        <v>1102</v>
      </c>
    </row>
    <row r="2431" spans="2:7">
      <c r="B2431" s="269"/>
      <c r="C2431" s="61" t="s">
        <v>1028</v>
      </c>
      <c r="D2431" s="62">
        <f>VLOOKUP(C2431,基本字段定义!$B$3:$C$3008,2,FALSE)</f>
        <v>9198</v>
      </c>
      <c r="E2431" s="63" t="s">
        <v>362</v>
      </c>
      <c r="F2431" s="63"/>
      <c r="G2431" s="64" t="s">
        <v>1029</v>
      </c>
    </row>
    <row r="2432" spans="2:7">
      <c r="B2432" s="269"/>
      <c r="C2432" s="61" t="s">
        <v>588</v>
      </c>
      <c r="D2432" s="62">
        <f>VLOOKUP(C2432,基本字段定义!$B$3:$C$3008,2,FALSE)</f>
        <v>763</v>
      </c>
      <c r="E2432" s="63" t="s">
        <v>471</v>
      </c>
      <c r="F2432" s="63"/>
      <c r="G2432" s="64" t="s">
        <v>1426</v>
      </c>
    </row>
    <row r="2433" spans="2:7">
      <c r="B2433" s="269"/>
      <c r="C2433" s="61" t="s">
        <v>590</v>
      </c>
      <c r="D2433" s="62">
        <f>VLOOKUP(C2433,基本字段定义!$B$3:$C$3008,2,FALSE)</f>
        <v>9110</v>
      </c>
      <c r="E2433" s="63" t="s">
        <v>337</v>
      </c>
      <c r="F2433" s="63"/>
      <c r="G2433" s="64" t="s">
        <v>903</v>
      </c>
    </row>
    <row r="2434" spans="2:7">
      <c r="B2434" s="269"/>
      <c r="C2434" s="61" t="s">
        <v>586</v>
      </c>
      <c r="D2434" s="62">
        <f>VLOOKUP(C2434,基本字段定义!$B$3:$C$3008,2,FALSE)</f>
        <v>9109</v>
      </c>
      <c r="E2434" s="63" t="s">
        <v>337</v>
      </c>
      <c r="F2434" s="63"/>
      <c r="G2434" s="64" t="s">
        <v>1329</v>
      </c>
    </row>
    <row r="2435" spans="2:7">
      <c r="B2435" s="269" t="s">
        <v>335</v>
      </c>
      <c r="C2435" s="65" t="s">
        <v>588</v>
      </c>
      <c r="D2435" s="66">
        <f>VLOOKUP(C2435,基本字段定义!$B$3:$C$3008,2,FALSE)</f>
        <v>763</v>
      </c>
      <c r="E2435" s="67" t="s">
        <v>339</v>
      </c>
      <c r="F2435" s="67"/>
      <c r="G2435" s="69" t="s">
        <v>592</v>
      </c>
    </row>
    <row r="2436" spans="2:7">
      <c r="B2436" s="269"/>
      <c r="C2436" s="65" t="s">
        <v>882</v>
      </c>
      <c r="D2436" s="66">
        <f>VLOOKUP(C2436,基本字段定义!$B$3:$C$3008,2,FALSE)</f>
        <v>681</v>
      </c>
      <c r="E2436" s="67" t="s">
        <v>337</v>
      </c>
      <c r="F2436" s="67"/>
      <c r="G2436" s="69" t="s">
        <v>884</v>
      </c>
    </row>
    <row r="2437" spans="2:7">
      <c r="B2437" s="269"/>
      <c r="C2437" s="65" t="s">
        <v>956</v>
      </c>
      <c r="D2437" s="66">
        <f>VLOOKUP(C2437,基本字段定义!$B$3:$C$3008,2,FALSE)</f>
        <v>1898</v>
      </c>
      <c r="E2437" s="67" t="s">
        <v>337</v>
      </c>
      <c r="F2437" s="67"/>
      <c r="G2437" s="69" t="s">
        <v>957</v>
      </c>
    </row>
    <row r="2438" spans="2:7">
      <c r="B2438" s="269"/>
      <c r="C2438" s="65" t="s">
        <v>907</v>
      </c>
      <c r="D2438" s="66">
        <f>VLOOKUP(C2438,基本字段定义!$B$3:$C$3008,2,FALSE)</f>
        <v>750</v>
      </c>
      <c r="E2438" s="67" t="s">
        <v>339</v>
      </c>
      <c r="F2438" s="67"/>
      <c r="G2438" s="69" t="s">
        <v>908</v>
      </c>
    </row>
    <row r="2439" spans="2:7">
      <c r="B2439" s="269"/>
      <c r="C2439" s="65" t="s">
        <v>1052</v>
      </c>
      <c r="D2439" s="66">
        <f>VLOOKUP(C2439,基本字段定义!$B$3:$C$3008,2,FALSE)</f>
        <v>9228</v>
      </c>
      <c r="E2439" s="67" t="s">
        <v>339</v>
      </c>
      <c r="F2439" s="67"/>
      <c r="G2439" s="69" t="s">
        <v>1053</v>
      </c>
    </row>
    <row r="2440" spans="2:7">
      <c r="B2440" s="269"/>
      <c r="C2440" s="65" t="s">
        <v>1028</v>
      </c>
      <c r="D2440" s="66">
        <f>VLOOKUP(C2440,基本字段定义!$B$3:$C$3008,2,FALSE)</f>
        <v>9198</v>
      </c>
      <c r="E2440" s="67" t="s">
        <v>339</v>
      </c>
      <c r="F2440" s="67"/>
      <c r="G2440" s="69" t="s">
        <v>1029</v>
      </c>
    </row>
    <row r="2441" spans="2:7">
      <c r="B2441" s="269"/>
      <c r="C2441" s="65" t="s">
        <v>739</v>
      </c>
      <c r="D2441" s="66">
        <f>VLOOKUP(C2441,基本字段定义!$B$3:$C$3008,2,FALSE)</f>
        <v>9129</v>
      </c>
      <c r="E2441" s="67" t="s">
        <v>339</v>
      </c>
      <c r="F2441" s="67"/>
      <c r="G2441" s="69" t="s">
        <v>740</v>
      </c>
    </row>
    <row r="2442" spans="2:7">
      <c r="B2442" s="269"/>
      <c r="C2442" s="65" t="s">
        <v>1042</v>
      </c>
      <c r="D2442" s="66">
        <f>VLOOKUP(C2442,基本字段定义!$B$3:$C$3008,2,FALSE)</f>
        <v>874</v>
      </c>
      <c r="E2442" s="67" t="s">
        <v>337</v>
      </c>
      <c r="F2442" s="67"/>
      <c r="G2442" s="69" t="s">
        <v>1065</v>
      </c>
    </row>
    <row r="2443" spans="2:7">
      <c r="B2443" s="269"/>
      <c r="C2443" s="65" t="s">
        <v>1037</v>
      </c>
      <c r="D2443" s="66">
        <f>VLOOKUP(C2443,基本字段定义!$B$3:$C$3008,2,FALSE)</f>
        <v>9202</v>
      </c>
      <c r="E2443" s="67" t="s">
        <v>339</v>
      </c>
      <c r="F2443" s="67"/>
      <c r="G2443" s="69" t="s">
        <v>744</v>
      </c>
    </row>
    <row r="2444" spans="2:7">
      <c r="B2444" s="269"/>
      <c r="C2444" s="65" t="s">
        <v>1063</v>
      </c>
      <c r="D2444" s="66">
        <f>VLOOKUP(C2444,基本字段定义!$B$3:$C$3008,2,FALSE)</f>
        <v>1676</v>
      </c>
      <c r="E2444" s="67" t="s">
        <v>339</v>
      </c>
      <c r="F2444" s="67"/>
      <c r="G2444" s="69" t="s">
        <v>1078</v>
      </c>
    </row>
    <row r="2445" spans="2:7">
      <c r="B2445" s="269"/>
      <c r="C2445" s="65" t="s">
        <v>1071</v>
      </c>
      <c r="D2445" s="66">
        <f>VLOOKUP(C2445,基本字段定义!$B$3:$C$3008,2,FALSE)</f>
        <v>9238</v>
      </c>
      <c r="E2445" s="67" t="s">
        <v>537</v>
      </c>
      <c r="F2445" s="67"/>
      <c r="G2445" s="69" t="s">
        <v>1079</v>
      </c>
    </row>
    <row r="2446" spans="2:7">
      <c r="B2446" s="269"/>
      <c r="C2446" s="65" t="s">
        <v>1066</v>
      </c>
      <c r="D2446" s="66">
        <f>VLOOKUP(C2446,基本字段定义!$B$3:$C$3008,2,FALSE)</f>
        <v>9132</v>
      </c>
      <c r="E2446" s="67" t="s">
        <v>537</v>
      </c>
      <c r="F2446" s="67"/>
      <c r="G2446" s="69" t="s">
        <v>1080</v>
      </c>
    </row>
    <row r="2447" spans="2:7">
      <c r="B2447" s="269"/>
      <c r="C2447" s="65" t="s">
        <v>922</v>
      </c>
      <c r="D2447" s="66">
        <f>VLOOKUP(C2447,基本字段定义!$B$3:$C$3008,2,FALSE)</f>
        <v>641</v>
      </c>
      <c r="E2447" s="67" t="s">
        <v>339</v>
      </c>
      <c r="F2447" s="67"/>
      <c r="G2447" s="69" t="s">
        <v>966</v>
      </c>
    </row>
    <row r="2448" spans="2:7">
      <c r="B2448" s="269"/>
      <c r="C2448" s="65" t="s">
        <v>911</v>
      </c>
      <c r="D2448" s="66">
        <f>VLOOKUP(C2448,基本字段定义!$B$3:$C$3008,2,FALSE)</f>
        <v>753</v>
      </c>
      <c r="E2448" s="67" t="s">
        <v>337</v>
      </c>
      <c r="F2448" s="67"/>
      <c r="G2448" s="69" t="s">
        <v>1081</v>
      </c>
    </row>
    <row r="2449" spans="2:7">
      <c r="B2449" s="269"/>
      <c r="C2449" s="112" t="s">
        <v>1073</v>
      </c>
      <c r="D2449" s="113">
        <f>VLOOKUP(C2449,基本字段定义!$B$3:$C$3008,2,FALSE)</f>
        <v>9205</v>
      </c>
      <c r="E2449" s="113" t="s">
        <v>339</v>
      </c>
      <c r="F2449" s="113"/>
      <c r="G2449" s="111" t="s">
        <v>1082</v>
      </c>
    </row>
    <row r="2450" spans="2:7">
      <c r="B2450" s="269"/>
      <c r="C2450" s="112" t="s">
        <v>1075</v>
      </c>
      <c r="D2450" s="113">
        <f>VLOOKUP(C2450,基本字段定义!$B$3:$C$3008,2,FALSE)</f>
        <v>9246</v>
      </c>
      <c r="E2450" s="113" t="s">
        <v>337</v>
      </c>
      <c r="F2450" s="113"/>
      <c r="G2450" s="111" t="s">
        <v>1083</v>
      </c>
    </row>
    <row r="2451" spans="2:7">
      <c r="B2451" s="269"/>
      <c r="C2451" s="112" t="s">
        <v>1055</v>
      </c>
      <c r="D2451" s="113">
        <f>VLOOKUP(C2451,基本字段定义!$B$3:$C$3008,2,FALSE)</f>
        <v>1000</v>
      </c>
      <c r="E2451" s="113" t="s">
        <v>337</v>
      </c>
      <c r="F2451" s="113"/>
      <c r="G2451" s="111" t="s">
        <v>1084</v>
      </c>
    </row>
    <row r="2452" spans="2:7">
      <c r="B2452" s="269"/>
      <c r="C2452" s="112" t="s">
        <v>559</v>
      </c>
      <c r="D2452" s="113">
        <f>VLOOKUP(C2452,基本字段定义!$B$3:$C$3008,2,FALSE)</f>
        <v>9020</v>
      </c>
      <c r="E2452" s="113" t="s">
        <v>337</v>
      </c>
      <c r="F2452" s="113"/>
      <c r="G2452" s="111" t="s">
        <v>1085</v>
      </c>
    </row>
    <row r="2453" spans="2:7">
      <c r="B2453" s="270"/>
      <c r="C2453" s="71"/>
      <c r="D2453" s="79"/>
      <c r="E2453" s="73"/>
      <c r="F2453" s="73"/>
      <c r="G2453" s="74"/>
    </row>
    <row r="2455" spans="2:7">
      <c r="B2455" s="53" t="s">
        <v>146</v>
      </c>
      <c r="C2455" s="80">
        <v>405003</v>
      </c>
      <c r="D2455" s="81"/>
      <c r="E2455" s="82"/>
      <c r="F2455" s="54" t="s">
        <v>326</v>
      </c>
      <c r="G2455" s="55"/>
    </row>
    <row r="2456" spans="2:7">
      <c r="B2456" s="56" t="s">
        <v>327</v>
      </c>
      <c r="C2456" s="83" t="str">
        <f>VLOOKUP(C2455,功能索引!$C$3:$D$269,2,FALSE)</f>
        <v>基金委托确认查询</v>
      </c>
      <c r="D2456" s="84"/>
      <c r="E2456" s="85"/>
      <c r="F2456" s="57" t="s">
        <v>148</v>
      </c>
      <c r="G2456" s="58" t="str">
        <f>VLOOKUP(C2455,功能索引!$C$3:$E2564,3,FALSE)</f>
        <v>Y</v>
      </c>
    </row>
    <row r="2457" spans="2:7">
      <c r="B2457" s="269" t="s">
        <v>328</v>
      </c>
      <c r="C2457" s="95"/>
      <c r="D2457" s="96"/>
      <c r="E2457" s="96"/>
      <c r="F2457" s="96"/>
      <c r="G2457" s="97"/>
    </row>
    <row r="2458" spans="2:7">
      <c r="B2458" s="270"/>
      <c r="C2458" s="98"/>
      <c r="D2458" s="99"/>
      <c r="E2458" s="99"/>
      <c r="F2458" s="99"/>
      <c r="G2458" s="100"/>
    </row>
    <row r="2459" spans="2:7">
      <c r="B2459" s="271" t="s">
        <v>329</v>
      </c>
      <c r="C2459" s="54" t="s">
        <v>330</v>
      </c>
      <c r="D2459" s="54" t="s">
        <v>331</v>
      </c>
      <c r="E2459" s="54" t="s">
        <v>332</v>
      </c>
      <c r="F2459" s="54" t="s">
        <v>333</v>
      </c>
      <c r="G2459" s="60" t="s">
        <v>334</v>
      </c>
    </row>
    <row r="2460" spans="2:7">
      <c r="B2460" s="269"/>
      <c r="C2460" s="61" t="s">
        <v>402</v>
      </c>
      <c r="D2460" s="62">
        <f>VLOOKUP(C2460,基本字段定义!$B$3:$C$3008,2,FALSE)</f>
        <v>605</v>
      </c>
      <c r="E2460" s="63" t="s">
        <v>403</v>
      </c>
      <c r="F2460" s="63" t="s">
        <v>152</v>
      </c>
      <c r="G2460" s="64" t="s">
        <v>404</v>
      </c>
    </row>
    <row r="2461" spans="2:7">
      <c r="B2461" s="269"/>
      <c r="C2461" s="61" t="s">
        <v>484</v>
      </c>
      <c r="D2461" s="62">
        <f>VLOOKUP(C2461,基本字段定义!$B$3:$C$3008,2,FALSE)</f>
        <v>618</v>
      </c>
      <c r="E2461" s="63" t="s">
        <v>337</v>
      </c>
      <c r="F2461" s="63" t="s">
        <v>152</v>
      </c>
      <c r="G2461" s="64" t="s">
        <v>1101</v>
      </c>
    </row>
    <row r="2462" spans="2:7">
      <c r="B2462" s="269"/>
      <c r="C2462" s="61" t="s">
        <v>486</v>
      </c>
      <c r="D2462" s="62">
        <f>VLOOKUP(C2462,基本字段定义!$B$3:$C$3008,2,FALSE)</f>
        <v>590</v>
      </c>
      <c r="E2462" s="63" t="s">
        <v>337</v>
      </c>
      <c r="F2462" s="63" t="s">
        <v>152</v>
      </c>
      <c r="G2462" s="64" t="s">
        <v>1102</v>
      </c>
    </row>
    <row r="2463" spans="2:7">
      <c r="B2463" s="269"/>
      <c r="C2463" s="61" t="s">
        <v>1028</v>
      </c>
      <c r="D2463" s="62">
        <f>VLOOKUP(C2463,基本字段定义!$B$3:$C$3008,2,FALSE)</f>
        <v>9198</v>
      </c>
      <c r="E2463" s="63" t="s">
        <v>362</v>
      </c>
      <c r="F2463" s="63"/>
      <c r="G2463" s="64" t="s">
        <v>1029</v>
      </c>
    </row>
    <row r="2464" spans="2:7">
      <c r="B2464" s="269"/>
      <c r="C2464" s="61" t="s">
        <v>588</v>
      </c>
      <c r="D2464" s="62">
        <f>VLOOKUP(C2464,基本字段定义!$B$3:$C$3008,2,FALSE)</f>
        <v>763</v>
      </c>
      <c r="E2464" s="63" t="s">
        <v>471</v>
      </c>
      <c r="F2464" s="63"/>
      <c r="G2464" s="64" t="s">
        <v>1426</v>
      </c>
    </row>
    <row r="2465" spans="2:7">
      <c r="B2465" s="269"/>
      <c r="C2465" s="61" t="s">
        <v>590</v>
      </c>
      <c r="D2465" s="62">
        <f>VLOOKUP(C2465,基本字段定义!$B$3:$C$3008,2,FALSE)</f>
        <v>9110</v>
      </c>
      <c r="E2465" s="63" t="s">
        <v>337</v>
      </c>
      <c r="F2465" s="63"/>
      <c r="G2465" s="64" t="s">
        <v>903</v>
      </c>
    </row>
    <row r="2466" spans="2:7">
      <c r="B2466" s="269"/>
      <c r="C2466" s="61" t="s">
        <v>1442</v>
      </c>
      <c r="D2466" s="62">
        <v>1160</v>
      </c>
      <c r="E2466" s="63" t="s">
        <v>339</v>
      </c>
      <c r="F2466" s="63"/>
      <c r="G2466" s="64" t="s">
        <v>1443</v>
      </c>
    </row>
    <row r="2467" spans="2:7">
      <c r="B2467" s="269"/>
      <c r="C2467" s="61" t="s">
        <v>586</v>
      </c>
      <c r="D2467" s="62">
        <f>VLOOKUP(C2467,基本字段定义!$B$3:$C$3008,2,FALSE)</f>
        <v>9109</v>
      </c>
      <c r="E2467" s="63" t="s">
        <v>337</v>
      </c>
      <c r="F2467" s="63"/>
      <c r="G2467" s="64" t="s">
        <v>1329</v>
      </c>
    </row>
    <row r="2468" spans="2:7">
      <c r="B2468" s="269" t="s">
        <v>335</v>
      </c>
      <c r="C2468" s="65" t="s">
        <v>588</v>
      </c>
      <c r="D2468" s="66">
        <f>VLOOKUP(C2468,基本字段定义!$B$3:$C$3008,2,FALSE)</f>
        <v>763</v>
      </c>
      <c r="E2468" s="67" t="s">
        <v>339</v>
      </c>
      <c r="F2468" s="67"/>
      <c r="G2468" s="69" t="s">
        <v>592</v>
      </c>
    </row>
    <row r="2469" spans="2:7">
      <c r="B2469" s="269"/>
      <c r="C2469" s="65" t="s">
        <v>882</v>
      </c>
      <c r="D2469" s="66">
        <f>VLOOKUP(C2469,基本字段定义!$B$3:$C$3008,2,FALSE)</f>
        <v>681</v>
      </c>
      <c r="E2469" s="67" t="s">
        <v>337</v>
      </c>
      <c r="F2469" s="67"/>
      <c r="G2469" s="69" t="s">
        <v>884</v>
      </c>
    </row>
    <row r="2470" spans="2:7">
      <c r="B2470" s="269"/>
      <c r="C2470" s="65" t="s">
        <v>956</v>
      </c>
      <c r="D2470" s="66">
        <f>VLOOKUP(C2470,基本字段定义!$B$3:$C$3008,2,FALSE)</f>
        <v>1898</v>
      </c>
      <c r="E2470" s="67" t="s">
        <v>337</v>
      </c>
      <c r="F2470" s="67"/>
      <c r="G2470" s="69" t="s">
        <v>957</v>
      </c>
    </row>
    <row r="2471" spans="2:7">
      <c r="B2471" s="269"/>
      <c r="C2471" s="65" t="s">
        <v>1444</v>
      </c>
      <c r="D2471" s="66">
        <f>VLOOKUP(C2471,基本字段定义!$B$3:$C$3008,2,FALSE)</f>
        <v>9262</v>
      </c>
      <c r="E2471" s="67" t="s">
        <v>337</v>
      </c>
      <c r="F2471" s="67"/>
      <c r="G2471" s="69" t="s">
        <v>508</v>
      </c>
    </row>
    <row r="2472" spans="2:7">
      <c r="B2472" s="269"/>
      <c r="C2472" s="65" t="s">
        <v>1052</v>
      </c>
      <c r="D2472" s="66">
        <f>VLOOKUP(C2472,基本字段定义!$B$3:$C$3008,2,FALSE)</f>
        <v>9228</v>
      </c>
      <c r="E2472" s="67" t="s">
        <v>339</v>
      </c>
      <c r="F2472" s="67"/>
      <c r="G2472" s="69" t="s">
        <v>1053</v>
      </c>
    </row>
    <row r="2473" spans="2:7">
      <c r="B2473" s="269"/>
      <c r="C2473" s="65" t="s">
        <v>1028</v>
      </c>
      <c r="D2473" s="66">
        <f>VLOOKUP(C2473,基本字段定义!$B$3:$C$3008,2,FALSE)</f>
        <v>9198</v>
      </c>
      <c r="E2473" s="67" t="s">
        <v>339</v>
      </c>
      <c r="F2473" s="67"/>
      <c r="G2473" s="69" t="s">
        <v>1029</v>
      </c>
    </row>
    <row r="2474" spans="2:7">
      <c r="B2474" s="269"/>
      <c r="C2474" s="65" t="s">
        <v>739</v>
      </c>
      <c r="D2474" s="66">
        <f>VLOOKUP(C2474,基本字段定义!$B$3:$C$3008,2,FALSE)</f>
        <v>9129</v>
      </c>
      <c r="E2474" s="67" t="s">
        <v>339</v>
      </c>
      <c r="F2474" s="67"/>
      <c r="G2474" s="69" t="s">
        <v>740</v>
      </c>
    </row>
    <row r="2475" spans="2:7">
      <c r="B2475" s="269"/>
      <c r="C2475" s="65" t="s">
        <v>1042</v>
      </c>
      <c r="D2475" s="66">
        <f>VLOOKUP(C2475,基本字段定义!$B$3:$C$3008,2,FALSE)</f>
        <v>874</v>
      </c>
      <c r="E2475" s="67" t="s">
        <v>337</v>
      </c>
      <c r="F2475" s="67"/>
      <c r="G2475" s="69" t="s">
        <v>1065</v>
      </c>
    </row>
    <row r="2476" spans="2:7">
      <c r="B2476" s="269"/>
      <c r="C2476" s="65" t="s">
        <v>1037</v>
      </c>
      <c r="D2476" s="66">
        <f>VLOOKUP(C2476,基本字段定义!$B$3:$C$3008,2,FALSE)</f>
        <v>9202</v>
      </c>
      <c r="E2476" s="67" t="s">
        <v>339</v>
      </c>
      <c r="F2476" s="67"/>
      <c r="G2476" s="69" t="s">
        <v>744</v>
      </c>
    </row>
    <row r="2477" spans="2:7">
      <c r="B2477" s="269"/>
      <c r="C2477" s="65" t="s">
        <v>1063</v>
      </c>
      <c r="D2477" s="66">
        <f>VLOOKUP(C2477,基本字段定义!$B$3:$C$3008,2,FALSE)</f>
        <v>1676</v>
      </c>
      <c r="E2477" s="67" t="s">
        <v>339</v>
      </c>
      <c r="F2477" s="67"/>
      <c r="G2477" s="69" t="s">
        <v>1078</v>
      </c>
    </row>
    <row r="2478" spans="2:7">
      <c r="B2478" s="269"/>
      <c r="C2478" s="65" t="s">
        <v>1071</v>
      </c>
      <c r="D2478" s="66">
        <f>VLOOKUP(C2478,基本字段定义!$B$3:$C$3008,2,FALSE)</f>
        <v>9238</v>
      </c>
      <c r="E2478" s="67" t="s">
        <v>537</v>
      </c>
      <c r="F2478" s="67"/>
      <c r="G2478" s="69" t="s">
        <v>1079</v>
      </c>
    </row>
    <row r="2479" spans="2:7">
      <c r="B2479" s="269"/>
      <c r="C2479" s="65" t="s">
        <v>1445</v>
      </c>
      <c r="D2479" s="66">
        <f>VLOOKUP(C2479,基本字段定义!$B$3:$C$3008,2,FALSE)</f>
        <v>9263</v>
      </c>
      <c r="E2479" s="67" t="s">
        <v>537</v>
      </c>
      <c r="F2479" s="67"/>
      <c r="G2479" s="69" t="s">
        <v>1446</v>
      </c>
    </row>
    <row r="2480" spans="2:7">
      <c r="B2480" s="269"/>
      <c r="C2480" s="65" t="s">
        <v>1066</v>
      </c>
      <c r="D2480" s="66">
        <f>VLOOKUP(C2480,基本字段定义!$B$3:$C$3008,2,FALSE)</f>
        <v>9132</v>
      </c>
      <c r="E2480" s="67" t="s">
        <v>537</v>
      </c>
      <c r="F2480" s="67"/>
      <c r="G2480" s="69" t="s">
        <v>1080</v>
      </c>
    </row>
    <row r="2481" spans="2:7">
      <c r="B2481" s="269"/>
      <c r="C2481" s="65" t="s">
        <v>1447</v>
      </c>
      <c r="D2481" s="66">
        <f>VLOOKUP(C2481,基本字段定义!$B$3:$C$3008,2,FALSE)</f>
        <v>9264</v>
      </c>
      <c r="E2481" s="67" t="s">
        <v>537</v>
      </c>
      <c r="F2481" s="67"/>
      <c r="G2481" s="69" t="s">
        <v>1448</v>
      </c>
    </row>
    <row r="2482" spans="2:7">
      <c r="B2482" s="269"/>
      <c r="C2482" s="65" t="s">
        <v>1449</v>
      </c>
      <c r="D2482" s="66">
        <f>VLOOKUP(C2482,基本字段定义!$B$3:$C$3008,2,FALSE)</f>
        <v>9305</v>
      </c>
      <c r="E2482" s="67" t="s">
        <v>339</v>
      </c>
      <c r="F2482" s="67"/>
      <c r="G2482" s="69" t="s">
        <v>1450</v>
      </c>
    </row>
    <row r="2483" spans="2:7">
      <c r="B2483" s="269"/>
      <c r="C2483" s="65" t="s">
        <v>964</v>
      </c>
      <c r="D2483" s="66">
        <f>VLOOKUP(C2483,基本字段定义!$B$3:$C$3008,2,FALSE)</f>
        <v>1234</v>
      </c>
      <c r="E2483" s="67" t="s">
        <v>337</v>
      </c>
      <c r="F2483" s="67"/>
      <c r="G2483" s="69" t="s">
        <v>965</v>
      </c>
    </row>
    <row r="2484" spans="2:7">
      <c r="B2484" s="269"/>
      <c r="C2484" s="65" t="s">
        <v>1055</v>
      </c>
      <c r="D2484" s="66">
        <f>VLOOKUP(C2484,基本字段定义!$B$3:$C$3008,2,FALSE)</f>
        <v>1000</v>
      </c>
      <c r="E2484" s="67" t="s">
        <v>337</v>
      </c>
      <c r="F2484" s="67"/>
      <c r="G2484" s="69" t="s">
        <v>1084</v>
      </c>
    </row>
    <row r="2485" spans="2:7">
      <c r="B2485" s="269"/>
      <c r="C2485" s="65" t="s">
        <v>1040</v>
      </c>
      <c r="D2485" s="66">
        <f>VLOOKUP(C2485,基本字段定义!$B$3:$C$3008,2,FALSE)</f>
        <v>9204</v>
      </c>
      <c r="E2485" s="67" t="s">
        <v>537</v>
      </c>
      <c r="F2485" s="67"/>
      <c r="G2485" s="69" t="s">
        <v>1041</v>
      </c>
    </row>
    <row r="2486" spans="2:7">
      <c r="B2486" s="270"/>
      <c r="C2486" s="71"/>
      <c r="D2486" s="79"/>
      <c r="E2486" s="73"/>
      <c r="F2486" s="73"/>
      <c r="G2486" s="74"/>
    </row>
    <row r="2488" spans="2:7">
      <c r="B2488" s="53" t="s">
        <v>146</v>
      </c>
      <c r="C2488" s="80">
        <v>403201</v>
      </c>
      <c r="D2488" s="81"/>
      <c r="E2488" s="82"/>
      <c r="F2488" s="54" t="s">
        <v>326</v>
      </c>
      <c r="G2488" s="55"/>
    </row>
    <row r="2489" spans="2:7">
      <c r="B2489" s="56" t="s">
        <v>327</v>
      </c>
      <c r="C2489" s="83" t="str">
        <f>VLOOKUP(C2488,功能索引!$C$3:$D$269,2,FALSE)</f>
        <v>资金变动明细查询</v>
      </c>
      <c r="D2489" s="84"/>
      <c r="E2489" s="85"/>
      <c r="F2489" s="57" t="s">
        <v>148</v>
      </c>
      <c r="G2489" s="58" t="str">
        <f>VLOOKUP(C2488,功能索引!$C$3:$E2598,3,FALSE)</f>
        <v>Y</v>
      </c>
    </row>
    <row r="2490" spans="2:7">
      <c r="B2490" s="269" t="s">
        <v>328</v>
      </c>
      <c r="C2490" s="95" t="s">
        <v>585</v>
      </c>
      <c r="D2490" s="96"/>
      <c r="E2490" s="96"/>
      <c r="F2490" s="96"/>
      <c r="G2490" s="97"/>
    </row>
    <row r="2491" spans="2:7">
      <c r="B2491" s="270"/>
      <c r="C2491" s="98"/>
      <c r="D2491" s="99"/>
      <c r="E2491" s="99"/>
      <c r="F2491" s="99"/>
      <c r="G2491" s="100"/>
    </row>
    <row r="2492" spans="2:7">
      <c r="B2492" s="271" t="s">
        <v>329</v>
      </c>
      <c r="C2492" s="54" t="s">
        <v>330</v>
      </c>
      <c r="D2492" s="54" t="s">
        <v>331</v>
      </c>
      <c r="E2492" s="54" t="s">
        <v>332</v>
      </c>
      <c r="F2492" s="54" t="s">
        <v>333</v>
      </c>
      <c r="G2492" s="60" t="s">
        <v>334</v>
      </c>
    </row>
    <row r="2493" spans="2:7">
      <c r="B2493" s="269"/>
      <c r="C2493" s="61" t="s">
        <v>402</v>
      </c>
      <c r="D2493" s="62">
        <f>VLOOKUP(C2493,基本字段定义!$B$3:$C$3008,2,FALSE)</f>
        <v>605</v>
      </c>
      <c r="E2493" s="63" t="s">
        <v>403</v>
      </c>
      <c r="F2493" s="63" t="s">
        <v>152</v>
      </c>
      <c r="G2493" s="64" t="s">
        <v>404</v>
      </c>
    </row>
    <row r="2494" spans="2:7">
      <c r="B2494" s="269"/>
      <c r="C2494" s="61" t="s">
        <v>484</v>
      </c>
      <c r="D2494" s="62">
        <f>VLOOKUP(C2494,基本字段定义!$B$3:$C$3008,2,FALSE)</f>
        <v>618</v>
      </c>
      <c r="E2494" s="63" t="s">
        <v>337</v>
      </c>
      <c r="F2494" s="63" t="s">
        <v>152</v>
      </c>
      <c r="G2494" s="64" t="s">
        <v>1101</v>
      </c>
    </row>
    <row r="2495" spans="2:7">
      <c r="B2495" s="269"/>
      <c r="C2495" s="61" t="s">
        <v>486</v>
      </c>
      <c r="D2495" s="62">
        <f>VLOOKUP(C2495,基本字段定义!$B$3:$C$3008,2,FALSE)</f>
        <v>590</v>
      </c>
      <c r="E2495" s="63" t="s">
        <v>337</v>
      </c>
      <c r="F2495" s="63" t="s">
        <v>152</v>
      </c>
      <c r="G2495" s="64" t="s">
        <v>1102</v>
      </c>
    </row>
    <row r="2496" spans="2:7">
      <c r="B2496" s="269"/>
      <c r="C2496" s="61" t="s">
        <v>524</v>
      </c>
      <c r="D2496" s="62">
        <f>VLOOKUP(C2496,基本字段定义!$B$3:$C$3008,2,FALSE)</f>
        <v>511</v>
      </c>
      <c r="E2496" s="63" t="s">
        <v>527</v>
      </c>
      <c r="F2496" s="63"/>
      <c r="G2496" s="64" t="s">
        <v>525</v>
      </c>
    </row>
    <row r="2497" spans="2:7">
      <c r="B2497" s="269"/>
      <c r="C2497" s="61" t="s">
        <v>588</v>
      </c>
      <c r="D2497" s="62">
        <f>VLOOKUP(C2497,基本字段定义!$B$3:$C$3008,2,FALSE)</f>
        <v>763</v>
      </c>
      <c r="E2497" s="63" t="s">
        <v>471</v>
      </c>
      <c r="F2497" s="63"/>
      <c r="G2497" s="64" t="s">
        <v>1451</v>
      </c>
    </row>
    <row r="2498" spans="2:7">
      <c r="B2498" s="269"/>
      <c r="C2498" s="61" t="s">
        <v>590</v>
      </c>
      <c r="D2498" s="62">
        <f>VLOOKUP(C2498,基本字段定义!$B$3:$C$3008,2,FALSE)</f>
        <v>9110</v>
      </c>
      <c r="E2498" s="63" t="s">
        <v>337</v>
      </c>
      <c r="F2498" s="63"/>
      <c r="G2498" s="64" t="s">
        <v>591</v>
      </c>
    </row>
    <row r="2499" spans="2:7">
      <c r="B2499" s="269"/>
      <c r="C2499" s="61" t="s">
        <v>586</v>
      </c>
      <c r="D2499" s="62">
        <f>VLOOKUP(C2499,基本字段定义!$B$3:$C$3008,2,FALSE)</f>
        <v>9109</v>
      </c>
      <c r="E2499" s="63" t="s">
        <v>337</v>
      </c>
      <c r="F2499" s="63"/>
      <c r="G2499" s="64" t="s">
        <v>1452</v>
      </c>
    </row>
    <row r="2500" spans="2:7">
      <c r="B2500" s="269" t="s">
        <v>335</v>
      </c>
      <c r="C2500" s="65" t="s">
        <v>588</v>
      </c>
      <c r="D2500" s="66">
        <f>VLOOKUP(C2500,基本字段定义!$B$3:$C$3008,2,FALSE)</f>
        <v>763</v>
      </c>
      <c r="E2500" s="67" t="s">
        <v>339</v>
      </c>
      <c r="F2500" s="67"/>
      <c r="G2500" s="68" t="s">
        <v>592</v>
      </c>
    </row>
    <row r="2501" spans="2:7">
      <c r="B2501" s="269"/>
      <c r="C2501" s="65" t="s">
        <v>367</v>
      </c>
      <c r="D2501" s="66">
        <f>VLOOKUP(C2501,基本字段定义!$B$3:$C$3008,2,FALSE)</f>
        <v>651</v>
      </c>
      <c r="E2501" s="67" t="s">
        <v>337</v>
      </c>
      <c r="F2501" s="67"/>
      <c r="G2501" s="69" t="s">
        <v>593</v>
      </c>
    </row>
    <row r="2502" spans="2:7">
      <c r="B2502" s="269"/>
      <c r="C2502" s="65" t="s">
        <v>594</v>
      </c>
      <c r="D2502" s="66">
        <f>VLOOKUP(C2502,基本字段定义!$B$3:$C$3008,2,FALSE)</f>
        <v>865</v>
      </c>
      <c r="E2502" s="67" t="s">
        <v>339</v>
      </c>
      <c r="F2502" s="67"/>
      <c r="G2502" s="69" t="s">
        <v>595</v>
      </c>
    </row>
    <row r="2503" spans="2:7">
      <c r="B2503" s="269"/>
      <c r="C2503" s="65" t="s">
        <v>522</v>
      </c>
      <c r="D2503" s="66">
        <f>VLOOKUP(C2503,基本字段定义!$B$3:$C$3008,2,FALSE)</f>
        <v>716</v>
      </c>
      <c r="E2503" s="67" t="s">
        <v>339</v>
      </c>
      <c r="F2503" s="67"/>
      <c r="G2503" s="69" t="s">
        <v>529</v>
      </c>
    </row>
    <row r="2504" spans="2:7">
      <c r="B2504" s="269"/>
      <c r="C2504" s="65" t="s">
        <v>524</v>
      </c>
      <c r="D2504" s="66">
        <f>VLOOKUP(C2504,基本字段定义!$B$3:$C$3008,2,FALSE)</f>
        <v>511</v>
      </c>
      <c r="E2504" s="67" t="s">
        <v>339</v>
      </c>
      <c r="F2504" s="67"/>
      <c r="G2504" s="69" t="s">
        <v>525</v>
      </c>
    </row>
    <row r="2505" spans="2:7">
      <c r="B2505" s="269"/>
      <c r="C2505" s="65" t="s">
        <v>597</v>
      </c>
      <c r="D2505" s="66">
        <f>VLOOKUP(C2505,基本字段定义!$B$3:$C$3008,2,FALSE)</f>
        <v>9115</v>
      </c>
      <c r="E2505" s="67" t="s">
        <v>537</v>
      </c>
      <c r="F2505" s="67"/>
      <c r="G2505" s="69" t="s">
        <v>1453</v>
      </c>
    </row>
    <row r="2506" spans="2:7">
      <c r="B2506" s="269"/>
      <c r="C2506" s="65" t="s">
        <v>599</v>
      </c>
      <c r="D2506" s="66">
        <f>VLOOKUP(C2506,基本字段定义!$B$3:$C$3008,2,FALSE)</f>
        <v>9116</v>
      </c>
      <c r="E2506" s="67" t="s">
        <v>537</v>
      </c>
      <c r="F2506" s="67"/>
      <c r="G2506" s="69" t="s">
        <v>1454</v>
      </c>
    </row>
    <row r="2507" spans="2:7">
      <c r="B2507" s="269"/>
      <c r="C2507" s="65" t="s">
        <v>601</v>
      </c>
      <c r="D2507" s="66">
        <f>VLOOKUP(C2507,基本字段定义!$B$3:$C$3008,2,FALSE)</f>
        <v>501</v>
      </c>
      <c r="E2507" s="67" t="s">
        <v>537</v>
      </c>
      <c r="F2507" s="67"/>
      <c r="G2507" s="69" t="s">
        <v>538</v>
      </c>
    </row>
    <row r="2508" spans="2:7">
      <c r="B2508" s="269"/>
      <c r="C2508" s="65" t="s">
        <v>470</v>
      </c>
      <c r="D2508" s="66">
        <f>VLOOKUP(C2508,基本字段定义!$B$3:$C$3008,2,FALSE)</f>
        <v>730</v>
      </c>
      <c r="E2508" s="67" t="s">
        <v>339</v>
      </c>
      <c r="F2508" s="67"/>
      <c r="G2508" s="69" t="s">
        <v>1420</v>
      </c>
    </row>
    <row r="2509" spans="2:7">
      <c r="B2509" s="270"/>
      <c r="C2509" s="71"/>
      <c r="D2509" s="79"/>
      <c r="E2509" s="73"/>
      <c r="F2509" s="73"/>
      <c r="G2509" s="74"/>
    </row>
    <row r="2511" spans="2:7">
      <c r="B2511" s="53" t="s">
        <v>146</v>
      </c>
      <c r="C2511" s="80">
        <v>403204</v>
      </c>
      <c r="D2511" s="81"/>
      <c r="E2511" s="82"/>
      <c r="F2511" s="54" t="s">
        <v>326</v>
      </c>
      <c r="G2511" s="55"/>
    </row>
    <row r="2512" spans="2:7">
      <c r="B2512" s="56" t="s">
        <v>327</v>
      </c>
      <c r="C2512" s="83" t="str">
        <f>VLOOKUP(C2511,功能索引!$C$3:$D$269,2,FALSE)</f>
        <v>三方存管历史申请流水查询</v>
      </c>
      <c r="D2512" s="84"/>
      <c r="E2512" s="85"/>
      <c r="F2512" s="57" t="s">
        <v>148</v>
      </c>
      <c r="G2512" s="58" t="str">
        <f>VLOOKUP(C2511,功能索引!$C$3:$E2654,3,FALSE)</f>
        <v>Y</v>
      </c>
    </row>
    <row r="2513" spans="2:7">
      <c r="B2513" s="269" t="s">
        <v>328</v>
      </c>
      <c r="C2513" s="95" t="s">
        <v>585</v>
      </c>
      <c r="D2513" s="96"/>
      <c r="E2513" s="96"/>
      <c r="F2513" s="96"/>
      <c r="G2513" s="97"/>
    </row>
    <row r="2514" spans="2:7">
      <c r="B2514" s="270"/>
      <c r="C2514" s="98"/>
      <c r="D2514" s="99"/>
      <c r="E2514" s="99"/>
      <c r="F2514" s="99"/>
      <c r="G2514" s="100"/>
    </row>
    <row r="2515" spans="2:7">
      <c r="B2515" s="271" t="s">
        <v>329</v>
      </c>
      <c r="C2515" s="54" t="s">
        <v>330</v>
      </c>
      <c r="D2515" s="54" t="s">
        <v>331</v>
      </c>
      <c r="E2515" s="54" t="s">
        <v>332</v>
      </c>
      <c r="F2515" s="54" t="s">
        <v>333</v>
      </c>
      <c r="G2515" s="60" t="s">
        <v>334</v>
      </c>
    </row>
    <row r="2516" spans="2:7">
      <c r="B2516" s="269"/>
      <c r="C2516" s="61" t="s">
        <v>402</v>
      </c>
      <c r="D2516" s="62">
        <f>VLOOKUP(C2516,基本字段定义!$B$3:$C$3008,2,FALSE)</f>
        <v>605</v>
      </c>
      <c r="E2516" s="63" t="s">
        <v>403</v>
      </c>
      <c r="F2516" s="63" t="s">
        <v>152</v>
      </c>
      <c r="G2516" s="64" t="s">
        <v>404</v>
      </c>
    </row>
    <row r="2517" spans="2:7">
      <c r="B2517" s="269"/>
      <c r="C2517" s="61" t="s">
        <v>484</v>
      </c>
      <c r="D2517" s="62">
        <f>VLOOKUP(C2517,基本字段定义!$B$3:$C$3008,2,FALSE)</f>
        <v>618</v>
      </c>
      <c r="E2517" s="63" t="s">
        <v>337</v>
      </c>
      <c r="F2517" s="63" t="s">
        <v>152</v>
      </c>
      <c r="G2517" s="64" t="s">
        <v>1101</v>
      </c>
    </row>
    <row r="2518" spans="2:7">
      <c r="B2518" s="269"/>
      <c r="C2518" s="61" t="s">
        <v>486</v>
      </c>
      <c r="D2518" s="62">
        <f>VLOOKUP(C2518,基本字段定义!$B$3:$C$3008,2,FALSE)</f>
        <v>590</v>
      </c>
      <c r="E2518" s="63" t="s">
        <v>337</v>
      </c>
      <c r="F2518" s="63" t="s">
        <v>152</v>
      </c>
      <c r="G2518" s="64" t="s">
        <v>1102</v>
      </c>
    </row>
    <row r="2519" spans="2:7">
      <c r="B2519" s="269"/>
      <c r="C2519" s="61" t="s">
        <v>588</v>
      </c>
      <c r="D2519" s="62">
        <f>VLOOKUP(C2519,基本字段定义!$B$3:$C$3008,2,FALSE)</f>
        <v>763</v>
      </c>
      <c r="E2519" s="63" t="s">
        <v>471</v>
      </c>
      <c r="F2519" s="63"/>
      <c r="G2519" s="64" t="s">
        <v>1451</v>
      </c>
    </row>
    <row r="2520" spans="2:7">
      <c r="B2520" s="269"/>
      <c r="C2520" s="61" t="s">
        <v>590</v>
      </c>
      <c r="D2520" s="62">
        <f>VLOOKUP(C2520,基本字段定义!$B$3:$C$3008,2,FALSE)</f>
        <v>9110</v>
      </c>
      <c r="E2520" s="63" t="s">
        <v>337</v>
      </c>
      <c r="F2520" s="63"/>
      <c r="G2520" s="64" t="s">
        <v>1455</v>
      </c>
    </row>
    <row r="2521" spans="2:7">
      <c r="B2521" s="269"/>
      <c r="C2521" s="61" t="s">
        <v>614</v>
      </c>
      <c r="D2521" s="62">
        <v>912</v>
      </c>
      <c r="E2521" s="63" t="s">
        <v>337</v>
      </c>
      <c r="F2521" s="63"/>
      <c r="G2521" s="64" t="s">
        <v>615</v>
      </c>
    </row>
    <row r="2522" spans="2:7">
      <c r="B2522" s="269"/>
      <c r="C2522" s="61" t="s">
        <v>586</v>
      </c>
      <c r="D2522" s="62">
        <f>VLOOKUP(C2522,基本字段定义!$B$3:$C$3008,2,FALSE)</f>
        <v>9109</v>
      </c>
      <c r="E2522" s="63" t="s">
        <v>337</v>
      </c>
      <c r="F2522" s="63"/>
      <c r="G2522" s="64" t="s">
        <v>1456</v>
      </c>
    </row>
    <row r="2523" spans="2:7">
      <c r="B2523" s="269" t="s">
        <v>335</v>
      </c>
      <c r="C2523" s="65" t="s">
        <v>588</v>
      </c>
      <c r="D2523" s="66">
        <f>VLOOKUP(C2523,基本字段定义!$B$3:$C$3008,2,FALSE)</f>
        <v>763</v>
      </c>
      <c r="E2523" s="67" t="s">
        <v>339</v>
      </c>
      <c r="F2523" s="67"/>
      <c r="G2523" s="68" t="s">
        <v>592</v>
      </c>
    </row>
    <row r="2524" spans="2:7">
      <c r="B2524" s="269"/>
      <c r="C2524" s="65" t="s">
        <v>652</v>
      </c>
      <c r="D2524" s="66">
        <f>VLOOKUP(C2524,基本字段定义!$B$3:$C$3008,2,FALSE)</f>
        <v>1980</v>
      </c>
      <c r="E2524" s="67" t="s">
        <v>337</v>
      </c>
      <c r="F2524" s="67"/>
      <c r="G2524" s="69" t="s">
        <v>653</v>
      </c>
    </row>
    <row r="2525" spans="2:7">
      <c r="B2525" s="269"/>
      <c r="C2525" s="65" t="s">
        <v>631</v>
      </c>
      <c r="D2525" s="66">
        <f>VLOOKUP(C2525,基本字段定义!$B$3:$C$3008,2,FALSE)</f>
        <v>1981</v>
      </c>
      <c r="E2525" s="67" t="s">
        <v>339</v>
      </c>
      <c r="F2525" s="67"/>
      <c r="G2525" s="69" t="s">
        <v>632</v>
      </c>
    </row>
    <row r="2526" spans="2:7">
      <c r="B2526" s="269"/>
      <c r="C2526" s="65" t="s">
        <v>614</v>
      </c>
      <c r="D2526" s="66">
        <f>VLOOKUP(C2526,基本字段定义!$B$3:$C$3008,2,FALSE)</f>
        <v>912</v>
      </c>
      <c r="E2526" s="67" t="s">
        <v>339</v>
      </c>
      <c r="F2526" s="67"/>
      <c r="G2526" s="68" t="s">
        <v>615</v>
      </c>
    </row>
    <row r="2527" spans="2:7">
      <c r="B2527" s="269"/>
      <c r="C2527" s="65" t="s">
        <v>522</v>
      </c>
      <c r="D2527" s="66">
        <f>VLOOKUP(C2527,基本字段定义!$B$3:$C$3008,2,FALSE)</f>
        <v>716</v>
      </c>
      <c r="E2527" s="67" t="s">
        <v>339</v>
      </c>
      <c r="F2527" s="67"/>
      <c r="G2527" s="69" t="s">
        <v>529</v>
      </c>
    </row>
    <row r="2528" spans="2:7">
      <c r="B2528" s="269"/>
      <c r="C2528" s="112" t="s">
        <v>556</v>
      </c>
      <c r="D2528" s="113">
        <f>VLOOKUP(C2528,基本字段定义!$B$3:$C$3008,2,FALSE)</f>
        <v>692</v>
      </c>
      <c r="E2528" s="113" t="s">
        <v>339</v>
      </c>
      <c r="F2528" s="113"/>
      <c r="G2528" s="111" t="s">
        <v>604</v>
      </c>
    </row>
    <row r="2529" spans="2:7">
      <c r="B2529" s="269"/>
      <c r="C2529" s="112" t="s">
        <v>605</v>
      </c>
      <c r="D2529" s="113">
        <f>VLOOKUP(C2529,基本字段定义!$B$3:$C$3008,2,FALSE)</f>
        <v>693</v>
      </c>
      <c r="E2529" s="113" t="s">
        <v>339</v>
      </c>
      <c r="F2529" s="113"/>
      <c r="G2529" s="111" t="s">
        <v>606</v>
      </c>
    </row>
    <row r="2530" spans="2:7">
      <c r="B2530" s="269"/>
      <c r="C2530" s="65" t="s">
        <v>524</v>
      </c>
      <c r="D2530" s="66">
        <f>VLOOKUP(C2530,基本字段定义!$B$3:$C$3008,2,FALSE)</f>
        <v>511</v>
      </c>
      <c r="E2530" s="67" t="s">
        <v>339</v>
      </c>
      <c r="F2530" s="67"/>
      <c r="G2530" s="69" t="s">
        <v>525</v>
      </c>
    </row>
    <row r="2531" spans="2:7" ht="25.5">
      <c r="B2531" s="269"/>
      <c r="C2531" s="65" t="s">
        <v>628</v>
      </c>
      <c r="D2531" s="66">
        <f>VLOOKUP(C2531,基本字段定义!$B$3:$C$3008,2,FALSE)</f>
        <v>695</v>
      </c>
      <c r="E2531" s="67" t="s">
        <v>337</v>
      </c>
      <c r="F2531" s="67"/>
      <c r="G2531" s="70" t="s">
        <v>629</v>
      </c>
    </row>
    <row r="2532" spans="2:7">
      <c r="B2532" s="269"/>
      <c r="C2532" s="65" t="s">
        <v>582</v>
      </c>
      <c r="D2532" s="66">
        <f>VLOOKUP(C2532,基本字段定义!$B$3:$C$3008,2,FALSE)</f>
        <v>808</v>
      </c>
      <c r="E2532" s="67" t="s">
        <v>537</v>
      </c>
      <c r="F2532" s="67"/>
      <c r="G2532" s="69" t="s">
        <v>616</v>
      </c>
    </row>
    <row r="2533" spans="2:7">
      <c r="B2533" s="269"/>
      <c r="C2533" s="65" t="s">
        <v>601</v>
      </c>
      <c r="D2533" s="66">
        <f>VLOOKUP(C2533,基本字段定义!$B$3:$C$3008,2,FALSE)</f>
        <v>501</v>
      </c>
      <c r="E2533" s="67" t="s">
        <v>537</v>
      </c>
      <c r="F2533" s="67"/>
      <c r="G2533" s="69" t="s">
        <v>630</v>
      </c>
    </row>
    <row r="2534" spans="2:7">
      <c r="B2534" s="269"/>
      <c r="C2534" s="65" t="s">
        <v>633</v>
      </c>
      <c r="D2534" s="66">
        <f>VLOOKUP(C2534,基本字段定义!$B$3:$C$3008,2,FALSE)</f>
        <v>880</v>
      </c>
      <c r="E2534" s="67" t="s">
        <v>337</v>
      </c>
      <c r="F2534" s="67"/>
      <c r="G2534" s="69" t="s">
        <v>634</v>
      </c>
    </row>
    <row r="2535" spans="2:7">
      <c r="B2535" s="269"/>
      <c r="C2535" s="65" t="s">
        <v>635</v>
      </c>
      <c r="D2535" s="66">
        <f>VLOOKUP(C2535,基本字段定义!$B$3:$C$3008,2,FALSE)</f>
        <v>830</v>
      </c>
      <c r="E2535" s="67" t="s">
        <v>339</v>
      </c>
      <c r="F2535" s="67"/>
      <c r="G2535" s="69" t="s">
        <v>636</v>
      </c>
    </row>
    <row r="2536" spans="2:7">
      <c r="B2536" s="269"/>
      <c r="C2536" s="65" t="s">
        <v>637</v>
      </c>
      <c r="D2536" s="66">
        <f>VLOOKUP(C2536,基本字段定义!$B$3:$C$3008,2,FALSE)</f>
        <v>926</v>
      </c>
      <c r="E2536" s="67" t="s">
        <v>337</v>
      </c>
      <c r="F2536" s="67"/>
      <c r="G2536" s="69" t="s">
        <v>638</v>
      </c>
    </row>
    <row r="2537" spans="2:7">
      <c r="B2537" s="270"/>
      <c r="C2537" s="71"/>
      <c r="D2537" s="79"/>
      <c r="E2537" s="73"/>
      <c r="F2537" s="73"/>
      <c r="G2537" s="74"/>
    </row>
    <row r="2539" spans="2:7">
      <c r="B2539" s="53" t="s">
        <v>146</v>
      </c>
      <c r="C2539" s="80">
        <v>403251</v>
      </c>
      <c r="D2539" s="81"/>
      <c r="E2539" s="82"/>
      <c r="F2539" s="54" t="s">
        <v>326</v>
      </c>
      <c r="G2539" s="55"/>
    </row>
    <row r="2540" spans="2:7">
      <c r="B2540" s="56" t="s">
        <v>327</v>
      </c>
      <c r="C2540" s="83" t="str">
        <f>VLOOKUP(C2539,功能索引!$C$3:$D$269,2,FALSE)</f>
        <v>证券发起历史资金转账申请查询</v>
      </c>
      <c r="D2540" s="84"/>
      <c r="E2540" s="85"/>
      <c r="F2540" s="57" t="s">
        <v>148</v>
      </c>
      <c r="G2540" s="58" t="str">
        <f>VLOOKUP(C2539,功能索引!$C$3:$E2681,3,FALSE)</f>
        <v>Y</v>
      </c>
    </row>
    <row r="2541" spans="2:7">
      <c r="B2541" s="269" t="s">
        <v>328</v>
      </c>
      <c r="C2541" s="95" t="s">
        <v>1457</v>
      </c>
      <c r="D2541" s="96"/>
      <c r="E2541" s="96"/>
      <c r="F2541" s="96"/>
      <c r="G2541" s="97"/>
    </row>
    <row r="2542" spans="2:7">
      <c r="B2542" s="270"/>
      <c r="C2542" s="98"/>
      <c r="D2542" s="99"/>
      <c r="E2542" s="99"/>
      <c r="F2542" s="99"/>
      <c r="G2542" s="100"/>
    </row>
    <row r="2543" spans="2:7">
      <c r="B2543" s="271" t="s">
        <v>329</v>
      </c>
      <c r="C2543" s="54" t="s">
        <v>330</v>
      </c>
      <c r="D2543" s="54" t="s">
        <v>331</v>
      </c>
      <c r="E2543" s="54" t="s">
        <v>332</v>
      </c>
      <c r="F2543" s="54" t="s">
        <v>333</v>
      </c>
      <c r="G2543" s="60" t="s">
        <v>334</v>
      </c>
    </row>
    <row r="2544" spans="2:7">
      <c r="B2544" s="269"/>
      <c r="C2544" s="61" t="s">
        <v>402</v>
      </c>
      <c r="D2544" s="62">
        <f>VLOOKUP(C2544,基本字段定义!$B$3:$C$3008,2,FALSE)</f>
        <v>605</v>
      </c>
      <c r="E2544" s="63" t="s">
        <v>403</v>
      </c>
      <c r="F2544" s="63" t="s">
        <v>152</v>
      </c>
      <c r="G2544" s="64" t="s">
        <v>404</v>
      </c>
    </row>
    <row r="2545" spans="2:7">
      <c r="B2545" s="269"/>
      <c r="C2545" s="61" t="s">
        <v>484</v>
      </c>
      <c r="D2545" s="62">
        <f>VLOOKUP(C2545,基本字段定义!$B$3:$C$3008,2,FALSE)</f>
        <v>618</v>
      </c>
      <c r="E2545" s="63" t="s">
        <v>337</v>
      </c>
      <c r="F2545" s="63" t="s">
        <v>152</v>
      </c>
      <c r="G2545" s="64" t="s">
        <v>1101</v>
      </c>
    </row>
    <row r="2546" spans="2:7">
      <c r="B2546" s="269"/>
      <c r="C2546" s="61" t="s">
        <v>486</v>
      </c>
      <c r="D2546" s="62">
        <f>VLOOKUP(C2546,基本字段定义!$B$3:$C$3008,2,FALSE)</f>
        <v>590</v>
      </c>
      <c r="E2546" s="63" t="s">
        <v>337</v>
      </c>
      <c r="F2546" s="63" t="s">
        <v>152</v>
      </c>
      <c r="G2546" s="64" t="s">
        <v>1102</v>
      </c>
    </row>
    <row r="2547" spans="2:7">
      <c r="B2547" s="269"/>
      <c r="C2547" s="61" t="s">
        <v>588</v>
      </c>
      <c r="D2547" s="62">
        <f>VLOOKUP(C2547,基本字段定义!$B$3:$C$3008,2,FALSE)</f>
        <v>763</v>
      </c>
      <c r="E2547" s="63" t="s">
        <v>471</v>
      </c>
      <c r="F2547" s="63"/>
      <c r="G2547" s="64" t="s">
        <v>1451</v>
      </c>
    </row>
    <row r="2548" spans="2:7">
      <c r="B2548" s="269"/>
      <c r="C2548" s="61" t="s">
        <v>590</v>
      </c>
      <c r="D2548" s="62">
        <f>VLOOKUP(C2548,基本字段定义!$B$3:$C$3008,2,FALSE)</f>
        <v>9110</v>
      </c>
      <c r="E2548" s="63" t="s">
        <v>337</v>
      </c>
      <c r="F2548" s="63"/>
      <c r="G2548" s="64" t="s">
        <v>1455</v>
      </c>
    </row>
    <row r="2549" spans="2:7">
      <c r="B2549" s="269"/>
      <c r="C2549" s="61" t="s">
        <v>586</v>
      </c>
      <c r="D2549" s="62">
        <f>VLOOKUP(C2549,基本字段定义!$B$3:$C$3008,2,FALSE)</f>
        <v>9109</v>
      </c>
      <c r="E2549" s="63" t="s">
        <v>337</v>
      </c>
      <c r="F2549" s="63"/>
      <c r="G2549" s="64" t="s">
        <v>1456</v>
      </c>
    </row>
    <row r="2550" spans="2:7">
      <c r="B2550" s="269" t="s">
        <v>335</v>
      </c>
      <c r="C2550" s="65" t="s">
        <v>588</v>
      </c>
      <c r="D2550" s="66">
        <f>VLOOKUP(C2550,基本字段定义!$B$3:$C$3008,2,FALSE)</f>
        <v>763</v>
      </c>
      <c r="E2550" s="67" t="s">
        <v>339</v>
      </c>
      <c r="F2550" s="67"/>
      <c r="G2550" s="68" t="s">
        <v>592</v>
      </c>
    </row>
    <row r="2551" spans="2:7">
      <c r="B2551" s="269"/>
      <c r="C2551" s="65" t="s">
        <v>652</v>
      </c>
      <c r="D2551" s="66">
        <f>VLOOKUP(C2551,基本字段定义!$B$3:$C$3008,2,FALSE)</f>
        <v>1980</v>
      </c>
      <c r="E2551" s="67" t="s">
        <v>337</v>
      </c>
      <c r="F2551" s="67"/>
      <c r="G2551" s="69" t="s">
        <v>653</v>
      </c>
    </row>
    <row r="2552" spans="2:7">
      <c r="B2552" s="269"/>
      <c r="C2552" s="65" t="s">
        <v>631</v>
      </c>
      <c r="D2552" s="66">
        <f>VLOOKUP(C2552,基本字段定义!$B$3:$C$3008,2,FALSE)</f>
        <v>1981</v>
      </c>
      <c r="E2552" s="67" t="s">
        <v>339</v>
      </c>
      <c r="F2552" s="67"/>
      <c r="G2552" s="69" t="s">
        <v>632</v>
      </c>
    </row>
    <row r="2553" spans="2:7">
      <c r="B2553" s="269"/>
      <c r="C2553" s="65" t="s">
        <v>614</v>
      </c>
      <c r="D2553" s="66">
        <f>VLOOKUP(C2553,基本字段定义!$B$3:$C$3008,2,FALSE)</f>
        <v>912</v>
      </c>
      <c r="E2553" s="67" t="s">
        <v>339</v>
      </c>
      <c r="F2553" s="67"/>
      <c r="G2553" s="68" t="s">
        <v>615</v>
      </c>
    </row>
    <row r="2554" spans="2:7">
      <c r="B2554" s="269"/>
      <c r="C2554" s="65" t="s">
        <v>522</v>
      </c>
      <c r="D2554" s="66">
        <f>VLOOKUP(C2554,基本字段定义!$B$3:$C$3008,2,FALSE)</f>
        <v>716</v>
      </c>
      <c r="E2554" s="67" t="s">
        <v>339</v>
      </c>
      <c r="F2554" s="67"/>
      <c r="G2554" s="69" t="s">
        <v>529</v>
      </c>
    </row>
    <row r="2555" spans="2:7">
      <c r="B2555" s="269"/>
      <c r="C2555" s="112" t="s">
        <v>356</v>
      </c>
      <c r="D2555" s="113">
        <f>VLOOKUP(C2555,基本字段定义!$B$3:$C$3008,2,FALSE)</f>
        <v>1257</v>
      </c>
      <c r="E2555" s="113" t="s">
        <v>339</v>
      </c>
      <c r="F2555" s="113"/>
      <c r="G2555" s="111" t="s">
        <v>604</v>
      </c>
    </row>
    <row r="2556" spans="2:7">
      <c r="B2556" s="269"/>
      <c r="C2556" s="112" t="s">
        <v>627</v>
      </c>
      <c r="D2556" s="113">
        <f>VLOOKUP(C2556,基本字段定义!$B$3:$C$3008,2,FALSE)</f>
        <v>1159</v>
      </c>
      <c r="E2556" s="113" t="s">
        <v>339</v>
      </c>
      <c r="F2556" s="113"/>
      <c r="G2556" s="111" t="s">
        <v>606</v>
      </c>
    </row>
    <row r="2557" spans="2:7">
      <c r="B2557" s="269"/>
      <c r="C2557" s="65" t="s">
        <v>524</v>
      </c>
      <c r="D2557" s="66">
        <f>VLOOKUP(C2557,基本字段定义!$B$3:$C$3008,2,FALSE)</f>
        <v>511</v>
      </c>
      <c r="E2557" s="67" t="s">
        <v>339</v>
      </c>
      <c r="F2557" s="67"/>
      <c r="G2557" s="69" t="s">
        <v>525</v>
      </c>
    </row>
    <row r="2558" spans="2:7" ht="25.5">
      <c r="B2558" s="269"/>
      <c r="C2558" s="65" t="s">
        <v>628</v>
      </c>
      <c r="D2558" s="66">
        <f>VLOOKUP(C2558,基本字段定义!$B$3:$C$3008,2,FALSE)</f>
        <v>695</v>
      </c>
      <c r="E2558" s="67" t="s">
        <v>337</v>
      </c>
      <c r="F2558" s="67"/>
      <c r="G2558" s="70" t="s">
        <v>629</v>
      </c>
    </row>
    <row r="2559" spans="2:7">
      <c r="B2559" s="269"/>
      <c r="C2559" s="65" t="s">
        <v>582</v>
      </c>
      <c r="D2559" s="66">
        <f>VLOOKUP(C2559,基本字段定义!$B$3:$C$3008,2,FALSE)</f>
        <v>808</v>
      </c>
      <c r="E2559" s="67" t="s">
        <v>537</v>
      </c>
      <c r="F2559" s="67"/>
      <c r="G2559" s="69" t="s">
        <v>616</v>
      </c>
    </row>
    <row r="2560" spans="2:7">
      <c r="B2560" s="269"/>
      <c r="C2560" s="65" t="s">
        <v>601</v>
      </c>
      <c r="D2560" s="66">
        <f>VLOOKUP(C2560,基本字段定义!$B$3:$C$3008,2,FALSE)</f>
        <v>501</v>
      </c>
      <c r="E2560" s="67" t="s">
        <v>537</v>
      </c>
      <c r="F2560" s="67"/>
      <c r="G2560" s="69" t="s">
        <v>630</v>
      </c>
    </row>
    <row r="2561" spans="2:7">
      <c r="B2561" s="269"/>
      <c r="C2561" s="65" t="s">
        <v>633</v>
      </c>
      <c r="D2561" s="66">
        <f>VLOOKUP(C2561,基本字段定义!$B$3:$C$3008,2,FALSE)</f>
        <v>880</v>
      </c>
      <c r="E2561" s="67" t="s">
        <v>337</v>
      </c>
      <c r="F2561" s="67"/>
      <c r="G2561" s="69" t="s">
        <v>634</v>
      </c>
    </row>
    <row r="2562" spans="2:7">
      <c r="B2562" s="269"/>
      <c r="C2562" s="65" t="s">
        <v>635</v>
      </c>
      <c r="D2562" s="66">
        <f>VLOOKUP(C2562,基本字段定义!$B$3:$C$3008,2,FALSE)</f>
        <v>830</v>
      </c>
      <c r="E2562" s="67" t="s">
        <v>339</v>
      </c>
      <c r="F2562" s="67"/>
      <c r="G2562" s="69" t="s">
        <v>636</v>
      </c>
    </row>
    <row r="2563" spans="2:7">
      <c r="B2563" s="269"/>
      <c r="C2563" s="65" t="s">
        <v>637</v>
      </c>
      <c r="D2563" s="66">
        <f>VLOOKUP(C2563,基本字段定义!$B$3:$C$3008,2,FALSE)</f>
        <v>926</v>
      </c>
      <c r="E2563" s="67" t="s">
        <v>337</v>
      </c>
      <c r="F2563" s="67"/>
      <c r="G2563" s="69" t="s">
        <v>638</v>
      </c>
    </row>
    <row r="2564" spans="2:7">
      <c r="B2564" s="270"/>
      <c r="C2564" s="71"/>
      <c r="D2564" s="79"/>
      <c r="E2564" s="73"/>
      <c r="F2564" s="73"/>
      <c r="G2564" s="74"/>
    </row>
    <row r="2566" spans="2:7">
      <c r="B2566" s="53" t="s">
        <v>146</v>
      </c>
      <c r="C2566" s="80">
        <v>403252</v>
      </c>
      <c r="D2566" s="81"/>
      <c r="E2566" s="82"/>
      <c r="F2566" s="54" t="s">
        <v>326</v>
      </c>
      <c r="G2566" s="55"/>
    </row>
    <row r="2567" spans="2:7">
      <c r="B2567" s="56" t="s">
        <v>327</v>
      </c>
      <c r="C2567" s="83" t="str">
        <f>VLOOKUP(C2566,功能索引!$C$3:$D$269,2,FALSE)</f>
        <v>银行发起历史资金转账申请查询</v>
      </c>
      <c r="D2567" s="84"/>
      <c r="E2567" s="85"/>
      <c r="F2567" s="57" t="s">
        <v>148</v>
      </c>
      <c r="G2567" s="58" t="str">
        <f>VLOOKUP(C2566,功能索引!$C$3:$E2728,3,FALSE)</f>
        <v>Y</v>
      </c>
    </row>
    <row r="2568" spans="2:7">
      <c r="B2568" s="269" t="s">
        <v>328</v>
      </c>
      <c r="C2568" s="95" t="s">
        <v>1457</v>
      </c>
      <c r="D2568" s="96"/>
      <c r="E2568" s="96"/>
      <c r="F2568" s="96"/>
      <c r="G2568" s="97"/>
    </row>
    <row r="2569" spans="2:7">
      <c r="B2569" s="270"/>
      <c r="C2569" s="98"/>
      <c r="D2569" s="99"/>
      <c r="E2569" s="99"/>
      <c r="F2569" s="99"/>
      <c r="G2569" s="100"/>
    </row>
    <row r="2570" spans="2:7">
      <c r="B2570" s="271" t="s">
        <v>329</v>
      </c>
      <c r="C2570" s="54" t="s">
        <v>330</v>
      </c>
      <c r="D2570" s="54" t="s">
        <v>331</v>
      </c>
      <c r="E2570" s="54" t="s">
        <v>332</v>
      </c>
      <c r="F2570" s="54" t="s">
        <v>333</v>
      </c>
      <c r="G2570" s="60" t="s">
        <v>334</v>
      </c>
    </row>
    <row r="2571" spans="2:7">
      <c r="B2571" s="269"/>
      <c r="C2571" s="61" t="s">
        <v>402</v>
      </c>
      <c r="D2571" s="62">
        <f>VLOOKUP(C2571,基本字段定义!$B$3:$C$3008,2,FALSE)</f>
        <v>605</v>
      </c>
      <c r="E2571" s="63" t="s">
        <v>403</v>
      </c>
      <c r="F2571" s="63" t="s">
        <v>152</v>
      </c>
      <c r="G2571" s="64" t="s">
        <v>404</v>
      </c>
    </row>
    <row r="2572" spans="2:7">
      <c r="B2572" s="269"/>
      <c r="C2572" s="61" t="s">
        <v>484</v>
      </c>
      <c r="D2572" s="62">
        <f>VLOOKUP(C2572,基本字段定义!$B$3:$C$3008,2,FALSE)</f>
        <v>618</v>
      </c>
      <c r="E2572" s="63" t="s">
        <v>337</v>
      </c>
      <c r="F2572" s="63" t="s">
        <v>152</v>
      </c>
      <c r="G2572" s="64" t="s">
        <v>1101</v>
      </c>
    </row>
    <row r="2573" spans="2:7">
      <c r="B2573" s="269"/>
      <c r="C2573" s="61" t="s">
        <v>486</v>
      </c>
      <c r="D2573" s="62">
        <f>VLOOKUP(C2573,基本字段定义!$B$3:$C$3008,2,FALSE)</f>
        <v>590</v>
      </c>
      <c r="E2573" s="63" t="s">
        <v>337</v>
      </c>
      <c r="F2573" s="63" t="s">
        <v>152</v>
      </c>
      <c r="G2573" s="64" t="s">
        <v>1102</v>
      </c>
    </row>
    <row r="2574" spans="2:7">
      <c r="B2574" s="269"/>
      <c r="C2574" s="61" t="s">
        <v>588</v>
      </c>
      <c r="D2574" s="62">
        <f>VLOOKUP(C2574,基本字段定义!$B$3:$C$3008,2,FALSE)</f>
        <v>763</v>
      </c>
      <c r="E2574" s="63" t="s">
        <v>471</v>
      </c>
      <c r="F2574" s="63"/>
      <c r="G2574" s="64" t="s">
        <v>1451</v>
      </c>
    </row>
    <row r="2575" spans="2:7">
      <c r="B2575" s="269"/>
      <c r="C2575" s="61" t="s">
        <v>590</v>
      </c>
      <c r="D2575" s="62">
        <f>VLOOKUP(C2575,基本字段定义!$B$3:$C$3008,2,FALSE)</f>
        <v>9110</v>
      </c>
      <c r="E2575" s="63" t="s">
        <v>337</v>
      </c>
      <c r="F2575" s="63"/>
      <c r="G2575" s="64" t="s">
        <v>1455</v>
      </c>
    </row>
    <row r="2576" spans="2:7">
      <c r="B2576" s="269"/>
      <c r="C2576" s="61" t="s">
        <v>586</v>
      </c>
      <c r="D2576" s="62">
        <f>VLOOKUP(C2576,基本字段定义!$B$3:$C$3008,2,FALSE)</f>
        <v>9109</v>
      </c>
      <c r="E2576" s="63" t="s">
        <v>337</v>
      </c>
      <c r="F2576" s="63"/>
      <c r="G2576" s="64" t="s">
        <v>1456</v>
      </c>
    </row>
    <row r="2577" spans="2:7">
      <c r="B2577" s="269" t="s">
        <v>335</v>
      </c>
      <c r="C2577" s="65" t="s">
        <v>588</v>
      </c>
      <c r="D2577" s="66">
        <f>VLOOKUP(C2577,基本字段定义!$B$3:$C$3008,2,FALSE)</f>
        <v>763</v>
      </c>
      <c r="E2577" s="67" t="s">
        <v>339</v>
      </c>
      <c r="F2577" s="67"/>
      <c r="G2577" s="69" t="s">
        <v>592</v>
      </c>
    </row>
    <row r="2578" spans="2:7">
      <c r="B2578" s="269"/>
      <c r="C2578" s="112" t="s">
        <v>1331</v>
      </c>
      <c r="D2578" s="113">
        <f>VLOOKUP(C2578,基本字段定义!$B$3:$C$3008,2,FALSE)</f>
        <v>9061</v>
      </c>
      <c r="E2578" s="113" t="s">
        <v>337</v>
      </c>
      <c r="F2578" s="113"/>
      <c r="G2578" s="111" t="s">
        <v>593</v>
      </c>
    </row>
    <row r="2579" spans="2:7">
      <c r="B2579" s="269"/>
      <c r="C2579" s="112" t="s">
        <v>594</v>
      </c>
      <c r="D2579" s="113">
        <f>VLOOKUP(C2579,基本字段定义!$B$3:$C$3008,2,FALSE)</f>
        <v>865</v>
      </c>
      <c r="E2579" s="113" t="s">
        <v>339</v>
      </c>
      <c r="F2579" s="113"/>
      <c r="G2579" s="114" t="s">
        <v>595</v>
      </c>
    </row>
    <row r="2580" spans="2:7">
      <c r="B2580" s="269"/>
      <c r="C2580" s="65" t="s">
        <v>614</v>
      </c>
      <c r="D2580" s="66">
        <f>VLOOKUP(C2580,基本字段定义!$B$3:$C$3008,2,FALSE)</f>
        <v>912</v>
      </c>
      <c r="E2580" s="67" t="s">
        <v>339</v>
      </c>
      <c r="F2580" s="67"/>
      <c r="G2580" s="69" t="s">
        <v>615</v>
      </c>
    </row>
    <row r="2581" spans="2:7">
      <c r="B2581" s="269"/>
      <c r="C2581" s="65" t="s">
        <v>522</v>
      </c>
      <c r="D2581" s="66">
        <f>VLOOKUP(C2581,基本字段定义!$B$3:$C$3008,2,FALSE)</f>
        <v>716</v>
      </c>
      <c r="E2581" s="67" t="s">
        <v>339</v>
      </c>
      <c r="F2581" s="67"/>
      <c r="G2581" s="69" t="s">
        <v>529</v>
      </c>
    </row>
    <row r="2582" spans="2:7">
      <c r="B2582" s="269"/>
      <c r="C2582" s="65" t="s">
        <v>356</v>
      </c>
      <c r="D2582" s="66">
        <f>VLOOKUP(C2582,基本字段定义!$B$3:$C$3008,2,FALSE)</f>
        <v>1257</v>
      </c>
      <c r="E2582" s="67" t="s">
        <v>339</v>
      </c>
      <c r="F2582" s="67"/>
      <c r="G2582" s="69" t="s">
        <v>604</v>
      </c>
    </row>
    <row r="2583" spans="2:7">
      <c r="B2583" s="269"/>
      <c r="C2583" s="65" t="s">
        <v>627</v>
      </c>
      <c r="D2583" s="66">
        <f>VLOOKUP(C2583,基本字段定义!$B$3:$C$3008,2,FALSE)</f>
        <v>1159</v>
      </c>
      <c r="E2583" s="67" t="s">
        <v>339</v>
      </c>
      <c r="F2583" s="67"/>
      <c r="G2583" s="69" t="s">
        <v>606</v>
      </c>
    </row>
    <row r="2584" spans="2:7">
      <c r="B2584" s="269"/>
      <c r="C2584" s="65" t="s">
        <v>524</v>
      </c>
      <c r="D2584" s="66">
        <f>VLOOKUP(C2584,基本字段定义!$B$3:$C$3008,2,FALSE)</f>
        <v>511</v>
      </c>
      <c r="E2584" s="67" t="s">
        <v>339</v>
      </c>
      <c r="F2584" s="67"/>
      <c r="G2584" s="69" t="s">
        <v>525</v>
      </c>
    </row>
    <row r="2585" spans="2:7" ht="25.5">
      <c r="B2585" s="269"/>
      <c r="C2585" s="65" t="s">
        <v>628</v>
      </c>
      <c r="D2585" s="66">
        <f>VLOOKUP(C2585,基本字段定义!$B$3:$C$3008,2,FALSE)</f>
        <v>695</v>
      </c>
      <c r="E2585" s="67" t="s">
        <v>337</v>
      </c>
      <c r="F2585" s="67"/>
      <c r="G2585" s="70" t="s">
        <v>629</v>
      </c>
    </row>
    <row r="2586" spans="2:7">
      <c r="B2586" s="269"/>
      <c r="C2586" s="65" t="s">
        <v>582</v>
      </c>
      <c r="D2586" s="66">
        <f>VLOOKUP(C2586,基本字段定义!$B$3:$C$3008,2,FALSE)</f>
        <v>808</v>
      </c>
      <c r="E2586" s="67" t="s">
        <v>537</v>
      </c>
      <c r="F2586" s="67"/>
      <c r="G2586" s="69" t="s">
        <v>616</v>
      </c>
    </row>
    <row r="2587" spans="2:7">
      <c r="B2587" s="269"/>
      <c r="C2587" s="65" t="s">
        <v>633</v>
      </c>
      <c r="D2587" s="66">
        <f>VLOOKUP(C2587,基本字段定义!$B$3:$C$3008,2,FALSE)</f>
        <v>880</v>
      </c>
      <c r="E2587" s="67" t="s">
        <v>337</v>
      </c>
      <c r="F2587" s="67"/>
      <c r="G2587" s="69" t="s">
        <v>634</v>
      </c>
    </row>
    <row r="2588" spans="2:7">
      <c r="B2588" s="269"/>
      <c r="C2588" s="65" t="s">
        <v>635</v>
      </c>
      <c r="D2588" s="66">
        <f>VLOOKUP(C2588,基本字段定义!$B$3:$C$3008,2,FALSE)</f>
        <v>830</v>
      </c>
      <c r="E2588" s="67" t="s">
        <v>339</v>
      </c>
      <c r="F2588" s="67"/>
      <c r="G2588" s="69" t="s">
        <v>913</v>
      </c>
    </row>
    <row r="2589" spans="2:7">
      <c r="B2589" s="270"/>
      <c r="C2589" s="71"/>
      <c r="D2589" s="79"/>
      <c r="E2589" s="73"/>
      <c r="F2589" s="73"/>
      <c r="G2589" s="74"/>
    </row>
    <row r="2591" spans="2:7">
      <c r="B2591" s="53" t="s">
        <v>146</v>
      </c>
      <c r="C2591" s="80">
        <v>407003</v>
      </c>
      <c r="D2591" s="81"/>
      <c r="E2591" s="82"/>
      <c r="F2591" s="54" t="s">
        <v>326</v>
      </c>
      <c r="G2591" s="55"/>
    </row>
    <row r="2592" spans="2:7">
      <c r="B2592" s="56" t="s">
        <v>327</v>
      </c>
      <c r="C2592" s="83" t="str">
        <f>VLOOKUP(C2591,功能索引!$C$3:$D$269,2,FALSE)</f>
        <v>信用负债历史情况</v>
      </c>
      <c r="D2592" s="84"/>
      <c r="E2592" s="85"/>
      <c r="F2592" s="57" t="s">
        <v>148</v>
      </c>
      <c r="G2592" s="58" t="str">
        <f>VLOOKUP(C2591,功能索引!$C$3:$E2802,3,FALSE)</f>
        <v>Y</v>
      </c>
    </row>
    <row r="2593" spans="2:7">
      <c r="B2593" s="269" t="s">
        <v>328</v>
      </c>
      <c r="C2593" s="95"/>
      <c r="D2593" s="96"/>
      <c r="E2593" s="96"/>
      <c r="F2593" s="96"/>
      <c r="G2593" s="97"/>
    </row>
    <row r="2594" spans="2:7">
      <c r="B2594" s="270"/>
      <c r="C2594" s="98"/>
      <c r="D2594" s="99"/>
      <c r="E2594" s="99"/>
      <c r="F2594" s="99"/>
      <c r="G2594" s="100"/>
    </row>
    <row r="2595" spans="2:7">
      <c r="B2595" s="287" t="s">
        <v>329</v>
      </c>
      <c r="C2595" s="54" t="s">
        <v>330</v>
      </c>
      <c r="D2595" s="54" t="s">
        <v>331</v>
      </c>
      <c r="E2595" s="54" t="s">
        <v>332</v>
      </c>
      <c r="F2595" s="54" t="s">
        <v>333</v>
      </c>
      <c r="G2595" s="60" t="s">
        <v>334</v>
      </c>
    </row>
    <row r="2596" spans="2:7">
      <c r="B2596" s="267"/>
      <c r="C2596" s="61" t="s">
        <v>402</v>
      </c>
      <c r="D2596" s="62">
        <f>VLOOKUP(C2596,基本字段定义!$B$3:$C$3008,2,FALSE)</f>
        <v>605</v>
      </c>
      <c r="E2596" s="63" t="s">
        <v>403</v>
      </c>
      <c r="F2596" s="63" t="s">
        <v>152</v>
      </c>
      <c r="G2596" s="64" t="s">
        <v>404</v>
      </c>
    </row>
    <row r="2597" spans="2:7">
      <c r="B2597" s="267"/>
      <c r="C2597" s="61" t="s">
        <v>484</v>
      </c>
      <c r="D2597" s="62">
        <f>VLOOKUP(C2597,基本字段定义!$B$3:$C$3008,2,FALSE)</f>
        <v>618</v>
      </c>
      <c r="E2597" s="63" t="s">
        <v>337</v>
      </c>
      <c r="F2597" s="63" t="s">
        <v>152</v>
      </c>
      <c r="G2597" s="64" t="s">
        <v>1101</v>
      </c>
    </row>
    <row r="2598" spans="2:7">
      <c r="B2598" s="267"/>
      <c r="C2598" s="61" t="s">
        <v>486</v>
      </c>
      <c r="D2598" s="62">
        <f>VLOOKUP(C2598,基本字段定义!$B$3:$C$3008,2,FALSE)</f>
        <v>590</v>
      </c>
      <c r="E2598" s="63" t="s">
        <v>337</v>
      </c>
      <c r="F2598" s="63" t="s">
        <v>152</v>
      </c>
      <c r="G2598" s="64" t="s">
        <v>1102</v>
      </c>
    </row>
    <row r="2599" spans="2:7">
      <c r="B2599" s="267"/>
      <c r="C2599" s="61" t="s">
        <v>361</v>
      </c>
      <c r="D2599" s="62">
        <f>VLOOKUP(C2599,基本字段定义!$B$3:$C$3008,2,FALSE)</f>
        <v>599</v>
      </c>
      <c r="E2599" s="63" t="s">
        <v>362</v>
      </c>
      <c r="F2599" s="63"/>
      <c r="G2599" s="64" t="s">
        <v>363</v>
      </c>
    </row>
    <row r="2600" spans="2:7">
      <c r="B2600" s="267"/>
      <c r="C2600" s="61" t="s">
        <v>524</v>
      </c>
      <c r="D2600" s="62">
        <f>VLOOKUP(C2600,基本字段定义!$B$3:$C$3008,2,FALSE)</f>
        <v>511</v>
      </c>
      <c r="E2600" s="63" t="s">
        <v>339</v>
      </c>
      <c r="F2600" s="63"/>
      <c r="G2600" s="64" t="s">
        <v>525</v>
      </c>
    </row>
    <row r="2601" spans="2:7">
      <c r="B2601" s="267"/>
      <c r="C2601" s="61" t="s">
        <v>1458</v>
      </c>
      <c r="D2601" s="62">
        <f>VLOOKUP(C2601,基本字段定义!$B$3:$C$3008,2,FALSE)</f>
        <v>841</v>
      </c>
      <c r="E2601" s="63" t="s">
        <v>339</v>
      </c>
      <c r="F2601" s="63"/>
      <c r="G2601" s="64" t="s">
        <v>1459</v>
      </c>
    </row>
    <row r="2602" spans="2:7">
      <c r="B2602" s="267"/>
      <c r="C2602" s="61" t="s">
        <v>640</v>
      </c>
      <c r="D2602" s="62">
        <f>VLOOKUP(C2602,基本字段定义!$B$3:$C$3008,2,FALSE)</f>
        <v>719</v>
      </c>
      <c r="E2602" s="63" t="s">
        <v>480</v>
      </c>
      <c r="F2602" s="63"/>
      <c r="G2602" s="64" t="s">
        <v>657</v>
      </c>
    </row>
    <row r="2603" spans="2:7">
      <c r="B2603" s="267"/>
      <c r="C2603" s="61" t="s">
        <v>503</v>
      </c>
      <c r="D2603" s="62">
        <f>VLOOKUP(C2603,基本字段定义!$B$3:$C$3008,2,FALSE)</f>
        <v>1332</v>
      </c>
      <c r="E2603" s="63" t="s">
        <v>337</v>
      </c>
      <c r="F2603" s="63"/>
      <c r="G2603" s="64" t="s">
        <v>1328</v>
      </c>
    </row>
    <row r="2604" spans="2:7">
      <c r="B2604" s="267"/>
      <c r="C2604" s="61" t="s">
        <v>588</v>
      </c>
      <c r="D2604" s="62">
        <f>VLOOKUP(C2604,基本字段定义!$B$3:$C$3008,2,FALSE)</f>
        <v>763</v>
      </c>
      <c r="E2604" s="63" t="s">
        <v>471</v>
      </c>
      <c r="F2604" s="63"/>
      <c r="G2604" s="64" t="s">
        <v>1451</v>
      </c>
    </row>
    <row r="2605" spans="2:7">
      <c r="B2605" s="267"/>
      <c r="C2605" s="61" t="s">
        <v>590</v>
      </c>
      <c r="D2605" s="62">
        <f>VLOOKUP(C2605,基本字段定义!$B$3:$C$3008,2,FALSE)</f>
        <v>9110</v>
      </c>
      <c r="E2605" s="63" t="s">
        <v>337</v>
      </c>
      <c r="F2605" s="63"/>
      <c r="G2605" s="64" t="s">
        <v>1455</v>
      </c>
    </row>
    <row r="2606" spans="2:7">
      <c r="B2606" s="267"/>
      <c r="C2606" s="61" t="s">
        <v>731</v>
      </c>
      <c r="D2606" s="62">
        <f>VLOOKUP(C2606,基本字段定义!$B$3:$C$3008,2,FALSE)</f>
        <v>9108</v>
      </c>
      <c r="E2606" s="63" t="s">
        <v>339</v>
      </c>
      <c r="F2606" s="63"/>
      <c r="G2606" s="64" t="s">
        <v>1460</v>
      </c>
    </row>
    <row r="2607" spans="2:7">
      <c r="B2607" s="267"/>
      <c r="C2607" s="61" t="s">
        <v>1318</v>
      </c>
      <c r="D2607" s="62">
        <f>VLOOKUP(C2607,基本字段定义!$B$3:$C$3008,2,FALSE)</f>
        <v>557</v>
      </c>
      <c r="E2607" s="63" t="s">
        <v>339</v>
      </c>
      <c r="F2607" s="63"/>
      <c r="G2607" s="64" t="s">
        <v>1461</v>
      </c>
    </row>
    <row r="2608" spans="2:7">
      <c r="B2608" s="267"/>
      <c r="C2608" s="61" t="s">
        <v>1320</v>
      </c>
      <c r="D2608" s="62">
        <f>VLOOKUP(C2608,基本字段定义!$B$3:$C$3008,2,FALSE)</f>
        <v>556</v>
      </c>
      <c r="E2608" s="63" t="s">
        <v>339</v>
      </c>
      <c r="F2608" s="63"/>
      <c r="G2608" s="64" t="s">
        <v>852</v>
      </c>
    </row>
    <row r="2609" spans="2:7">
      <c r="B2609" s="267"/>
      <c r="C2609" s="61" t="s">
        <v>575</v>
      </c>
      <c r="D2609" s="62">
        <f>VLOOKUP(C2609,基本字段定义!$B$3:$C$3008,2,FALSE)</f>
        <v>797</v>
      </c>
      <c r="E2609" s="63" t="s">
        <v>339</v>
      </c>
      <c r="F2609" s="63"/>
      <c r="G2609" s="64" t="s">
        <v>576</v>
      </c>
    </row>
    <row r="2610" spans="2:7" ht="14.25" customHeight="1">
      <c r="B2610" s="286"/>
      <c r="C2610" s="61" t="s">
        <v>586</v>
      </c>
      <c r="D2610" s="62">
        <f>VLOOKUP(C2610,基本字段定义!$B$3:$C$3008,2,FALSE)</f>
        <v>9109</v>
      </c>
      <c r="E2610" s="63" t="s">
        <v>337</v>
      </c>
      <c r="F2610" s="63"/>
      <c r="G2610" s="64" t="s">
        <v>1456</v>
      </c>
    </row>
    <row r="2611" spans="2:7" ht="14.25" customHeight="1">
      <c r="B2611" s="266" t="s">
        <v>335</v>
      </c>
      <c r="C2611" s="138" t="s">
        <v>588</v>
      </c>
      <c r="D2611" s="66">
        <f>VLOOKUP(C2611,基本字段定义!$B$3:$C$3008,2,FALSE)</f>
        <v>763</v>
      </c>
      <c r="E2611" s="67" t="s">
        <v>339</v>
      </c>
      <c r="F2611" s="67"/>
      <c r="G2611" s="69" t="s">
        <v>1462</v>
      </c>
    </row>
    <row r="2612" spans="2:7">
      <c r="B2612" s="267"/>
      <c r="C2612" s="138" t="s">
        <v>367</v>
      </c>
      <c r="D2612" s="66">
        <f>VLOOKUP(C2612,基本字段定义!$B$3:$C$3008,2,FALSE)</f>
        <v>651</v>
      </c>
      <c r="E2612" s="67" t="s">
        <v>337</v>
      </c>
      <c r="F2612" s="67"/>
      <c r="G2612" s="68" t="s">
        <v>1463</v>
      </c>
    </row>
    <row r="2613" spans="2:7">
      <c r="B2613" s="267"/>
      <c r="C2613" s="138" t="s">
        <v>575</v>
      </c>
      <c r="D2613" s="66">
        <f>VLOOKUP(C2613,基本字段定义!$B$3:$C$3008,2,FALSE)</f>
        <v>797</v>
      </c>
      <c r="E2613" s="67" t="s">
        <v>339</v>
      </c>
      <c r="F2613" s="67"/>
      <c r="G2613" s="69" t="s">
        <v>1330</v>
      </c>
    </row>
    <row r="2614" spans="2:7">
      <c r="B2614" s="267"/>
      <c r="C2614" s="138" t="s">
        <v>402</v>
      </c>
      <c r="D2614" s="66">
        <f>VLOOKUP(C2614,基本字段定义!$B$3:$C$3008,2,FALSE)</f>
        <v>605</v>
      </c>
      <c r="E2614" s="67" t="s">
        <v>339</v>
      </c>
      <c r="F2614" s="67"/>
      <c r="G2614" s="69" t="s">
        <v>404</v>
      </c>
    </row>
    <row r="2615" spans="2:7">
      <c r="B2615" s="267"/>
      <c r="C2615" s="138" t="s">
        <v>420</v>
      </c>
      <c r="D2615" s="66">
        <f>VLOOKUP(C2615,基本字段定义!$B$3:$C$3008,2,FALSE)</f>
        <v>613</v>
      </c>
      <c r="E2615" s="67" t="s">
        <v>339</v>
      </c>
      <c r="F2615" s="67"/>
      <c r="G2615" s="69" t="s">
        <v>789</v>
      </c>
    </row>
    <row r="2616" spans="2:7">
      <c r="B2616" s="267"/>
      <c r="C2616" s="138" t="s">
        <v>373</v>
      </c>
      <c r="D2616" s="66">
        <f>VLOOKUP(C2616,基本字段定义!$B$3:$C$3008,2,FALSE)</f>
        <v>697</v>
      </c>
      <c r="E2616" s="67" t="s">
        <v>339</v>
      </c>
      <c r="F2616" s="67"/>
      <c r="G2616" s="69" t="s">
        <v>374</v>
      </c>
    </row>
    <row r="2617" spans="2:7">
      <c r="B2617" s="267"/>
      <c r="C2617" s="138" t="s">
        <v>417</v>
      </c>
      <c r="D2617" s="66">
        <f>VLOOKUP(C2617,基本字段定义!$B$3:$C$3008,2,FALSE)</f>
        <v>610</v>
      </c>
      <c r="E2617" s="67" t="s">
        <v>339</v>
      </c>
      <c r="F2617" s="67"/>
      <c r="G2617" s="69" t="s">
        <v>852</v>
      </c>
    </row>
    <row r="2618" spans="2:7">
      <c r="B2618" s="267"/>
      <c r="C2618" s="138" t="s">
        <v>1331</v>
      </c>
      <c r="D2618" s="66">
        <f>VLOOKUP(C2618,基本字段定义!$B$3:$C$3008,2,FALSE)</f>
        <v>9061</v>
      </c>
      <c r="E2618" s="67" t="s">
        <v>337</v>
      </c>
      <c r="F2618" s="67"/>
      <c r="G2618" s="69" t="s">
        <v>957</v>
      </c>
    </row>
    <row r="2619" spans="2:7">
      <c r="B2619" s="267"/>
      <c r="C2619" s="138" t="s">
        <v>1110</v>
      </c>
      <c r="D2619" s="66">
        <f>VLOOKUP(C2619,基本字段定义!$B$3:$C$3008,2,FALSE)</f>
        <v>1240</v>
      </c>
      <c r="E2619" s="67" t="s">
        <v>337</v>
      </c>
      <c r="F2619" s="67"/>
      <c r="G2619" s="69" t="s">
        <v>941</v>
      </c>
    </row>
    <row r="2620" spans="2:7">
      <c r="B2620" s="267"/>
      <c r="C2620" s="138" t="s">
        <v>882</v>
      </c>
      <c r="D2620" s="66">
        <f>VLOOKUP(C2620,基本字段定义!$B$3:$C$3008,2,FALSE)</f>
        <v>681</v>
      </c>
      <c r="E2620" s="67" t="s">
        <v>337</v>
      </c>
      <c r="F2620" s="67"/>
      <c r="G2620" s="69" t="s">
        <v>884</v>
      </c>
    </row>
    <row r="2621" spans="2:7">
      <c r="B2621" s="267"/>
      <c r="C2621" s="138" t="s">
        <v>841</v>
      </c>
      <c r="D2621" s="66">
        <f>VLOOKUP(C2621,基本字段定义!$B$3:$C$3008,2,FALSE)</f>
        <v>595</v>
      </c>
      <c r="E2621" s="67" t="s">
        <v>337</v>
      </c>
      <c r="F2621" s="67"/>
      <c r="G2621" s="111" t="s">
        <v>1332</v>
      </c>
    </row>
    <row r="2622" spans="2:7">
      <c r="B2622" s="267"/>
      <c r="C2622" s="138" t="s">
        <v>361</v>
      </c>
      <c r="D2622" s="66">
        <f>VLOOKUP(C2622,基本字段定义!$B$3:$C$3008,2,FALSE)</f>
        <v>599</v>
      </c>
      <c r="E2622" s="67" t="s">
        <v>339</v>
      </c>
      <c r="F2622" s="67"/>
      <c r="G2622" s="69" t="s">
        <v>363</v>
      </c>
    </row>
    <row r="2623" spans="2:7">
      <c r="B2623" s="267"/>
      <c r="C2623" s="138" t="s">
        <v>405</v>
      </c>
      <c r="D2623" s="66">
        <f>VLOOKUP(C2623,基本字段定义!$B$3:$C$3008,2,FALSE)</f>
        <v>571</v>
      </c>
      <c r="E2623" s="67" t="s">
        <v>339</v>
      </c>
      <c r="F2623" s="67"/>
      <c r="G2623" s="69" t="s">
        <v>407</v>
      </c>
    </row>
    <row r="2624" spans="2:7">
      <c r="B2624" s="267"/>
      <c r="C2624" s="138" t="s">
        <v>1464</v>
      </c>
      <c r="D2624" s="66">
        <f>VLOOKUP(C2624,基本字段定义!$B$3:$C$3008,2,FALSE)</f>
        <v>795</v>
      </c>
      <c r="E2624" s="67" t="s">
        <v>339</v>
      </c>
      <c r="F2624" s="67"/>
      <c r="G2624" s="69" t="s">
        <v>1465</v>
      </c>
    </row>
    <row r="2625" spans="2:7">
      <c r="B2625" s="267"/>
      <c r="C2625" s="138" t="s">
        <v>640</v>
      </c>
      <c r="D2625" s="66">
        <f>VLOOKUP(C2625,基本字段定义!$B$3:$C$3008,2,FALSE)</f>
        <v>719</v>
      </c>
      <c r="E2625" s="67" t="s">
        <v>339</v>
      </c>
      <c r="F2625" s="67"/>
      <c r="G2625" s="69" t="s">
        <v>657</v>
      </c>
    </row>
    <row r="2626" spans="2:7">
      <c r="B2626" s="267"/>
      <c r="C2626" s="138" t="s">
        <v>659</v>
      </c>
      <c r="D2626" s="66">
        <f>VLOOKUP(C2626,基本字段定义!$B$3:$C$3008,2,FALSE)</f>
        <v>722</v>
      </c>
      <c r="E2626" s="67" t="s">
        <v>339</v>
      </c>
      <c r="F2626" s="67"/>
      <c r="G2626" s="69" t="s">
        <v>660</v>
      </c>
    </row>
    <row r="2627" spans="2:7">
      <c r="B2627" s="267"/>
      <c r="C2627" s="138" t="s">
        <v>727</v>
      </c>
      <c r="D2627" s="66">
        <f>VLOOKUP(C2627,基本字段定义!$B$3:$C$3008,2,FALSE)</f>
        <v>720</v>
      </c>
      <c r="E2627" s="67" t="s">
        <v>339</v>
      </c>
      <c r="F2627" s="67"/>
      <c r="G2627" s="69" t="s">
        <v>728</v>
      </c>
    </row>
    <row r="2628" spans="2:7">
      <c r="B2628" s="267"/>
      <c r="C2628" s="138" t="s">
        <v>524</v>
      </c>
      <c r="D2628" s="66">
        <f>VLOOKUP(C2628,基本字段定义!$B$3:$C$3008,2,FALSE)</f>
        <v>511</v>
      </c>
      <c r="E2628" s="67" t="s">
        <v>339</v>
      </c>
      <c r="F2628" s="67"/>
      <c r="G2628" s="69" t="s">
        <v>525</v>
      </c>
    </row>
    <row r="2629" spans="2:7">
      <c r="B2629" s="267"/>
      <c r="C2629" s="138" t="s">
        <v>1333</v>
      </c>
      <c r="D2629" s="66">
        <f>VLOOKUP(C2629,基本字段定义!$B$3:$C$3008,2,FALSE)</f>
        <v>1825</v>
      </c>
      <c r="E2629" s="67" t="s">
        <v>337</v>
      </c>
      <c r="F2629" s="67"/>
      <c r="G2629" s="69" t="s">
        <v>1334</v>
      </c>
    </row>
    <row r="2630" spans="2:7">
      <c r="B2630" s="267"/>
      <c r="C2630" s="138" t="s">
        <v>1151</v>
      </c>
      <c r="D2630" s="66">
        <f>VLOOKUP(C2630,基本字段定义!$B$3:$C$3008,2,FALSE)</f>
        <v>652</v>
      </c>
      <c r="E2630" s="67" t="s">
        <v>537</v>
      </c>
      <c r="F2630" s="67"/>
      <c r="G2630" s="69" t="s">
        <v>1152</v>
      </c>
    </row>
    <row r="2631" spans="2:7">
      <c r="B2631" s="267"/>
      <c r="C2631" s="138" t="s">
        <v>1335</v>
      </c>
      <c r="D2631" s="66">
        <f>VLOOKUP(C2631,基本字段定义!$B$3:$C$3008,2,FALSE)</f>
        <v>1826</v>
      </c>
      <c r="E2631" s="67" t="s">
        <v>337</v>
      </c>
      <c r="F2631" s="67"/>
      <c r="G2631" s="69" t="s">
        <v>1336</v>
      </c>
    </row>
    <row r="2632" spans="2:7">
      <c r="B2632" s="267"/>
      <c r="C2632" s="138" t="s">
        <v>1153</v>
      </c>
      <c r="D2632" s="66">
        <f>VLOOKUP(C2632,基本字段定义!$B$3:$C$3008,2,FALSE)</f>
        <v>1823</v>
      </c>
      <c r="E2632" s="67" t="s">
        <v>537</v>
      </c>
      <c r="F2632" s="67"/>
      <c r="G2632" s="69" t="s">
        <v>1154</v>
      </c>
    </row>
    <row r="2633" spans="2:7">
      <c r="B2633" s="267"/>
      <c r="C2633" s="138" t="s">
        <v>1351</v>
      </c>
      <c r="D2633" s="66">
        <f>VLOOKUP(C2633,基本字段定义!$B$3:$C$3008,2,FALSE)</f>
        <v>1847</v>
      </c>
      <c r="E2633" s="67" t="s">
        <v>537</v>
      </c>
      <c r="F2633" s="67"/>
      <c r="G2633" s="69" t="s">
        <v>1352</v>
      </c>
    </row>
    <row r="2634" spans="2:7">
      <c r="B2634" s="267"/>
      <c r="C2634" s="138" t="s">
        <v>1353</v>
      </c>
      <c r="D2634" s="66">
        <f>VLOOKUP(C2634,基本字段定义!$B$3:$C$3008,2,FALSE)</f>
        <v>1733</v>
      </c>
      <c r="E2634" s="67" t="s">
        <v>537</v>
      </c>
      <c r="F2634" s="67"/>
      <c r="G2634" s="69" t="s">
        <v>1354</v>
      </c>
    </row>
    <row r="2635" spans="2:7">
      <c r="B2635" s="267"/>
      <c r="C2635" s="138" t="s">
        <v>1355</v>
      </c>
      <c r="D2635" s="66">
        <f>VLOOKUP(C2635,基本字段定义!$B$3:$C$3008,2,FALSE)</f>
        <v>1848</v>
      </c>
      <c r="E2635" s="67" t="s">
        <v>337</v>
      </c>
      <c r="F2635" s="67"/>
      <c r="G2635" s="69" t="s">
        <v>1356</v>
      </c>
    </row>
    <row r="2636" spans="2:7">
      <c r="B2636" s="267"/>
      <c r="C2636" s="138" t="s">
        <v>1357</v>
      </c>
      <c r="D2636" s="66">
        <f>VLOOKUP(C2636,基本字段定义!$B$3:$C$3008,2,FALSE)</f>
        <v>1941</v>
      </c>
      <c r="E2636" s="67" t="s">
        <v>337</v>
      </c>
      <c r="F2636" s="67"/>
      <c r="G2636" s="69" t="s">
        <v>1305</v>
      </c>
    </row>
    <row r="2637" spans="2:7">
      <c r="B2637" s="267"/>
      <c r="C2637" s="138" t="s">
        <v>1257</v>
      </c>
      <c r="D2637" s="66">
        <f>VLOOKUP(C2637,基本字段定义!$B$3:$C$3008,2,FALSE)</f>
        <v>1859</v>
      </c>
      <c r="E2637" s="67" t="s">
        <v>537</v>
      </c>
      <c r="F2637" s="67"/>
      <c r="G2637" s="69" t="s">
        <v>1258</v>
      </c>
    </row>
    <row r="2638" spans="2:7">
      <c r="B2638" s="267"/>
      <c r="C2638" s="138" t="s">
        <v>1259</v>
      </c>
      <c r="D2638" s="66">
        <f>VLOOKUP(C2638,基本字段定义!$B$3:$C$3008,2,FALSE)</f>
        <v>1860</v>
      </c>
      <c r="E2638" s="67" t="s">
        <v>537</v>
      </c>
      <c r="F2638" s="67"/>
      <c r="G2638" s="69" t="s">
        <v>1260</v>
      </c>
    </row>
    <row r="2639" spans="2:7">
      <c r="B2639" s="267"/>
      <c r="C2639" s="138" t="s">
        <v>492</v>
      </c>
      <c r="D2639" s="66">
        <f>VLOOKUP(C2639,基本字段定义!$B$3:$C$3008,2,FALSE)</f>
        <v>981</v>
      </c>
      <c r="E2639" s="67" t="s">
        <v>337</v>
      </c>
      <c r="F2639" s="67"/>
      <c r="G2639" s="69" t="s">
        <v>493</v>
      </c>
    </row>
    <row r="2640" spans="2:7">
      <c r="B2640" s="267"/>
      <c r="C2640" s="138" t="s">
        <v>1466</v>
      </c>
      <c r="D2640" s="66">
        <f>VLOOKUP(C2640,基本字段定义!$B$3:$C$3008,2,FALSE)</f>
        <v>622</v>
      </c>
      <c r="E2640" s="67" t="s">
        <v>537</v>
      </c>
      <c r="F2640" s="67"/>
      <c r="G2640" s="69" t="s">
        <v>1467</v>
      </c>
    </row>
    <row r="2641" spans="2:7">
      <c r="B2641" s="267"/>
      <c r="C2641" s="138" t="s">
        <v>1248</v>
      </c>
      <c r="D2641" s="66">
        <f>VLOOKUP(C2641,基本字段定义!$B$3:$C$3008,2,FALSE)</f>
        <v>621</v>
      </c>
      <c r="E2641" s="67" t="s">
        <v>537</v>
      </c>
      <c r="F2641" s="67"/>
      <c r="G2641" s="69" t="s">
        <v>1366</v>
      </c>
    </row>
    <row r="2642" spans="2:7">
      <c r="B2642" s="267"/>
      <c r="C2642" s="138" t="s">
        <v>1367</v>
      </c>
      <c r="D2642" s="66">
        <f>VLOOKUP(C2642,基本字段定义!$B$3:$C$3008,2,FALSE)</f>
        <v>774</v>
      </c>
      <c r="E2642" s="67" t="s">
        <v>537</v>
      </c>
      <c r="F2642" s="67"/>
      <c r="G2642" s="69" t="s">
        <v>1368</v>
      </c>
    </row>
    <row r="2643" spans="2:7">
      <c r="B2643" s="267"/>
      <c r="C2643" s="138" t="s">
        <v>1370</v>
      </c>
      <c r="D2643" s="66">
        <f>VLOOKUP(C2643,基本字段定义!$B$3:$C$3008,2,FALSE)</f>
        <v>620</v>
      </c>
      <c r="E2643" s="67" t="s">
        <v>537</v>
      </c>
      <c r="F2643" s="67"/>
      <c r="G2643" s="69" t="s">
        <v>1468</v>
      </c>
    </row>
    <row r="2644" spans="2:7">
      <c r="B2644" s="267"/>
      <c r="C2644" s="138" t="s">
        <v>1164</v>
      </c>
      <c r="D2644" s="66">
        <f>VLOOKUP(C2644,基本字段定义!$B$3:$C$3008,2,FALSE)</f>
        <v>1800</v>
      </c>
      <c r="E2644" s="67" t="s">
        <v>337</v>
      </c>
      <c r="F2644" s="67"/>
      <c r="G2644" s="111" t="s">
        <v>1165</v>
      </c>
    </row>
    <row r="2645" spans="2:7">
      <c r="B2645" s="267"/>
      <c r="C2645" s="138" t="s">
        <v>1324</v>
      </c>
      <c r="D2645" s="66">
        <f>VLOOKUP(C2645,基本字段定义!$B$3:$C$3008,2,FALSE)</f>
        <v>1887</v>
      </c>
      <c r="E2645" s="67" t="s">
        <v>337</v>
      </c>
      <c r="F2645" s="67"/>
      <c r="G2645" s="111" t="s">
        <v>1372</v>
      </c>
    </row>
    <row r="2646" spans="2:7">
      <c r="B2646" s="267"/>
      <c r="C2646" s="138" t="s">
        <v>547</v>
      </c>
      <c r="D2646" s="66">
        <f>VLOOKUP(C2646,基本字段定义!$B$3:$C$3008,2,FALSE)</f>
        <v>760</v>
      </c>
      <c r="E2646" s="67" t="s">
        <v>537</v>
      </c>
      <c r="F2646" s="67"/>
      <c r="G2646" s="69" t="s">
        <v>970</v>
      </c>
    </row>
    <row r="2647" spans="2:7">
      <c r="B2647" s="267"/>
      <c r="C2647" s="139" t="s">
        <v>994</v>
      </c>
      <c r="D2647" s="66">
        <f>VLOOKUP(C2647,基本字段定义!$B$3:$C$3008,2,FALSE)</f>
        <v>1173</v>
      </c>
      <c r="E2647" s="67" t="s">
        <v>537</v>
      </c>
      <c r="F2647" s="88"/>
      <c r="G2647" s="90" t="s">
        <v>1469</v>
      </c>
    </row>
    <row r="2648" spans="2:7">
      <c r="B2648" s="267"/>
      <c r="C2648" s="139" t="s">
        <v>1470</v>
      </c>
      <c r="D2648" s="66">
        <f>VLOOKUP(C2648,基本字段定义!$B$3:$C$3008,2,FALSE)</f>
        <v>674</v>
      </c>
      <c r="E2648" s="67" t="s">
        <v>537</v>
      </c>
      <c r="F2648" s="88"/>
      <c r="G2648" s="90" t="s">
        <v>1471</v>
      </c>
    </row>
    <row r="2649" spans="2:7">
      <c r="B2649" s="267"/>
      <c r="C2649" s="139" t="s">
        <v>1395</v>
      </c>
      <c r="D2649" s="66">
        <f>VLOOKUP(C2649,基本字段定义!$B$3:$C$3008,2,FALSE)</f>
        <v>799</v>
      </c>
      <c r="E2649" s="67" t="s">
        <v>537</v>
      </c>
      <c r="F2649" s="88"/>
      <c r="G2649" s="90" t="s">
        <v>1396</v>
      </c>
    </row>
    <row r="2650" spans="2:7">
      <c r="B2650" s="267"/>
      <c r="C2650" s="139" t="s">
        <v>1392</v>
      </c>
      <c r="D2650" s="66">
        <f>VLOOKUP(C2650,基本字段定义!$B$3:$C$3008,2,FALSE)</f>
        <v>974</v>
      </c>
      <c r="E2650" s="67" t="s">
        <v>537</v>
      </c>
      <c r="F2650" s="88"/>
      <c r="G2650" s="90" t="s">
        <v>1394</v>
      </c>
    </row>
    <row r="2651" spans="2:7">
      <c r="B2651" s="267"/>
      <c r="C2651" s="139" t="s">
        <v>1098</v>
      </c>
      <c r="D2651" s="66">
        <f>VLOOKUP(C2651,基本字段定义!$B$3:$C$3008,2,FALSE)</f>
        <v>9254</v>
      </c>
      <c r="E2651" s="67" t="s">
        <v>537</v>
      </c>
      <c r="F2651" s="88"/>
      <c r="G2651" s="90" t="s">
        <v>1375</v>
      </c>
    </row>
    <row r="2652" spans="2:7">
      <c r="B2652" s="267"/>
      <c r="C2652" s="139" t="s">
        <v>918</v>
      </c>
      <c r="D2652" s="66">
        <f>VLOOKUP(C2652,基本字段定义!$B$3:$C$3008,2,FALSE)</f>
        <v>525</v>
      </c>
      <c r="E2652" s="67" t="s">
        <v>537</v>
      </c>
      <c r="F2652" s="88"/>
      <c r="G2652" s="90" t="s">
        <v>1472</v>
      </c>
    </row>
    <row r="2653" spans="2:7">
      <c r="B2653" s="267"/>
      <c r="C2653" s="139" t="s">
        <v>731</v>
      </c>
      <c r="D2653" s="66">
        <f>VLOOKUP(C2653,基本字段定义!$B$3:$C$3008,2,FALSE)</f>
        <v>9108</v>
      </c>
      <c r="E2653" s="88" t="s">
        <v>339</v>
      </c>
      <c r="F2653" s="88"/>
      <c r="G2653" s="90" t="s">
        <v>1473</v>
      </c>
    </row>
    <row r="2654" spans="2:7">
      <c r="B2654" s="267"/>
      <c r="C2654" s="139" t="s">
        <v>1284</v>
      </c>
      <c r="D2654" s="66">
        <f>VLOOKUP(C2654,基本字段定义!$B$3:$C$3008,2,FALSE)</f>
        <v>766</v>
      </c>
      <c r="E2654" s="67" t="s">
        <v>537</v>
      </c>
      <c r="F2654" s="88"/>
      <c r="G2654" s="90" t="s">
        <v>1474</v>
      </c>
    </row>
    <row r="2655" spans="2:7">
      <c r="B2655" s="267"/>
      <c r="C2655" s="139" t="s">
        <v>1213</v>
      </c>
      <c r="D2655" s="66">
        <f>VLOOKUP(C2655,基本字段定义!$B$3:$C$3008,2,FALSE)</f>
        <v>1741</v>
      </c>
      <c r="E2655" s="67" t="s">
        <v>537</v>
      </c>
      <c r="F2655" s="88"/>
      <c r="G2655" s="90" t="s">
        <v>1475</v>
      </c>
    </row>
    <row r="2656" spans="2:7">
      <c r="B2656" s="267"/>
      <c r="C2656" s="139" t="s">
        <v>1211</v>
      </c>
      <c r="D2656" s="66">
        <f>VLOOKUP(C2656,基本字段定义!$B$3:$C$3008,2,FALSE)</f>
        <v>1720</v>
      </c>
      <c r="E2656" s="67" t="s">
        <v>537</v>
      </c>
      <c r="F2656" s="88"/>
      <c r="G2656" s="90" t="s">
        <v>1476</v>
      </c>
    </row>
    <row r="2657" spans="2:7">
      <c r="B2657" s="267"/>
      <c r="C2657" s="139" t="s">
        <v>1477</v>
      </c>
      <c r="D2657" s="66">
        <f>VLOOKUP(C2657,基本字段定义!$B$3:$C$3008,2,FALSE)</f>
        <v>1083</v>
      </c>
      <c r="E2657" s="88" t="s">
        <v>337</v>
      </c>
      <c r="F2657" s="88"/>
      <c r="G2657" s="90" t="s">
        <v>1478</v>
      </c>
    </row>
    <row r="2658" spans="2:7">
      <c r="B2658" s="267"/>
      <c r="C2658" s="139" t="s">
        <v>1238</v>
      </c>
      <c r="D2658" s="66">
        <f>VLOOKUP(C2658,基本字段定义!$B$3:$C$3008,2,FALSE)</f>
        <v>517</v>
      </c>
      <c r="E2658" s="67" t="s">
        <v>537</v>
      </c>
      <c r="F2658" s="88"/>
      <c r="G2658" s="90" t="s">
        <v>1479</v>
      </c>
    </row>
    <row r="2659" spans="2:7">
      <c r="B2659" s="267"/>
      <c r="C2659" s="139" t="s">
        <v>1284</v>
      </c>
      <c r="D2659" s="66">
        <f>VLOOKUP(C2659,基本字段定义!$B$3:$C$3008,2,FALSE)</f>
        <v>766</v>
      </c>
      <c r="E2659" s="88" t="s">
        <v>337</v>
      </c>
      <c r="F2659" s="88"/>
      <c r="G2659" s="90" t="s">
        <v>1480</v>
      </c>
    </row>
    <row r="2660" spans="2:7">
      <c r="B2660" s="267"/>
      <c r="C2660" s="139" t="s">
        <v>1286</v>
      </c>
      <c r="D2660" s="66">
        <f>VLOOKUP(C2660,基本字段定义!$B$3:$C$3008,2,FALSE)</f>
        <v>767</v>
      </c>
      <c r="E2660" s="67" t="s">
        <v>537</v>
      </c>
      <c r="F2660" s="88"/>
      <c r="G2660" s="90" t="s">
        <v>1481</v>
      </c>
    </row>
    <row r="2661" spans="2:7">
      <c r="B2661" s="267"/>
      <c r="C2661" s="139" t="s">
        <v>830</v>
      </c>
      <c r="D2661" s="66">
        <f>VLOOKUP(C2661,基本字段定义!$B$3:$C$3008,2,FALSE)</f>
        <v>1210</v>
      </c>
      <c r="E2661" s="67" t="s">
        <v>537</v>
      </c>
      <c r="F2661" s="88"/>
      <c r="G2661" s="90" t="s">
        <v>1482</v>
      </c>
    </row>
    <row r="2662" spans="2:7">
      <c r="B2662" s="267"/>
      <c r="C2662" s="139" t="s">
        <v>865</v>
      </c>
      <c r="D2662" s="66">
        <f>VLOOKUP(C2662,基本字段定义!$B$3:$C$3008,2,FALSE)</f>
        <v>1536</v>
      </c>
      <c r="E2662" s="67" t="s">
        <v>337</v>
      </c>
      <c r="F2662" s="88"/>
      <c r="G2662" s="90" t="s">
        <v>1483</v>
      </c>
    </row>
    <row r="2663" spans="2:7">
      <c r="B2663" s="268"/>
      <c r="C2663" s="140" t="s">
        <v>807</v>
      </c>
      <c r="D2663" s="79">
        <f>VLOOKUP(C2663,基本字段定义!$B$3:$C$3008,2,FALSE)</f>
        <v>1235</v>
      </c>
      <c r="E2663" s="73" t="s">
        <v>337</v>
      </c>
      <c r="F2663" s="73"/>
      <c r="G2663" s="74" t="s">
        <v>1484</v>
      </c>
    </row>
    <row r="2665" spans="2:7">
      <c r="B2665" s="53" t="s">
        <v>146</v>
      </c>
      <c r="C2665" s="80">
        <v>407001</v>
      </c>
      <c r="D2665" s="81"/>
      <c r="E2665" s="82"/>
      <c r="F2665" s="54" t="s">
        <v>326</v>
      </c>
      <c r="G2665" s="55"/>
    </row>
    <row r="2666" spans="2:7">
      <c r="B2666" s="56" t="s">
        <v>327</v>
      </c>
      <c r="C2666" s="83" t="str">
        <f>VLOOKUP(C2665,功能索引!$C$3:$D$269,2,FALSE)</f>
        <v>信用负债变动历史查询</v>
      </c>
      <c r="D2666" s="84"/>
      <c r="E2666" s="85"/>
      <c r="F2666" s="57" t="s">
        <v>148</v>
      </c>
      <c r="G2666" s="58" t="str">
        <f>VLOOKUP(C2665,功能索引!$C$3:$E2717,3,FALSE)</f>
        <v>Y</v>
      </c>
    </row>
    <row r="2667" spans="2:7">
      <c r="B2667" s="269" t="s">
        <v>328</v>
      </c>
      <c r="C2667" s="95"/>
      <c r="D2667" s="96"/>
      <c r="E2667" s="96"/>
      <c r="F2667" s="96"/>
      <c r="G2667" s="97"/>
    </row>
    <row r="2668" spans="2:7">
      <c r="B2668" s="270"/>
      <c r="C2668" s="98"/>
      <c r="D2668" s="99"/>
      <c r="E2668" s="99"/>
      <c r="F2668" s="99"/>
      <c r="G2668" s="100"/>
    </row>
    <row r="2669" spans="2:7">
      <c r="B2669" s="287" t="s">
        <v>329</v>
      </c>
      <c r="C2669" s="54" t="s">
        <v>330</v>
      </c>
      <c r="D2669" s="54" t="s">
        <v>331</v>
      </c>
      <c r="E2669" s="54" t="s">
        <v>332</v>
      </c>
      <c r="F2669" s="54" t="s">
        <v>333</v>
      </c>
      <c r="G2669" s="60" t="s">
        <v>334</v>
      </c>
    </row>
    <row r="2670" spans="2:7">
      <c r="B2670" s="267"/>
      <c r="C2670" s="61" t="s">
        <v>402</v>
      </c>
      <c r="D2670" s="62">
        <f>VLOOKUP(C2670,基本字段定义!$B$3:$C$3008,2,FALSE)</f>
        <v>605</v>
      </c>
      <c r="E2670" s="63" t="s">
        <v>403</v>
      </c>
      <c r="F2670" s="63" t="s">
        <v>152</v>
      </c>
      <c r="G2670" s="64" t="s">
        <v>404</v>
      </c>
    </row>
    <row r="2671" spans="2:7">
      <c r="B2671" s="267"/>
      <c r="C2671" s="61" t="s">
        <v>484</v>
      </c>
      <c r="D2671" s="62">
        <f>VLOOKUP(C2671,基本字段定义!$B$3:$C$3008,2,FALSE)</f>
        <v>618</v>
      </c>
      <c r="E2671" s="63" t="s">
        <v>337</v>
      </c>
      <c r="F2671" s="63" t="s">
        <v>152</v>
      </c>
      <c r="G2671" s="64" t="s">
        <v>1101</v>
      </c>
    </row>
    <row r="2672" spans="2:7">
      <c r="B2672" s="267"/>
      <c r="C2672" s="61" t="s">
        <v>486</v>
      </c>
      <c r="D2672" s="62">
        <f>VLOOKUP(C2672,基本字段定义!$B$3:$C$3008,2,FALSE)</f>
        <v>590</v>
      </c>
      <c r="E2672" s="63" t="s">
        <v>337</v>
      </c>
      <c r="F2672" s="63" t="s">
        <v>152</v>
      </c>
      <c r="G2672" s="64" t="s">
        <v>1102</v>
      </c>
    </row>
    <row r="2673" spans="2:7">
      <c r="B2673" s="267"/>
      <c r="C2673" s="61" t="s">
        <v>586</v>
      </c>
      <c r="D2673" s="62">
        <f>VLOOKUP(C2673,基本字段定义!$B$3:$C$3008,2,FALSE)</f>
        <v>9109</v>
      </c>
      <c r="E2673" s="63" t="s">
        <v>337</v>
      </c>
      <c r="F2673" s="63"/>
      <c r="G2673" s="64" t="s">
        <v>587</v>
      </c>
    </row>
    <row r="2674" spans="2:7">
      <c r="B2674" s="267"/>
      <c r="C2674" s="61" t="s">
        <v>590</v>
      </c>
      <c r="D2674" s="62">
        <f>VLOOKUP(C2674,基本字段定义!$B$3:$C$3008,2,FALSE)</f>
        <v>9110</v>
      </c>
      <c r="E2674" s="63" t="s">
        <v>337</v>
      </c>
      <c r="F2674" s="63"/>
      <c r="G2674" s="64" t="s">
        <v>903</v>
      </c>
    </row>
    <row r="2675" spans="2:7">
      <c r="B2675" s="286"/>
      <c r="C2675" s="61" t="s">
        <v>588</v>
      </c>
      <c r="D2675" s="62">
        <f>VLOOKUP(C2675,基本字段定义!$B$3:$C$3008,2,FALSE)</f>
        <v>763</v>
      </c>
      <c r="E2675" s="63" t="s">
        <v>471</v>
      </c>
      <c r="F2675" s="63"/>
      <c r="G2675" s="64" t="s">
        <v>904</v>
      </c>
    </row>
    <row r="2676" spans="2:7">
      <c r="B2676" s="267"/>
      <c r="C2676" s="61" t="s">
        <v>559</v>
      </c>
      <c r="D2676" s="62">
        <f>VLOOKUP(C2676,基本字段定义!$B$3:$C$3008,2,FALSE)</f>
        <v>9020</v>
      </c>
      <c r="E2676" s="63" t="s">
        <v>337</v>
      </c>
      <c r="F2676" s="63"/>
      <c r="G2676" s="64" t="s">
        <v>1411</v>
      </c>
    </row>
    <row r="2677" spans="2:7">
      <c r="B2677" s="269" t="s">
        <v>335</v>
      </c>
      <c r="C2677" s="65" t="s">
        <v>575</v>
      </c>
      <c r="D2677" s="66">
        <f>VLOOKUP(C2677,基本字段定义!$B$3:$C$3008,2,FALSE)</f>
        <v>797</v>
      </c>
      <c r="E2677" s="67" t="s">
        <v>339</v>
      </c>
      <c r="F2677" s="67"/>
      <c r="G2677" s="68" t="s">
        <v>1330</v>
      </c>
    </row>
    <row r="2678" spans="2:7">
      <c r="B2678" s="269"/>
      <c r="C2678" s="65" t="s">
        <v>1413</v>
      </c>
      <c r="D2678" s="66">
        <f>VLOOKUP(C2678,基本字段定义!$B$3:$C$3008,2,FALSE)</f>
        <v>871</v>
      </c>
      <c r="E2678" s="67" t="s">
        <v>339</v>
      </c>
      <c r="F2678" s="67"/>
      <c r="G2678" s="69" t="s">
        <v>1414</v>
      </c>
    </row>
    <row r="2679" spans="2:7">
      <c r="B2679" s="269"/>
      <c r="C2679" s="65" t="s">
        <v>405</v>
      </c>
      <c r="D2679" s="66">
        <f>VLOOKUP(C2679,基本字段定义!$B$3:$C$3008,2,FALSE)</f>
        <v>571</v>
      </c>
      <c r="E2679" s="67" t="s">
        <v>339</v>
      </c>
      <c r="F2679" s="67"/>
      <c r="G2679" s="69" t="s">
        <v>407</v>
      </c>
    </row>
    <row r="2680" spans="2:7">
      <c r="B2680" s="269"/>
      <c r="C2680" s="65" t="s">
        <v>361</v>
      </c>
      <c r="D2680" s="66">
        <f>VLOOKUP(C2680,基本字段定义!$B$3:$C$3008,2,FALSE)</f>
        <v>599</v>
      </c>
      <c r="E2680" s="67" t="s">
        <v>339</v>
      </c>
      <c r="F2680" s="67"/>
      <c r="G2680" s="69" t="s">
        <v>363</v>
      </c>
    </row>
    <row r="2681" spans="2:7">
      <c r="B2681" s="269"/>
      <c r="C2681" s="65" t="s">
        <v>640</v>
      </c>
      <c r="D2681" s="66">
        <f>VLOOKUP(C2681,基本字段定义!$B$3:$C$3008,2,FALSE)</f>
        <v>719</v>
      </c>
      <c r="E2681" s="67" t="s">
        <v>339</v>
      </c>
      <c r="F2681" s="67"/>
      <c r="G2681" s="69" t="s">
        <v>657</v>
      </c>
    </row>
    <row r="2682" spans="2:7">
      <c r="B2682" s="269"/>
      <c r="C2682" s="65" t="s">
        <v>841</v>
      </c>
      <c r="D2682" s="66">
        <f>VLOOKUP(C2682,基本字段定义!$B$3:$C$3008,2,FALSE)</f>
        <v>595</v>
      </c>
      <c r="E2682" s="67" t="s">
        <v>337</v>
      </c>
      <c r="F2682" s="67"/>
      <c r="G2682" s="69" t="s">
        <v>896</v>
      </c>
    </row>
    <row r="2683" spans="2:7">
      <c r="B2683" s="269"/>
      <c r="C2683" s="65" t="s">
        <v>1119</v>
      </c>
      <c r="D2683" s="66">
        <f>VLOOKUP(C2683,基本字段定义!$B$3:$C$3008,2,FALSE)</f>
        <v>1109</v>
      </c>
      <c r="E2683" s="67" t="s">
        <v>337</v>
      </c>
      <c r="F2683" s="67"/>
      <c r="G2683" s="69" t="s">
        <v>1485</v>
      </c>
    </row>
    <row r="2684" spans="2:7">
      <c r="B2684" s="269"/>
      <c r="C2684" s="65" t="s">
        <v>582</v>
      </c>
      <c r="D2684" s="66">
        <f>VLOOKUP(C2684,基本字段定义!$B$3:$C$3008,2,FALSE)</f>
        <v>808</v>
      </c>
      <c r="E2684" s="67" t="s">
        <v>537</v>
      </c>
      <c r="F2684" s="67"/>
      <c r="G2684" s="69" t="s">
        <v>1416</v>
      </c>
    </row>
    <row r="2685" spans="2:7">
      <c r="B2685" s="269"/>
      <c r="C2685" s="65" t="s">
        <v>964</v>
      </c>
      <c r="D2685" s="66">
        <f>VLOOKUP(C2685,基本字段定义!$B$3:$C$3008,2,FALSE)</f>
        <v>1234</v>
      </c>
      <c r="E2685" s="67" t="s">
        <v>537</v>
      </c>
      <c r="F2685" s="67"/>
      <c r="G2685" s="69" t="s">
        <v>965</v>
      </c>
    </row>
    <row r="2686" spans="2:7">
      <c r="B2686" s="269"/>
      <c r="C2686" s="65" t="s">
        <v>1417</v>
      </c>
      <c r="D2686" s="66">
        <f>VLOOKUP(C2686,基本字段定义!$B$3:$C$3008,2,FALSE)</f>
        <v>9146</v>
      </c>
      <c r="E2686" s="67" t="s">
        <v>337</v>
      </c>
      <c r="F2686" s="67"/>
      <c r="G2686" s="69" t="s">
        <v>1418</v>
      </c>
    </row>
    <row r="2687" spans="2:7">
      <c r="B2687" s="269"/>
      <c r="C2687" s="65" t="s">
        <v>1331</v>
      </c>
      <c r="D2687" s="66">
        <f>VLOOKUP(C2687,基本字段定义!$B$3:$C$3008,2,FALSE)</f>
        <v>9061</v>
      </c>
      <c r="E2687" s="67" t="s">
        <v>337</v>
      </c>
      <c r="F2687" s="67"/>
      <c r="G2687" s="69" t="s">
        <v>593</v>
      </c>
    </row>
    <row r="2688" spans="2:7">
      <c r="B2688" s="269"/>
      <c r="C2688" s="65" t="s">
        <v>594</v>
      </c>
      <c r="D2688" s="66">
        <f>VLOOKUP(C2688,基本字段定义!$B$3:$C$3008,2,FALSE)</f>
        <v>865</v>
      </c>
      <c r="E2688" s="67" t="s">
        <v>339</v>
      </c>
      <c r="F2688" s="67"/>
      <c r="G2688" s="69" t="s">
        <v>595</v>
      </c>
    </row>
    <row r="2689" spans="2:7">
      <c r="B2689" s="269"/>
      <c r="C2689" s="65" t="s">
        <v>340</v>
      </c>
      <c r="D2689" s="66">
        <f>VLOOKUP(C2689,基本字段定义!$B$3:$C$3008,2,FALSE)</f>
        <v>1137</v>
      </c>
      <c r="E2689" s="67" t="s">
        <v>337</v>
      </c>
      <c r="F2689" s="67"/>
      <c r="G2689" s="69" t="s">
        <v>1419</v>
      </c>
    </row>
    <row r="2690" spans="2:7">
      <c r="B2690" s="269"/>
      <c r="C2690" s="65" t="s">
        <v>882</v>
      </c>
      <c r="D2690" s="66">
        <f>VLOOKUP(C2690,基本字段定义!$B$3:$C$3008,2,FALSE)</f>
        <v>681</v>
      </c>
      <c r="E2690" s="67" t="s">
        <v>337</v>
      </c>
      <c r="F2690" s="67"/>
      <c r="G2690" s="69" t="s">
        <v>884</v>
      </c>
    </row>
    <row r="2691" spans="2:7">
      <c r="B2691" s="269"/>
      <c r="C2691" s="65" t="s">
        <v>470</v>
      </c>
      <c r="D2691" s="66">
        <f>VLOOKUP(C2691,基本字段定义!$B$3:$C$3008,2,FALSE)</f>
        <v>730</v>
      </c>
      <c r="E2691" s="67" t="s">
        <v>339</v>
      </c>
      <c r="F2691" s="67"/>
      <c r="G2691" s="69" t="s">
        <v>1420</v>
      </c>
    </row>
    <row r="2692" spans="2:7">
      <c r="B2692" s="266"/>
      <c r="C2692" s="87" t="s">
        <v>588</v>
      </c>
      <c r="D2692" s="66">
        <f>VLOOKUP(C2692,基本字段定义!$B$3:$C$3008,2,FALSE)</f>
        <v>763</v>
      </c>
      <c r="E2692" s="67" t="s">
        <v>337</v>
      </c>
      <c r="F2692" s="88"/>
      <c r="G2692" s="90" t="s">
        <v>1486</v>
      </c>
    </row>
    <row r="2693" spans="2:7">
      <c r="B2693" s="270"/>
      <c r="C2693" s="71"/>
      <c r="D2693" s="79"/>
      <c r="E2693" s="73"/>
      <c r="F2693" s="73"/>
      <c r="G2693" s="74"/>
    </row>
    <row r="2695" spans="2:7">
      <c r="B2695" s="53" t="s">
        <v>146</v>
      </c>
      <c r="C2695" s="80">
        <v>205105</v>
      </c>
      <c r="D2695" s="81"/>
      <c r="E2695" s="82"/>
      <c r="F2695" s="54" t="s">
        <v>326</v>
      </c>
      <c r="G2695" s="55">
        <v>20120525</v>
      </c>
    </row>
    <row r="2696" spans="2:7">
      <c r="B2696" s="56" t="s">
        <v>327</v>
      </c>
      <c r="C2696" s="83" t="str">
        <f>VLOOKUP(C2695,功能索引!$C$3:$D$269,2,FALSE)</f>
        <v>现金宝资金保留额度设置</v>
      </c>
      <c r="D2696" s="84"/>
      <c r="E2696" s="85"/>
      <c r="F2696" s="57" t="s">
        <v>148</v>
      </c>
      <c r="G2696" s="58">
        <v>0</v>
      </c>
    </row>
    <row r="2697" spans="2:7" ht="13.5" customHeight="1">
      <c r="B2697" s="269" t="s">
        <v>328</v>
      </c>
      <c r="C2697" s="95" t="s">
        <v>1487</v>
      </c>
      <c r="D2697" s="96"/>
      <c r="E2697" s="96"/>
      <c r="F2697" s="96"/>
      <c r="G2697" s="97"/>
    </row>
    <row r="2698" spans="2:7">
      <c r="B2698" s="270"/>
      <c r="C2698" s="98"/>
      <c r="D2698" s="99"/>
      <c r="E2698" s="99"/>
      <c r="F2698" s="99"/>
      <c r="G2698" s="100"/>
    </row>
    <row r="2699" spans="2:7">
      <c r="B2699" s="269" t="s">
        <v>329</v>
      </c>
      <c r="C2699" s="54" t="s">
        <v>330</v>
      </c>
      <c r="D2699" s="54" t="s">
        <v>331</v>
      </c>
      <c r="E2699" s="54" t="s">
        <v>332</v>
      </c>
      <c r="F2699" s="54" t="s">
        <v>333</v>
      </c>
      <c r="G2699" s="60" t="s">
        <v>334</v>
      </c>
    </row>
    <row r="2700" spans="2:7">
      <c r="B2700" s="269"/>
      <c r="C2700" s="61" t="s">
        <v>882</v>
      </c>
      <c r="D2700" s="62">
        <f>VLOOKUP(C2700,基本字段定义!$B$3:$C$3008,2,FALSE)</f>
        <v>681</v>
      </c>
      <c r="E2700" s="63" t="s">
        <v>337</v>
      </c>
      <c r="F2700" s="63" t="s">
        <v>152</v>
      </c>
      <c r="G2700" s="64" t="s">
        <v>1488</v>
      </c>
    </row>
    <row r="2701" spans="2:7">
      <c r="B2701" s="269"/>
      <c r="C2701" s="61" t="s">
        <v>1110</v>
      </c>
      <c r="D2701" s="62">
        <f>VLOOKUP(C2701,基本字段定义!$B$3:$C$3008,2,FALSE)</f>
        <v>1240</v>
      </c>
      <c r="E2701" s="63" t="s">
        <v>337</v>
      </c>
      <c r="F2701" s="63" t="s">
        <v>152</v>
      </c>
      <c r="G2701" s="64" t="s">
        <v>1489</v>
      </c>
    </row>
    <row r="2702" spans="2:7">
      <c r="B2702" s="269"/>
      <c r="C2702" s="61" t="s">
        <v>1106</v>
      </c>
      <c r="D2702" s="62">
        <f>VLOOKUP(C2702,基本字段定义!$B$3:$C$3008,2,FALSE)</f>
        <v>825</v>
      </c>
      <c r="E2702" s="63" t="s">
        <v>537</v>
      </c>
      <c r="F2702" s="63" t="s">
        <v>152</v>
      </c>
      <c r="G2702" s="64" t="s">
        <v>1490</v>
      </c>
    </row>
    <row r="2703" spans="2:7">
      <c r="B2703" s="269"/>
      <c r="C2703" s="61" t="s">
        <v>402</v>
      </c>
      <c r="D2703" s="62">
        <f>VLOOKUP(C2703,基本字段定义!$B$3:$C$3008,2,FALSE)</f>
        <v>605</v>
      </c>
      <c r="E2703" s="63" t="s">
        <v>403</v>
      </c>
      <c r="F2703" s="63" t="s">
        <v>152</v>
      </c>
      <c r="G2703" s="64" t="s">
        <v>404</v>
      </c>
    </row>
    <row r="2704" spans="2:7">
      <c r="B2704" s="269"/>
      <c r="C2704" s="61" t="s">
        <v>522</v>
      </c>
      <c r="D2704" s="62">
        <f>VLOOKUP(C2704,基本字段定义!$B$3:$C$3008,2,FALSE)</f>
        <v>716</v>
      </c>
      <c r="E2704" s="63" t="s">
        <v>553</v>
      </c>
      <c r="F2704" s="63" t="s">
        <v>152</v>
      </c>
      <c r="G2704" s="64" t="s">
        <v>1491</v>
      </c>
    </row>
    <row r="2705" spans="2:7">
      <c r="B2705" s="270"/>
      <c r="C2705" s="61" t="s">
        <v>470</v>
      </c>
      <c r="D2705" s="62">
        <f>VLOOKUP(C2705,基本字段定义!$B$3:$C$3008,2,FALSE)</f>
        <v>730</v>
      </c>
      <c r="E2705" s="63" t="s">
        <v>471</v>
      </c>
      <c r="F2705" s="63" t="s">
        <v>337</v>
      </c>
      <c r="G2705" s="64" t="s">
        <v>1492</v>
      </c>
    </row>
    <row r="2706" spans="2:7">
      <c r="B2706" s="266" t="s">
        <v>335</v>
      </c>
      <c r="C2706" s="65" t="s">
        <v>336</v>
      </c>
      <c r="D2706" s="62">
        <f>VLOOKUP(C2706,基本字段定义!$B$3:$C$3008,2,FALSE)</f>
        <v>507</v>
      </c>
      <c r="E2706" s="67" t="s">
        <v>337</v>
      </c>
      <c r="F2706" s="67"/>
      <c r="G2706" s="68"/>
    </row>
    <row r="2707" spans="2:7">
      <c r="B2707" s="267"/>
      <c r="C2707" s="65" t="s">
        <v>338</v>
      </c>
      <c r="D2707" s="62">
        <f>VLOOKUP(C2707,基本字段定义!$B$3:$C$3008,2,FALSE)</f>
        <v>508</v>
      </c>
      <c r="E2707" s="67" t="s">
        <v>339</v>
      </c>
      <c r="F2707" s="67"/>
      <c r="G2707" s="69"/>
    </row>
    <row r="2708" spans="2:7">
      <c r="B2708" s="267"/>
      <c r="C2708" s="71" t="s">
        <v>575</v>
      </c>
      <c r="D2708" s="62">
        <f>VLOOKUP(C2708,基本字段定义!$B$3:$C$3008,2,FALSE)</f>
        <v>797</v>
      </c>
      <c r="E2708" s="73" t="s">
        <v>337</v>
      </c>
      <c r="F2708" s="73"/>
      <c r="G2708" s="74" t="s">
        <v>576</v>
      </c>
    </row>
    <row r="2709" spans="2:7">
      <c r="B2709" s="268"/>
      <c r="C2709" s="71"/>
      <c r="D2709" s="79"/>
      <c r="E2709" s="73"/>
      <c r="F2709" s="73"/>
      <c r="G2709" s="74"/>
    </row>
    <row r="2711" spans="2:7">
      <c r="B2711" s="53" t="s">
        <v>146</v>
      </c>
      <c r="C2711" s="80">
        <v>145010</v>
      </c>
      <c r="D2711" s="81"/>
      <c r="E2711" s="82"/>
      <c r="F2711" s="54" t="s">
        <v>326</v>
      </c>
      <c r="G2711" s="55">
        <v>20120525</v>
      </c>
    </row>
    <row r="2712" spans="2:7">
      <c r="B2712" s="56" t="s">
        <v>327</v>
      </c>
      <c r="C2712" s="83" t="str">
        <f>VLOOKUP(C2711,功能索引!$C$3:$D$269,2,FALSE)</f>
        <v>修改理财电子合同协议(现金宝解约)</v>
      </c>
      <c r="D2712" s="84"/>
      <c r="E2712" s="85"/>
      <c r="F2712" s="57" t="s">
        <v>148</v>
      </c>
      <c r="G2712" s="58">
        <v>0</v>
      </c>
    </row>
    <row r="2713" spans="2:7" ht="13.5" customHeight="1">
      <c r="B2713" s="269" t="s">
        <v>328</v>
      </c>
      <c r="C2713" s="95" t="s">
        <v>1493</v>
      </c>
      <c r="D2713" s="96"/>
      <c r="E2713" s="96"/>
      <c r="F2713" s="96"/>
      <c r="G2713" s="97"/>
    </row>
    <row r="2714" spans="2:7">
      <c r="B2714" s="270"/>
      <c r="C2714" s="98"/>
      <c r="D2714" s="99"/>
      <c r="E2714" s="99"/>
      <c r="F2714" s="99"/>
      <c r="G2714" s="100"/>
    </row>
    <row r="2715" spans="2:7">
      <c r="B2715" s="269" t="s">
        <v>329</v>
      </c>
      <c r="C2715" s="54" t="s">
        <v>330</v>
      </c>
      <c r="D2715" s="54" t="s">
        <v>331</v>
      </c>
      <c r="E2715" s="54" t="s">
        <v>332</v>
      </c>
      <c r="F2715" s="54" t="s">
        <v>333</v>
      </c>
      <c r="G2715" s="60" t="s">
        <v>334</v>
      </c>
    </row>
    <row r="2716" spans="2:7">
      <c r="B2716" s="269"/>
      <c r="C2716" s="61" t="s">
        <v>402</v>
      </c>
      <c r="D2716" s="62">
        <f>VLOOKUP(C2716,基本字段定义!$B$3:$C$3008,2,FALSE)</f>
        <v>605</v>
      </c>
      <c r="E2716" s="63" t="s">
        <v>403</v>
      </c>
      <c r="F2716" s="63"/>
      <c r="G2716" s="64" t="s">
        <v>404</v>
      </c>
    </row>
    <row r="2717" spans="2:7">
      <c r="B2717" s="269"/>
      <c r="C2717" s="61" t="s">
        <v>882</v>
      </c>
      <c r="D2717" s="62">
        <f>VLOOKUP(C2717,基本字段定义!$B$3:$C$3008,2,FALSE)</f>
        <v>681</v>
      </c>
      <c r="E2717" s="63" t="s">
        <v>337</v>
      </c>
      <c r="F2717" s="63" t="s">
        <v>152</v>
      </c>
      <c r="G2717" s="64" t="s">
        <v>1494</v>
      </c>
    </row>
    <row r="2718" spans="2:7">
      <c r="B2718" s="269"/>
      <c r="C2718" s="61" t="s">
        <v>1112</v>
      </c>
      <c r="D2718" s="62">
        <f>VLOOKUP(C2718,基本字段定义!$B$3:$C$3008,2,FALSE)</f>
        <v>1609</v>
      </c>
      <c r="E2718" s="63" t="s">
        <v>578</v>
      </c>
      <c r="F2718" s="63"/>
      <c r="G2718" s="64" t="s">
        <v>1495</v>
      </c>
    </row>
    <row r="2719" spans="2:7">
      <c r="B2719" s="266" t="s">
        <v>335</v>
      </c>
      <c r="C2719" s="65" t="s">
        <v>336</v>
      </c>
      <c r="D2719" s="62">
        <f>VLOOKUP(C2719,基本字段定义!$B$3:$C$3008,2,FALSE)</f>
        <v>507</v>
      </c>
      <c r="E2719" s="67" t="s">
        <v>337</v>
      </c>
      <c r="F2719" s="67"/>
      <c r="G2719" s="68"/>
    </row>
    <row r="2720" spans="2:7">
      <c r="B2720" s="267"/>
      <c r="C2720" s="65" t="s">
        <v>338</v>
      </c>
      <c r="D2720" s="62">
        <f>VLOOKUP(C2720,基本字段定义!$B$3:$C$3008,2,FALSE)</f>
        <v>508</v>
      </c>
      <c r="E2720" s="67" t="s">
        <v>339</v>
      </c>
      <c r="F2720" s="67"/>
      <c r="G2720" s="69"/>
    </row>
    <row r="2721" spans="2:7">
      <c r="B2721" s="267"/>
      <c r="C2721" s="71" t="s">
        <v>575</v>
      </c>
      <c r="D2721" s="62">
        <f>VLOOKUP(C2721,基本字段定义!$B$3:$C$3008,2,FALSE)</f>
        <v>797</v>
      </c>
      <c r="E2721" s="73" t="s">
        <v>337</v>
      </c>
      <c r="F2721" s="73"/>
      <c r="G2721" s="74" t="s">
        <v>576</v>
      </c>
    </row>
    <row r="2722" spans="2:7">
      <c r="B2722" s="268"/>
      <c r="C2722" s="71"/>
      <c r="D2722" s="79"/>
      <c r="E2722" s="73"/>
      <c r="F2722" s="73"/>
      <c r="G2722" s="74"/>
    </row>
    <row r="2724" spans="2:7">
      <c r="B2724" s="53" t="s">
        <v>146</v>
      </c>
      <c r="C2724" s="80">
        <v>204551</v>
      </c>
      <c r="D2724" s="81"/>
      <c r="E2724" s="82"/>
      <c r="F2724" s="54" t="s">
        <v>326</v>
      </c>
      <c r="G2724" s="141">
        <v>20120719</v>
      </c>
    </row>
    <row r="2725" spans="2:7">
      <c r="B2725" s="56" t="s">
        <v>327</v>
      </c>
      <c r="C2725" s="83" t="s">
        <v>242</v>
      </c>
      <c r="D2725" s="84"/>
      <c r="E2725" s="85"/>
      <c r="F2725" s="142" t="s">
        <v>148</v>
      </c>
      <c r="G2725" s="58"/>
    </row>
    <row r="2726" spans="2:7" ht="13.5" customHeight="1">
      <c r="B2726" s="266" t="s">
        <v>328</v>
      </c>
      <c r="C2726" s="95" t="s">
        <v>1496</v>
      </c>
      <c r="D2726" s="96"/>
      <c r="E2726" s="96"/>
      <c r="F2726" s="96"/>
      <c r="G2726" s="97"/>
    </row>
    <row r="2727" spans="2:7" ht="40.5" customHeight="1">
      <c r="B2727" s="267"/>
      <c r="C2727" s="98"/>
      <c r="D2727" s="99"/>
      <c r="E2727" s="99"/>
      <c r="F2727" s="99"/>
      <c r="G2727" s="100"/>
    </row>
    <row r="2728" spans="2:7">
      <c r="B2728" s="287" t="s">
        <v>329</v>
      </c>
      <c r="C2728" s="54" t="s">
        <v>330</v>
      </c>
      <c r="D2728" s="54" t="s">
        <v>331</v>
      </c>
      <c r="E2728" s="54" t="s">
        <v>332</v>
      </c>
      <c r="F2728" s="54" t="s">
        <v>333</v>
      </c>
      <c r="G2728" s="60" t="s">
        <v>334</v>
      </c>
    </row>
    <row r="2729" spans="2:7">
      <c r="B2729" s="267"/>
      <c r="C2729" s="61" t="s">
        <v>1497</v>
      </c>
      <c r="D2729" s="62">
        <f>VLOOKUP(C2729,基本字段定义!$B$3:$C$3008,2,FALSE)</f>
        <v>605</v>
      </c>
      <c r="E2729" s="63" t="s">
        <v>403</v>
      </c>
      <c r="F2729" s="63" t="s">
        <v>152</v>
      </c>
      <c r="G2729" s="64" t="s">
        <v>404</v>
      </c>
    </row>
    <row r="2730" spans="2:7">
      <c r="B2730" s="267"/>
      <c r="C2730" s="61" t="s">
        <v>1498</v>
      </c>
      <c r="D2730" s="62">
        <f>VLOOKUP(C2730,基本字段定义!$B$3:$C$3008,2,FALSE)</f>
        <v>599</v>
      </c>
      <c r="E2730" s="63" t="s">
        <v>362</v>
      </c>
      <c r="F2730" s="63" t="s">
        <v>152</v>
      </c>
      <c r="G2730" s="64" t="s">
        <v>363</v>
      </c>
    </row>
    <row r="2731" spans="2:7">
      <c r="B2731" s="267"/>
      <c r="C2731" s="61" t="s">
        <v>1499</v>
      </c>
      <c r="D2731" s="62">
        <f>VLOOKUP(C2731,基本字段定义!$B$3:$C$3008,2,FALSE)</f>
        <v>571</v>
      </c>
      <c r="E2731" s="63" t="s">
        <v>406</v>
      </c>
      <c r="F2731" s="63" t="s">
        <v>152</v>
      </c>
      <c r="G2731" s="64" t="s">
        <v>407</v>
      </c>
    </row>
    <row r="2732" spans="2:7">
      <c r="B2732" s="267"/>
      <c r="C2732" s="61" t="s">
        <v>1500</v>
      </c>
      <c r="D2732" s="62">
        <f>VLOOKUP(C2732,基本字段定义!$B$3:$C$3008,2,FALSE)</f>
        <v>719</v>
      </c>
      <c r="E2732" s="63" t="s">
        <v>480</v>
      </c>
      <c r="F2732" s="63" t="s">
        <v>152</v>
      </c>
      <c r="G2732" s="64" t="s">
        <v>657</v>
      </c>
    </row>
    <row r="2733" spans="2:7">
      <c r="B2733" s="267"/>
      <c r="C2733" s="61" t="s">
        <v>841</v>
      </c>
      <c r="D2733" s="62">
        <f>VLOOKUP(C2733,基本字段定义!$B$3:$C$3008,2,FALSE)</f>
        <v>595</v>
      </c>
      <c r="E2733" s="63" t="s">
        <v>337</v>
      </c>
      <c r="F2733" s="63" t="s">
        <v>152</v>
      </c>
      <c r="G2733" s="64" t="s">
        <v>1501</v>
      </c>
    </row>
    <row r="2734" spans="2:7">
      <c r="B2734" s="267"/>
      <c r="C2734" s="61" t="s">
        <v>776</v>
      </c>
      <c r="D2734" s="62">
        <f>VLOOKUP(C2734,基本字段定义!$B$3:$C$3008,2,FALSE)</f>
        <v>684</v>
      </c>
      <c r="E2734" s="63" t="s">
        <v>337</v>
      </c>
      <c r="F2734" s="63" t="s">
        <v>152</v>
      </c>
      <c r="G2734" s="64" t="s">
        <v>777</v>
      </c>
    </row>
    <row r="2735" spans="2:7">
      <c r="B2735" s="267"/>
      <c r="C2735" s="61" t="s">
        <v>778</v>
      </c>
      <c r="D2735" s="62">
        <f>VLOOKUP(C2735,基本字段定义!$B$3:$C$3008,2,FALSE)</f>
        <v>682</v>
      </c>
      <c r="E2735" s="63" t="s">
        <v>537</v>
      </c>
      <c r="F2735" s="63" t="s">
        <v>337</v>
      </c>
      <c r="G2735" s="64" t="s">
        <v>1502</v>
      </c>
    </row>
    <row r="2736" spans="2:7">
      <c r="B2736" s="267"/>
      <c r="C2736" s="61" t="s">
        <v>1503</v>
      </c>
      <c r="D2736" s="62">
        <f>VLOOKUP(C2736,基本字段定义!$B$3:$C$3008,2,FALSE)</f>
        <v>1248</v>
      </c>
      <c r="E2736" s="63" t="s">
        <v>537</v>
      </c>
      <c r="F2736" s="63" t="s">
        <v>337</v>
      </c>
      <c r="G2736" s="64" t="s">
        <v>1504</v>
      </c>
    </row>
    <row r="2737" spans="2:7">
      <c r="B2737" s="267"/>
      <c r="C2737" s="61" t="s">
        <v>733</v>
      </c>
      <c r="D2737" s="62">
        <f>VLOOKUP(C2737,基本字段定义!$B$3:$C$3008,2,FALSE)</f>
        <v>526</v>
      </c>
      <c r="E2737" s="63" t="s">
        <v>337</v>
      </c>
      <c r="F2737" s="63" t="s">
        <v>337</v>
      </c>
      <c r="G2737" s="64" t="s">
        <v>1505</v>
      </c>
    </row>
    <row r="2738" spans="2:7">
      <c r="B2738" s="267"/>
      <c r="C2738" s="61" t="s">
        <v>869</v>
      </c>
      <c r="D2738" s="62">
        <f>VLOOKUP(C2738,基本字段定义!$B$3:$C$3008,2,FALSE)</f>
        <v>522</v>
      </c>
      <c r="E2738" s="63" t="s">
        <v>339</v>
      </c>
      <c r="F2738" s="63" t="s">
        <v>337</v>
      </c>
      <c r="G2738" s="64" t="s">
        <v>1506</v>
      </c>
    </row>
    <row r="2739" spans="2:7">
      <c r="B2739" s="267"/>
      <c r="C2739" s="61" t="s">
        <v>1507</v>
      </c>
      <c r="D2739" s="62">
        <v>2741</v>
      </c>
      <c r="E2739" s="63" t="s">
        <v>337</v>
      </c>
      <c r="F2739" s="63" t="s">
        <v>337</v>
      </c>
      <c r="G2739" s="64" t="s">
        <v>1508</v>
      </c>
    </row>
    <row r="2740" spans="2:7">
      <c r="B2740" s="267"/>
      <c r="C2740" s="61" t="s">
        <v>874</v>
      </c>
      <c r="D2740" s="62">
        <v>1936</v>
      </c>
      <c r="E2740" s="63" t="s">
        <v>406</v>
      </c>
      <c r="F2740" s="63" t="s">
        <v>337</v>
      </c>
      <c r="G2740" s="64" t="s">
        <v>1509</v>
      </c>
    </row>
    <row r="2741" spans="2:7">
      <c r="B2741" s="267"/>
      <c r="C2741" s="61" t="s">
        <v>872</v>
      </c>
      <c r="D2741" s="62">
        <v>1935</v>
      </c>
      <c r="E2741" s="63" t="s">
        <v>339</v>
      </c>
      <c r="F2741" s="63" t="s">
        <v>337</v>
      </c>
      <c r="G2741" s="64" t="s">
        <v>1510</v>
      </c>
    </row>
    <row r="2742" spans="2:7">
      <c r="B2742" s="286"/>
      <c r="C2742" s="61" t="s">
        <v>865</v>
      </c>
      <c r="D2742" s="62">
        <f>VLOOKUP(C2742,基本字段定义!$B$3:$C$3008,2,FALSE)</f>
        <v>1536</v>
      </c>
      <c r="E2742" s="63" t="s">
        <v>337</v>
      </c>
      <c r="F2742" s="63" t="s">
        <v>337</v>
      </c>
      <c r="G2742" s="64" t="s">
        <v>1511</v>
      </c>
    </row>
    <row r="2743" spans="2:7">
      <c r="B2743" s="266" t="s">
        <v>335</v>
      </c>
      <c r="C2743" s="65" t="s">
        <v>336</v>
      </c>
      <c r="D2743" s="62">
        <f>VLOOKUP(C2743,基本字段定义!$B$3:$C$3008,2,FALSE)</f>
        <v>507</v>
      </c>
      <c r="E2743" s="67" t="s">
        <v>337</v>
      </c>
      <c r="F2743" s="66"/>
      <c r="G2743" s="69"/>
    </row>
    <row r="2744" spans="2:7">
      <c r="B2744" s="267"/>
      <c r="C2744" s="65" t="s">
        <v>338</v>
      </c>
      <c r="D2744" s="62">
        <f>VLOOKUP(C2744,基本字段定义!$B$3:$C$3008,2,FALSE)</f>
        <v>508</v>
      </c>
      <c r="E2744" s="67" t="s">
        <v>339</v>
      </c>
      <c r="F2744" s="66"/>
      <c r="G2744" s="69"/>
    </row>
    <row r="2745" spans="2:7">
      <c r="B2745" s="267"/>
      <c r="C2745" s="65" t="s">
        <v>882</v>
      </c>
      <c r="D2745" s="62">
        <f>VLOOKUP(C2745,基本字段定义!$B$3:$C$3008,2,FALSE)</f>
        <v>681</v>
      </c>
      <c r="E2745" s="67" t="s">
        <v>337</v>
      </c>
      <c r="F2745" s="66"/>
      <c r="G2745" s="69"/>
    </row>
    <row r="2746" spans="2:7">
      <c r="B2746" s="268"/>
      <c r="C2746" s="71"/>
      <c r="D2746" s="71"/>
      <c r="E2746" s="71"/>
      <c r="F2746" s="71"/>
      <c r="G2746" s="143"/>
    </row>
    <row r="2748" spans="2:7">
      <c r="B2748" s="53" t="s">
        <v>146</v>
      </c>
      <c r="C2748" s="80">
        <v>204552</v>
      </c>
      <c r="D2748" s="81"/>
      <c r="E2748" s="82"/>
      <c r="F2748" s="54" t="s">
        <v>326</v>
      </c>
      <c r="G2748" s="141">
        <v>20120719</v>
      </c>
    </row>
    <row r="2749" spans="2:7">
      <c r="B2749" s="56" t="s">
        <v>327</v>
      </c>
      <c r="C2749" s="83" t="s">
        <v>243</v>
      </c>
      <c r="D2749" s="84"/>
      <c r="E2749" s="85"/>
      <c r="F2749" s="142" t="s">
        <v>148</v>
      </c>
      <c r="G2749" s="58"/>
    </row>
    <row r="2750" spans="2:7">
      <c r="B2750" s="266" t="s">
        <v>328</v>
      </c>
      <c r="C2750" s="95" t="s">
        <v>1512</v>
      </c>
      <c r="D2750" s="96"/>
      <c r="E2750" s="96"/>
      <c r="F2750" s="96"/>
      <c r="G2750" s="97"/>
    </row>
    <row r="2751" spans="2:7">
      <c r="B2751" s="267"/>
      <c r="C2751" s="98"/>
      <c r="D2751" s="99"/>
      <c r="E2751" s="99"/>
      <c r="F2751" s="99"/>
      <c r="G2751" s="100"/>
    </row>
    <row r="2752" spans="2:7">
      <c r="B2752" s="287" t="s">
        <v>329</v>
      </c>
      <c r="C2752" s="54" t="s">
        <v>330</v>
      </c>
      <c r="D2752" s="54" t="s">
        <v>331</v>
      </c>
      <c r="E2752" s="54" t="s">
        <v>332</v>
      </c>
      <c r="F2752" s="54" t="s">
        <v>333</v>
      </c>
      <c r="G2752" s="60" t="s">
        <v>334</v>
      </c>
    </row>
    <row r="2753" spans="2:7">
      <c r="B2753" s="267"/>
      <c r="C2753" s="61" t="s">
        <v>402</v>
      </c>
      <c r="D2753" s="62">
        <f>VLOOKUP(C2753,基本字段定义!$B$3:$C$3008,2,FALSE)</f>
        <v>605</v>
      </c>
      <c r="E2753" s="63" t="s">
        <v>403</v>
      </c>
      <c r="F2753" s="63" t="s">
        <v>152</v>
      </c>
      <c r="G2753" s="64" t="s">
        <v>404</v>
      </c>
    </row>
    <row r="2754" spans="2:7">
      <c r="B2754" s="267"/>
      <c r="C2754" s="61" t="s">
        <v>361</v>
      </c>
      <c r="D2754" s="62">
        <f>VLOOKUP(C2754,基本字段定义!$B$3:$C$3008,2,FALSE)</f>
        <v>599</v>
      </c>
      <c r="E2754" s="63" t="s">
        <v>362</v>
      </c>
      <c r="F2754" s="63" t="s">
        <v>152</v>
      </c>
      <c r="G2754" s="64" t="s">
        <v>363</v>
      </c>
    </row>
    <row r="2755" spans="2:7">
      <c r="B2755" s="267"/>
      <c r="C2755" s="61" t="s">
        <v>405</v>
      </c>
      <c r="D2755" s="62">
        <f>VLOOKUP(C2755,基本字段定义!$B$3:$C$3008,2,FALSE)</f>
        <v>571</v>
      </c>
      <c r="E2755" s="63" t="s">
        <v>406</v>
      </c>
      <c r="F2755" s="63" t="s">
        <v>152</v>
      </c>
      <c r="G2755" s="64" t="s">
        <v>407</v>
      </c>
    </row>
    <row r="2756" spans="2:7">
      <c r="B2756" s="267"/>
      <c r="C2756" s="61" t="s">
        <v>882</v>
      </c>
      <c r="D2756" s="62">
        <f>VLOOKUP(C2756,基本字段定义!$B$3:$C$3008,2,FALSE)</f>
        <v>681</v>
      </c>
      <c r="E2756" s="63" t="s">
        <v>337</v>
      </c>
      <c r="F2756" s="63" t="s">
        <v>152</v>
      </c>
      <c r="G2756" s="64" t="s">
        <v>884</v>
      </c>
    </row>
    <row r="2757" spans="2:7">
      <c r="B2757" s="266" t="s">
        <v>335</v>
      </c>
      <c r="C2757" s="65" t="s">
        <v>336</v>
      </c>
      <c r="D2757" s="62">
        <f>VLOOKUP(C2757,基本字段定义!$B$3:$C$3008,2,FALSE)</f>
        <v>507</v>
      </c>
      <c r="E2757" s="67" t="s">
        <v>337</v>
      </c>
      <c r="F2757" s="66"/>
      <c r="G2757" s="69"/>
    </row>
    <row r="2758" spans="2:7">
      <c r="B2758" s="267"/>
      <c r="C2758" s="65" t="s">
        <v>338</v>
      </c>
      <c r="D2758" s="62">
        <f>VLOOKUP(C2758,基本字段定义!$B$3:$C$3008,2,FALSE)</f>
        <v>508</v>
      </c>
      <c r="E2758" s="67" t="s">
        <v>339</v>
      </c>
      <c r="F2758" s="66"/>
      <c r="G2758" s="69"/>
    </row>
    <row r="2759" spans="2:7">
      <c r="B2759" s="268"/>
      <c r="C2759" s="71"/>
      <c r="D2759" s="144"/>
      <c r="E2759" s="73"/>
      <c r="F2759" s="79"/>
      <c r="G2759" s="74"/>
    </row>
    <row r="2761" spans="2:7">
      <c r="B2761" s="53" t="s">
        <v>146</v>
      </c>
      <c r="C2761" s="80">
        <v>204556</v>
      </c>
      <c r="D2761" s="81"/>
      <c r="E2761" s="82"/>
      <c r="F2761" s="54" t="s">
        <v>326</v>
      </c>
      <c r="G2761" s="141">
        <v>20120719</v>
      </c>
    </row>
    <row r="2762" spans="2:7">
      <c r="B2762" s="56" t="s">
        <v>327</v>
      </c>
      <c r="C2762" s="83" t="s">
        <v>244</v>
      </c>
      <c r="D2762" s="84"/>
      <c r="E2762" s="85"/>
      <c r="F2762" s="142" t="s">
        <v>148</v>
      </c>
      <c r="G2762" s="58"/>
    </row>
    <row r="2763" spans="2:7" ht="13.5" customHeight="1">
      <c r="B2763" s="266" t="s">
        <v>328</v>
      </c>
      <c r="C2763" s="95" t="s">
        <v>244</v>
      </c>
      <c r="D2763" s="96"/>
      <c r="E2763" s="96"/>
      <c r="F2763" s="96"/>
      <c r="G2763" s="97"/>
    </row>
    <row r="2764" spans="2:7">
      <c r="B2764" s="267"/>
      <c r="C2764" s="98"/>
      <c r="D2764" s="99"/>
      <c r="E2764" s="99"/>
      <c r="F2764" s="99"/>
      <c r="G2764" s="100"/>
    </row>
    <row r="2765" spans="2:7">
      <c r="B2765" s="287" t="s">
        <v>329</v>
      </c>
      <c r="C2765" s="54" t="s">
        <v>330</v>
      </c>
      <c r="D2765" s="54" t="s">
        <v>331</v>
      </c>
      <c r="E2765" s="54" t="s">
        <v>332</v>
      </c>
      <c r="F2765" s="54" t="s">
        <v>333</v>
      </c>
      <c r="G2765" s="60" t="s">
        <v>334</v>
      </c>
    </row>
    <row r="2766" spans="2:7">
      <c r="B2766" s="267"/>
      <c r="C2766" s="61" t="s">
        <v>402</v>
      </c>
      <c r="D2766" s="62">
        <f>VLOOKUP(C2766,基本字段定义!$B$3:$C$3008,2,FALSE)</f>
        <v>605</v>
      </c>
      <c r="E2766" s="63" t="s">
        <v>403</v>
      </c>
      <c r="F2766" s="63" t="s">
        <v>152</v>
      </c>
      <c r="G2766" s="64" t="s">
        <v>404</v>
      </c>
    </row>
    <row r="2767" spans="2:7">
      <c r="B2767" s="267"/>
      <c r="C2767" s="61" t="s">
        <v>361</v>
      </c>
      <c r="D2767" s="62">
        <f>VLOOKUP(C2767,基本字段定义!$B$3:$C$3008,2,FALSE)</f>
        <v>599</v>
      </c>
      <c r="E2767" s="63" t="s">
        <v>362</v>
      </c>
      <c r="F2767" s="63" t="s">
        <v>152</v>
      </c>
      <c r="G2767" s="64" t="s">
        <v>363</v>
      </c>
    </row>
    <row r="2768" spans="2:7">
      <c r="B2768" s="267"/>
      <c r="C2768" s="61" t="s">
        <v>405</v>
      </c>
      <c r="D2768" s="62">
        <f>VLOOKUP(C2768,基本字段定义!$B$3:$C$3008,2,FALSE)</f>
        <v>571</v>
      </c>
      <c r="E2768" s="63" t="s">
        <v>406</v>
      </c>
      <c r="F2768" s="63" t="s">
        <v>152</v>
      </c>
      <c r="G2768" s="64" t="s">
        <v>407</v>
      </c>
    </row>
    <row r="2769" spans="2:7">
      <c r="B2769" s="267"/>
      <c r="C2769" s="61" t="s">
        <v>640</v>
      </c>
      <c r="D2769" s="62">
        <f>VLOOKUP(C2769,基本字段定义!$B$3:$C$3008,2,FALSE)</f>
        <v>719</v>
      </c>
      <c r="E2769" s="63" t="s">
        <v>480</v>
      </c>
      <c r="F2769" s="63" t="s">
        <v>152</v>
      </c>
      <c r="G2769" s="64" t="s">
        <v>657</v>
      </c>
    </row>
    <row r="2770" spans="2:7">
      <c r="B2770" s="267"/>
      <c r="C2770" s="61" t="s">
        <v>772</v>
      </c>
      <c r="D2770" s="62">
        <f>VLOOKUP(C2770,基本字段定义!$B$3:$C$3008,2,FALSE)</f>
        <v>683</v>
      </c>
      <c r="E2770" s="63" t="s">
        <v>337</v>
      </c>
      <c r="F2770" s="63" t="s">
        <v>152</v>
      </c>
      <c r="G2770" s="64" t="s">
        <v>979</v>
      </c>
    </row>
    <row r="2771" spans="2:7">
      <c r="B2771" s="286"/>
      <c r="C2771" s="61" t="s">
        <v>778</v>
      </c>
      <c r="D2771" s="62">
        <f>VLOOKUP(C2771,基本字段定义!$B$3:$C$3008,2,FALSE)</f>
        <v>682</v>
      </c>
      <c r="E2771" s="63" t="s">
        <v>537</v>
      </c>
      <c r="F2771" s="63"/>
      <c r="G2771" s="64" t="s">
        <v>779</v>
      </c>
    </row>
    <row r="2772" spans="2:7">
      <c r="B2772" s="266" t="s">
        <v>335</v>
      </c>
      <c r="C2772" s="65" t="s">
        <v>336</v>
      </c>
      <c r="D2772" s="62">
        <f>VLOOKUP(C2772,基本字段定义!$B$3:$C$3008,2,FALSE)</f>
        <v>507</v>
      </c>
      <c r="E2772" s="67" t="s">
        <v>337</v>
      </c>
      <c r="F2772" s="66"/>
      <c r="G2772" s="69"/>
    </row>
    <row r="2773" spans="2:7">
      <c r="B2773" s="267"/>
      <c r="C2773" s="65" t="s">
        <v>338</v>
      </c>
      <c r="D2773" s="62">
        <f>VLOOKUP(C2773,基本字段定义!$B$3:$C$3008,2,FALSE)</f>
        <v>508</v>
      </c>
      <c r="E2773" s="67" t="s">
        <v>339</v>
      </c>
      <c r="F2773" s="66"/>
      <c r="G2773" s="69"/>
    </row>
    <row r="2774" spans="2:7">
      <c r="B2774" s="267"/>
      <c r="C2774" s="65" t="s">
        <v>776</v>
      </c>
      <c r="D2774" s="62">
        <f>VLOOKUP(C2774,基本字段定义!$B$3:$C$3008,2,FALSE)</f>
        <v>684</v>
      </c>
      <c r="E2774" s="67" t="s">
        <v>337</v>
      </c>
      <c r="F2774" s="66"/>
      <c r="G2774" s="69" t="s">
        <v>1513</v>
      </c>
    </row>
    <row r="2775" spans="2:7">
      <c r="B2775" s="268"/>
      <c r="C2775" s="71"/>
      <c r="D2775" s="79"/>
      <c r="E2775" s="73"/>
      <c r="F2775" s="79"/>
      <c r="G2775" s="74"/>
    </row>
    <row r="2777" spans="2:7">
      <c r="B2777" s="53" t="s">
        <v>146</v>
      </c>
      <c r="C2777" s="80">
        <v>204566</v>
      </c>
      <c r="D2777" s="81"/>
      <c r="E2777" s="82"/>
      <c r="F2777" s="54" t="s">
        <v>326</v>
      </c>
      <c r="G2777" s="141">
        <v>20120719</v>
      </c>
    </row>
    <row r="2778" spans="2:7">
      <c r="B2778" s="56" t="s">
        <v>327</v>
      </c>
      <c r="C2778" s="83" t="s">
        <v>1514</v>
      </c>
      <c r="D2778" s="84"/>
      <c r="E2778" s="85"/>
      <c r="F2778" s="142" t="s">
        <v>148</v>
      </c>
      <c r="G2778" s="58" t="s">
        <v>152</v>
      </c>
    </row>
    <row r="2779" spans="2:7" ht="13.5" customHeight="1">
      <c r="B2779" s="266" t="s">
        <v>328</v>
      </c>
      <c r="C2779" s="95" t="s">
        <v>1515</v>
      </c>
      <c r="D2779" s="96"/>
      <c r="E2779" s="96"/>
      <c r="F2779" s="96"/>
      <c r="G2779" s="97"/>
    </row>
    <row r="2780" spans="2:7">
      <c r="B2780" s="267"/>
      <c r="C2780" s="98"/>
      <c r="D2780" s="99"/>
      <c r="E2780" s="99"/>
      <c r="F2780" s="99"/>
      <c r="G2780" s="100"/>
    </row>
    <row r="2781" spans="2:7">
      <c r="B2781" s="287" t="s">
        <v>329</v>
      </c>
      <c r="C2781" s="54" t="s">
        <v>330</v>
      </c>
      <c r="D2781" s="54" t="s">
        <v>331</v>
      </c>
      <c r="E2781" s="54" t="s">
        <v>332</v>
      </c>
      <c r="F2781" s="54" t="s">
        <v>333</v>
      </c>
      <c r="G2781" s="60" t="s">
        <v>334</v>
      </c>
    </row>
    <row r="2782" spans="2:7">
      <c r="B2782" s="267"/>
      <c r="C2782" s="61" t="s">
        <v>402</v>
      </c>
      <c r="D2782" s="62">
        <f>VLOOKUP(C2782,基本字段定义!$B$3:$C$3008,2,FALSE)</f>
        <v>605</v>
      </c>
      <c r="E2782" s="63" t="s">
        <v>403</v>
      </c>
      <c r="F2782" s="63" t="s">
        <v>152</v>
      </c>
      <c r="G2782" s="64" t="s">
        <v>404</v>
      </c>
    </row>
    <row r="2783" spans="2:7">
      <c r="B2783" s="267"/>
      <c r="C2783" s="61" t="s">
        <v>361</v>
      </c>
      <c r="D2783" s="62">
        <f>VLOOKUP(C2783,基本字段定义!$B$3:$C$3008,2,FALSE)</f>
        <v>599</v>
      </c>
      <c r="E2783" s="63" t="s">
        <v>362</v>
      </c>
      <c r="F2783" s="63"/>
      <c r="G2783" s="64" t="s">
        <v>363</v>
      </c>
    </row>
    <row r="2784" spans="2:7">
      <c r="B2784" s="267"/>
      <c r="C2784" s="61" t="s">
        <v>405</v>
      </c>
      <c r="D2784" s="62">
        <f>VLOOKUP(C2784,基本字段定义!$B$3:$C$3008,2,FALSE)</f>
        <v>571</v>
      </c>
      <c r="E2784" s="63" t="s">
        <v>406</v>
      </c>
      <c r="F2784" s="63"/>
      <c r="G2784" s="64" t="s">
        <v>407</v>
      </c>
    </row>
    <row r="2785" spans="2:7">
      <c r="B2785" s="267"/>
      <c r="C2785" s="61" t="s">
        <v>772</v>
      </c>
      <c r="D2785" s="62">
        <f>VLOOKUP(C2785,基本字段定义!$B$3:$C$3008,2,FALSE)</f>
        <v>683</v>
      </c>
      <c r="E2785" s="63" t="s">
        <v>337</v>
      </c>
      <c r="F2785" s="63"/>
      <c r="G2785" s="64" t="s">
        <v>896</v>
      </c>
    </row>
    <row r="2786" spans="2:7">
      <c r="B2786" s="267"/>
      <c r="C2786" s="61" t="s">
        <v>899</v>
      </c>
      <c r="D2786" s="62">
        <f>VLOOKUP(C2786,基本字段定义!$B$3:$C$3008,2,FALSE)</f>
        <v>755</v>
      </c>
      <c r="E2786" s="63" t="s">
        <v>578</v>
      </c>
      <c r="F2786" s="63"/>
      <c r="G2786" s="64" t="s">
        <v>900</v>
      </c>
    </row>
    <row r="2787" spans="2:7">
      <c r="B2787" s="267"/>
      <c r="C2787" s="61" t="s">
        <v>640</v>
      </c>
      <c r="D2787" s="62">
        <f>VLOOKUP(C2787,基本字段定义!$B$3:$C$3008,2,FALSE)</f>
        <v>719</v>
      </c>
      <c r="E2787" s="63" t="s">
        <v>480</v>
      </c>
      <c r="F2787" s="63"/>
      <c r="G2787" s="64" t="s">
        <v>657</v>
      </c>
    </row>
    <row r="2788" spans="2:7">
      <c r="B2788" s="267"/>
      <c r="C2788" s="61" t="s">
        <v>559</v>
      </c>
      <c r="D2788" s="62">
        <f>VLOOKUP(C2788,基本字段定义!$B$3:$C$3008,2,FALSE)</f>
        <v>9020</v>
      </c>
      <c r="E2788" s="63" t="s">
        <v>337</v>
      </c>
      <c r="F2788" s="63"/>
      <c r="G2788" s="64" t="s">
        <v>902</v>
      </c>
    </row>
    <row r="2789" spans="2:7">
      <c r="B2789" s="267"/>
      <c r="C2789" s="61" t="s">
        <v>586</v>
      </c>
      <c r="D2789" s="62">
        <f>VLOOKUP(C2789,基本字段定义!$B$3:$C$3008,2,FALSE)</f>
        <v>9109</v>
      </c>
      <c r="E2789" s="63" t="s">
        <v>337</v>
      </c>
      <c r="F2789" s="63"/>
      <c r="G2789" s="64" t="s">
        <v>587</v>
      </c>
    </row>
    <row r="2790" spans="2:7">
      <c r="B2790" s="267"/>
      <c r="C2790" s="61" t="s">
        <v>590</v>
      </c>
      <c r="D2790" s="62">
        <f>VLOOKUP(C2790,基本字段定义!$B$3:$C$3008,2,FALSE)</f>
        <v>9110</v>
      </c>
      <c r="E2790" s="63" t="s">
        <v>337</v>
      </c>
      <c r="F2790" s="63"/>
      <c r="G2790" s="64" t="s">
        <v>903</v>
      </c>
    </row>
    <row r="2791" spans="2:7">
      <c r="B2791" s="286"/>
      <c r="C2791" s="61" t="s">
        <v>588</v>
      </c>
      <c r="D2791" s="62">
        <f>VLOOKUP(C2791,基本字段定义!$B$3:$C$3008,2,FALSE)</f>
        <v>763</v>
      </c>
      <c r="E2791" s="63" t="s">
        <v>471</v>
      </c>
      <c r="F2791" s="63"/>
      <c r="G2791" s="64" t="s">
        <v>904</v>
      </c>
    </row>
    <row r="2792" spans="2:7">
      <c r="B2792" s="266" t="s">
        <v>335</v>
      </c>
      <c r="C2792" s="65" t="s">
        <v>361</v>
      </c>
      <c r="D2792" s="66">
        <f>VLOOKUP(C2792,基本字段定义!$B$3:$C$3008,2,FALSE)</f>
        <v>599</v>
      </c>
      <c r="E2792" s="67" t="s">
        <v>339</v>
      </c>
      <c r="F2792" s="67"/>
      <c r="G2792" s="69" t="s">
        <v>363</v>
      </c>
    </row>
    <row r="2793" spans="2:7">
      <c r="B2793" s="267"/>
      <c r="C2793" s="65" t="s">
        <v>405</v>
      </c>
      <c r="D2793" s="66">
        <f>VLOOKUP(C2793,基本字段定义!$B$3:$C$3008,2,FALSE)</f>
        <v>571</v>
      </c>
      <c r="E2793" s="67" t="s">
        <v>339</v>
      </c>
      <c r="F2793" s="67"/>
      <c r="G2793" s="69" t="s">
        <v>407</v>
      </c>
    </row>
    <row r="2794" spans="2:7">
      <c r="B2794" s="267"/>
      <c r="C2794" s="65" t="s">
        <v>882</v>
      </c>
      <c r="D2794" s="66">
        <f>VLOOKUP(C2794,基本字段定义!$B$3:$C$3008,2,FALSE)</f>
        <v>681</v>
      </c>
      <c r="E2794" s="67" t="s">
        <v>337</v>
      </c>
      <c r="F2794" s="67"/>
      <c r="G2794" s="69" t="s">
        <v>884</v>
      </c>
    </row>
    <row r="2795" spans="2:7">
      <c r="B2795" s="267"/>
      <c r="C2795" s="65" t="s">
        <v>772</v>
      </c>
      <c r="D2795" s="66">
        <f>VLOOKUP(C2795,基本字段定义!$B$3:$C$3008,2,FALSE)</f>
        <v>683</v>
      </c>
      <c r="E2795" s="67" t="s">
        <v>337</v>
      </c>
      <c r="F2795" s="67"/>
      <c r="G2795" s="69" t="s">
        <v>896</v>
      </c>
    </row>
    <row r="2796" spans="2:7">
      <c r="B2796" s="267"/>
      <c r="C2796" s="65" t="s">
        <v>899</v>
      </c>
      <c r="D2796" s="66">
        <f>VLOOKUP(C2796,基本字段定义!$B$3:$C$3008,2,FALSE)</f>
        <v>755</v>
      </c>
      <c r="E2796" s="67" t="s">
        <v>339</v>
      </c>
      <c r="F2796" s="67"/>
      <c r="G2796" s="69" t="s">
        <v>905</v>
      </c>
    </row>
    <row r="2797" spans="2:7">
      <c r="B2797" s="267"/>
      <c r="C2797" s="65" t="s">
        <v>640</v>
      </c>
      <c r="D2797" s="66">
        <f>VLOOKUP(C2797,基本字段定义!$B$3:$C$3008,2,FALSE)</f>
        <v>719</v>
      </c>
      <c r="E2797" s="67" t="s">
        <v>339</v>
      </c>
      <c r="F2797" s="67"/>
      <c r="G2797" s="69" t="s">
        <v>657</v>
      </c>
    </row>
    <row r="2798" spans="2:7">
      <c r="B2798" s="267"/>
      <c r="C2798" s="65" t="s">
        <v>659</v>
      </c>
      <c r="D2798" s="66">
        <f>VLOOKUP(C2798,基本字段定义!$B$3:$C$3008,2,FALSE)</f>
        <v>722</v>
      </c>
      <c r="E2798" s="67" t="s">
        <v>339</v>
      </c>
      <c r="F2798" s="67"/>
      <c r="G2798" s="69" t="s">
        <v>660</v>
      </c>
    </row>
    <row r="2799" spans="2:7">
      <c r="B2799" s="267"/>
      <c r="C2799" s="65" t="s">
        <v>859</v>
      </c>
      <c r="D2799" s="66">
        <f>VLOOKUP(C2799,基本字段定义!$B$3:$C$3008,2,FALSE)</f>
        <v>1013</v>
      </c>
      <c r="E2799" s="67" t="s">
        <v>337</v>
      </c>
      <c r="F2799" s="67"/>
      <c r="G2799" s="69" t="s">
        <v>906</v>
      </c>
    </row>
    <row r="2800" spans="2:7">
      <c r="B2800" s="267"/>
      <c r="C2800" s="65" t="s">
        <v>776</v>
      </c>
      <c r="D2800" s="66">
        <f>VLOOKUP(C2800,基本字段定义!$B$3:$C$3008,2,FALSE)</f>
        <v>684</v>
      </c>
      <c r="E2800" s="67" t="s">
        <v>337</v>
      </c>
      <c r="F2800" s="67"/>
      <c r="G2800" s="69" t="s">
        <v>777</v>
      </c>
    </row>
    <row r="2801" spans="2:7">
      <c r="B2801" s="267"/>
      <c r="C2801" s="112" t="s">
        <v>778</v>
      </c>
      <c r="D2801" s="66">
        <f>VLOOKUP(C2801,基本字段定义!$B$3:$C$3008,2,FALSE)</f>
        <v>682</v>
      </c>
      <c r="E2801" s="67" t="s">
        <v>537</v>
      </c>
      <c r="F2801" s="67"/>
      <c r="G2801" s="69" t="s">
        <v>1516</v>
      </c>
    </row>
    <row r="2802" spans="2:7">
      <c r="B2802" s="267"/>
      <c r="C2802" s="112" t="s">
        <v>1503</v>
      </c>
      <c r="D2802" s="66">
        <f>VLOOKUP(C2802,基本字段定义!$B$3:$C$3008,2,FALSE)</f>
        <v>1248</v>
      </c>
      <c r="E2802" s="67" t="s">
        <v>537</v>
      </c>
      <c r="F2802" s="67"/>
      <c r="G2802" s="69" t="s">
        <v>1517</v>
      </c>
    </row>
    <row r="2803" spans="2:7">
      <c r="B2803" s="267"/>
      <c r="C2803" s="112" t="s">
        <v>1066</v>
      </c>
      <c r="D2803" s="66">
        <f>VLOOKUP(C2803,基本字段定义!$B$3:$C$3008,2,FALSE)</f>
        <v>9132</v>
      </c>
      <c r="E2803" s="67" t="s">
        <v>537</v>
      </c>
      <c r="F2803" s="67"/>
      <c r="G2803" s="69" t="s">
        <v>1518</v>
      </c>
    </row>
    <row r="2804" spans="2:7">
      <c r="B2804" s="267"/>
      <c r="C2804" s="112" t="s">
        <v>1308</v>
      </c>
      <c r="D2804" s="66">
        <f>VLOOKUP(C2804,基本字段定义!$B$3:$C$3008,2,FALSE)</f>
        <v>1430</v>
      </c>
      <c r="E2804" s="67" t="s">
        <v>537</v>
      </c>
      <c r="F2804" s="67"/>
      <c r="G2804" s="69" t="s">
        <v>1519</v>
      </c>
    </row>
    <row r="2805" spans="2:7">
      <c r="B2805" s="267"/>
      <c r="C2805" s="112" t="s">
        <v>733</v>
      </c>
      <c r="D2805" s="66">
        <f>VLOOKUP(C2805,基本字段定义!$B$3:$C$3008,2,FALSE)</f>
        <v>526</v>
      </c>
      <c r="E2805" s="67" t="s">
        <v>337</v>
      </c>
      <c r="F2805" s="67"/>
      <c r="G2805" s="69" t="s">
        <v>1520</v>
      </c>
    </row>
    <row r="2806" spans="2:7">
      <c r="B2806" s="267"/>
      <c r="C2806" s="112" t="s">
        <v>869</v>
      </c>
      <c r="D2806" s="66">
        <f>VLOOKUP(C2806,基本字段定义!$B$3:$C$3008,2,FALSE)</f>
        <v>522</v>
      </c>
      <c r="E2806" s="67" t="s">
        <v>339</v>
      </c>
      <c r="F2806" s="67"/>
      <c r="G2806" s="69" t="s">
        <v>1521</v>
      </c>
    </row>
    <row r="2807" spans="2:7">
      <c r="B2807" s="267"/>
      <c r="C2807" s="65" t="s">
        <v>907</v>
      </c>
      <c r="D2807" s="66">
        <f>VLOOKUP(C2807,基本字段定义!$B$3:$C$3008,2,FALSE)</f>
        <v>750</v>
      </c>
      <c r="E2807" s="67" t="s">
        <v>339</v>
      </c>
      <c r="F2807" s="67"/>
      <c r="G2807" s="69" t="s">
        <v>908</v>
      </c>
    </row>
    <row r="2808" spans="2:7">
      <c r="B2808" s="267"/>
      <c r="C2808" s="65" t="s">
        <v>909</v>
      </c>
      <c r="D2808" s="66">
        <f>VLOOKUP(C2808,基本字段定义!$B$3:$C$3008,2,FALSE)</f>
        <v>751</v>
      </c>
      <c r="E2808" s="67" t="s">
        <v>339</v>
      </c>
      <c r="F2808" s="67"/>
      <c r="G2808" s="69" t="s">
        <v>910</v>
      </c>
    </row>
    <row r="2809" spans="2:7" ht="25.5">
      <c r="B2809" s="267"/>
      <c r="C2809" s="65" t="s">
        <v>911</v>
      </c>
      <c r="D2809" s="66">
        <f>VLOOKUP(C2809,基本字段定义!$B$3:$C$3008,2,FALSE)</f>
        <v>753</v>
      </c>
      <c r="E2809" s="67" t="s">
        <v>337</v>
      </c>
      <c r="F2809" s="67"/>
      <c r="G2809" s="70" t="s">
        <v>1522</v>
      </c>
    </row>
    <row r="2810" spans="2:7">
      <c r="B2810" s="267"/>
      <c r="C2810" s="65" t="s">
        <v>635</v>
      </c>
      <c r="D2810" s="66">
        <f>VLOOKUP(C2810,基本字段定义!$B$3:$C$3008,2,FALSE)</f>
        <v>830</v>
      </c>
      <c r="E2810" s="67" t="s">
        <v>339</v>
      </c>
      <c r="F2810" s="67"/>
      <c r="G2810" s="69" t="s">
        <v>913</v>
      </c>
    </row>
    <row r="2811" spans="2:7">
      <c r="B2811" s="267"/>
      <c r="C2811" s="65" t="s">
        <v>914</v>
      </c>
      <c r="D2811" s="66">
        <f>VLOOKUP(C2811,基本字段定义!$B$3:$C$3008,2,FALSE)</f>
        <v>886</v>
      </c>
      <c r="E2811" s="67" t="s">
        <v>337</v>
      </c>
      <c r="F2811" s="67"/>
      <c r="G2811" s="69" t="s">
        <v>915</v>
      </c>
    </row>
    <row r="2812" spans="2:7">
      <c r="B2812" s="268"/>
      <c r="C2812" s="71" t="s">
        <v>524</v>
      </c>
      <c r="D2812" s="66">
        <f>VLOOKUP(C2812,基本字段定义!$B$3:$C$3008,2,FALSE)</f>
        <v>511</v>
      </c>
      <c r="E2812" s="73" t="s">
        <v>339</v>
      </c>
      <c r="F2812" s="73"/>
      <c r="G2812" s="74" t="s">
        <v>525</v>
      </c>
    </row>
    <row r="2814" spans="2:7">
      <c r="B2814" s="53" t="s">
        <v>146</v>
      </c>
      <c r="C2814" s="80">
        <v>204590</v>
      </c>
      <c r="D2814" s="81"/>
      <c r="E2814" s="82"/>
      <c r="F2814" s="54" t="s">
        <v>326</v>
      </c>
      <c r="G2814" s="141">
        <v>20140228</v>
      </c>
    </row>
    <row r="2815" spans="2:7">
      <c r="B2815" s="56" t="s">
        <v>327</v>
      </c>
      <c r="C2815" s="83" t="s">
        <v>246</v>
      </c>
      <c r="D2815" s="84"/>
      <c r="E2815" s="85"/>
      <c r="F2815" s="142" t="s">
        <v>148</v>
      </c>
      <c r="G2815" s="58" t="s">
        <v>152</v>
      </c>
    </row>
    <row r="2816" spans="2:7" ht="13.5" customHeight="1">
      <c r="B2816" s="266" t="s">
        <v>328</v>
      </c>
      <c r="C2816" s="95" t="s">
        <v>246</v>
      </c>
      <c r="D2816" s="96"/>
      <c r="E2816" s="96"/>
      <c r="F2816" s="96"/>
      <c r="G2816" s="97"/>
    </row>
    <row r="2817" spans="2:7">
      <c r="B2817" s="267"/>
      <c r="C2817" s="98"/>
      <c r="D2817" s="99"/>
      <c r="E2817" s="99"/>
      <c r="F2817" s="99"/>
      <c r="G2817" s="100"/>
    </row>
    <row r="2818" spans="2:7">
      <c r="B2818" s="287" t="s">
        <v>329</v>
      </c>
      <c r="C2818" s="54" t="s">
        <v>330</v>
      </c>
      <c r="D2818" s="54" t="s">
        <v>331</v>
      </c>
      <c r="E2818" s="54" t="s">
        <v>332</v>
      </c>
      <c r="F2818" s="54" t="s">
        <v>333</v>
      </c>
      <c r="G2818" s="60" t="s">
        <v>334</v>
      </c>
    </row>
    <row r="2819" spans="2:7">
      <c r="B2819" s="267"/>
      <c r="C2819" s="61" t="s">
        <v>1523</v>
      </c>
      <c r="D2819" s="62">
        <f>VLOOKUP(C2819,基本字段定义!$B$3:$C$3008,2,FALSE)</f>
        <v>1950</v>
      </c>
      <c r="E2819" s="63" t="s">
        <v>337</v>
      </c>
      <c r="F2819" s="63" t="s">
        <v>152</v>
      </c>
      <c r="G2819" s="64" t="s">
        <v>1524</v>
      </c>
    </row>
    <row r="2820" spans="2:7">
      <c r="B2820" s="267"/>
      <c r="C2820" s="61" t="s">
        <v>361</v>
      </c>
      <c r="D2820" s="62">
        <f>VLOOKUP(C2820,基本字段定义!$B$3:$C$3008,2,FALSE)</f>
        <v>599</v>
      </c>
      <c r="E2820" s="63" t="s">
        <v>362</v>
      </c>
      <c r="F2820" s="63" t="s">
        <v>152</v>
      </c>
      <c r="G2820" s="64" t="s">
        <v>363</v>
      </c>
    </row>
    <row r="2821" spans="2:7">
      <c r="B2821" s="267"/>
      <c r="C2821" s="61" t="s">
        <v>1525</v>
      </c>
      <c r="D2821" s="62">
        <f>VLOOKUP(C2821,基本字段定义!$B$3:$C$3008,2,FALSE)</f>
        <v>1894</v>
      </c>
      <c r="E2821" s="63" t="s">
        <v>337</v>
      </c>
      <c r="F2821" s="63" t="s">
        <v>152</v>
      </c>
      <c r="G2821" s="64" t="s">
        <v>1526</v>
      </c>
    </row>
    <row r="2822" spans="2:7">
      <c r="B2822" s="267"/>
      <c r="C2822" s="61" t="s">
        <v>640</v>
      </c>
      <c r="D2822" s="62">
        <f>VLOOKUP(C2822,基本字段定义!$B$3:$C$3008,2,FALSE)</f>
        <v>719</v>
      </c>
      <c r="E2822" s="63" t="s">
        <v>337</v>
      </c>
      <c r="F2822" s="63" t="s">
        <v>152</v>
      </c>
      <c r="G2822" s="64" t="s">
        <v>657</v>
      </c>
    </row>
    <row r="2823" spans="2:7">
      <c r="B2823" s="267"/>
      <c r="C2823" s="61" t="s">
        <v>776</v>
      </c>
      <c r="D2823" s="62">
        <f>VLOOKUP(C2823,基本字段定义!$B$3:$C$3008,2,FALSE)</f>
        <v>684</v>
      </c>
      <c r="E2823" s="63" t="s">
        <v>337</v>
      </c>
      <c r="F2823" s="63" t="s">
        <v>152</v>
      </c>
      <c r="G2823" s="64" t="s">
        <v>1527</v>
      </c>
    </row>
    <row r="2824" spans="2:7">
      <c r="B2824" s="267"/>
      <c r="C2824" s="61" t="s">
        <v>1528</v>
      </c>
      <c r="D2824" s="62">
        <f>VLOOKUP(C2824,基本字段定义!$B$3:$C$3008,2,FALSE)</f>
        <v>1252</v>
      </c>
      <c r="E2824" s="63" t="s">
        <v>337</v>
      </c>
      <c r="F2824" s="63"/>
      <c r="G2824" s="64" t="s">
        <v>1529</v>
      </c>
    </row>
    <row r="2825" spans="2:7">
      <c r="B2825" s="267"/>
      <c r="C2825" s="61" t="s">
        <v>778</v>
      </c>
      <c r="D2825" s="62">
        <f>VLOOKUP(C2825,基本字段定义!$B$3:$C$3008,2,FALSE)</f>
        <v>682</v>
      </c>
      <c r="E2825" s="63" t="s">
        <v>537</v>
      </c>
      <c r="F2825" s="63"/>
      <c r="G2825" s="64" t="s">
        <v>1530</v>
      </c>
    </row>
    <row r="2826" spans="2:7">
      <c r="B2826" s="267"/>
      <c r="C2826" s="61" t="s">
        <v>1531</v>
      </c>
      <c r="D2826" s="62">
        <f>VLOOKUP(C2826,基本字段定义!$B$3:$C$3008,2,FALSE)</f>
        <v>1169</v>
      </c>
      <c r="E2826" s="63" t="s">
        <v>337</v>
      </c>
      <c r="F2826" s="63"/>
      <c r="G2826" s="64" t="s">
        <v>1532</v>
      </c>
    </row>
    <row r="2827" spans="2:7">
      <c r="B2827" s="267"/>
      <c r="C2827" s="61" t="s">
        <v>1533</v>
      </c>
      <c r="D2827" s="62">
        <f>VLOOKUP(C2827,基本字段定义!$B$3:$C$3008,2,FALSE)</f>
        <v>3609</v>
      </c>
      <c r="E2827" s="63" t="s">
        <v>337</v>
      </c>
      <c r="F2827" s="63" t="s">
        <v>152</v>
      </c>
      <c r="G2827" s="64" t="s">
        <v>1534</v>
      </c>
    </row>
    <row r="2828" spans="2:7">
      <c r="B2828" s="267"/>
      <c r="C2828" s="61" t="s">
        <v>503</v>
      </c>
      <c r="D2828" s="62">
        <f>VLOOKUP(C2828,基本字段定义!$B$3:$C$3008,2,FALSE)</f>
        <v>1332</v>
      </c>
      <c r="E2828" s="63" t="s">
        <v>337</v>
      </c>
      <c r="F2828" s="63" t="s">
        <v>152</v>
      </c>
      <c r="G2828" s="64" t="s">
        <v>1535</v>
      </c>
    </row>
    <row r="2829" spans="2:7">
      <c r="B2829" s="266" t="s">
        <v>335</v>
      </c>
      <c r="C2829" s="65" t="s">
        <v>1197</v>
      </c>
      <c r="D2829" s="66">
        <f>VLOOKUP(C2829,基本字段定义!$B$3:$C$3008,2,FALSE)</f>
        <v>1619</v>
      </c>
      <c r="E2829" s="67" t="s">
        <v>537</v>
      </c>
      <c r="F2829" s="67"/>
      <c r="G2829" s="69" t="s">
        <v>1536</v>
      </c>
    </row>
    <row r="2830" spans="2:7">
      <c r="B2830" s="267"/>
      <c r="C2830" s="65" t="s">
        <v>1537</v>
      </c>
      <c r="D2830" s="66">
        <f>VLOOKUP(C2830,基本字段定义!$B$3:$C$3008,2,FALSE)</f>
        <v>1805</v>
      </c>
      <c r="E2830" s="67" t="s">
        <v>537</v>
      </c>
      <c r="F2830" s="67"/>
      <c r="G2830" s="69" t="s">
        <v>1538</v>
      </c>
    </row>
    <row r="2831" spans="2:7">
      <c r="B2831" s="267"/>
      <c r="C2831" s="65" t="s">
        <v>1539</v>
      </c>
      <c r="D2831" s="66">
        <f>VLOOKUP(C2831,基本字段定义!$B$3:$C$3008,2,FALSE)</f>
        <v>673</v>
      </c>
      <c r="E2831" s="67" t="s">
        <v>339</v>
      </c>
      <c r="F2831" s="67"/>
      <c r="G2831" s="69" t="s">
        <v>1540</v>
      </c>
    </row>
    <row r="2832" spans="2:7">
      <c r="B2832" s="267"/>
      <c r="C2832" s="65" t="s">
        <v>1541</v>
      </c>
      <c r="D2832" s="66">
        <f>VLOOKUP(C2832,基本字段定义!$B$3:$C$3008,2,FALSE)</f>
        <v>9318</v>
      </c>
      <c r="E2832" s="67" t="s">
        <v>337</v>
      </c>
      <c r="F2832" s="67"/>
      <c r="G2832" s="69" t="s">
        <v>1542</v>
      </c>
    </row>
    <row r="2833" spans="2:7">
      <c r="B2833" s="267"/>
      <c r="C2833" s="65" t="s">
        <v>1187</v>
      </c>
      <c r="D2833" s="66">
        <f>VLOOKUP(C2833,基本字段定义!$B$3:$C$3008,2,FALSE)</f>
        <v>858</v>
      </c>
      <c r="E2833" s="67" t="s">
        <v>537</v>
      </c>
      <c r="F2833" s="67"/>
      <c r="G2833" s="69" t="s">
        <v>1543</v>
      </c>
    </row>
    <row r="2834" spans="2:7">
      <c r="B2834" s="267"/>
      <c r="C2834" s="65" t="s">
        <v>1544</v>
      </c>
      <c r="D2834" s="66">
        <f>VLOOKUP(C2834,基本字段定义!$B$3:$C$3008,2,FALSE)</f>
        <v>1801</v>
      </c>
      <c r="E2834" s="67" t="s">
        <v>537</v>
      </c>
      <c r="F2834" s="67"/>
      <c r="G2834" s="69" t="s">
        <v>1545</v>
      </c>
    </row>
    <row r="2835" spans="2:7">
      <c r="B2835" s="267"/>
      <c r="C2835" s="65" t="s">
        <v>1546</v>
      </c>
      <c r="D2835" s="66">
        <f>VLOOKUP(C2835,基本字段定义!$B$3:$C$3008,2,FALSE)</f>
        <v>9147</v>
      </c>
      <c r="E2835" s="67" t="s">
        <v>537</v>
      </c>
      <c r="F2835" s="67"/>
      <c r="G2835" s="69" t="s">
        <v>1547</v>
      </c>
    </row>
    <row r="2836" spans="2:7">
      <c r="B2836" s="267"/>
      <c r="C2836" s="65" t="s">
        <v>1548</v>
      </c>
      <c r="D2836" s="66">
        <f>VLOOKUP(C2836,基本字段定义!$B$3:$C$3008,2,FALSE)</f>
        <v>4220</v>
      </c>
      <c r="E2836" s="67" t="s">
        <v>537</v>
      </c>
      <c r="F2836" s="67"/>
      <c r="G2836" s="69" t="s">
        <v>1549</v>
      </c>
    </row>
    <row r="2838" spans="2:7">
      <c r="B2838" s="53" t="s">
        <v>146</v>
      </c>
      <c r="C2838" s="80">
        <v>304232</v>
      </c>
      <c r="D2838" s="81"/>
      <c r="E2838" s="82"/>
      <c r="F2838" s="54" t="s">
        <v>326</v>
      </c>
      <c r="G2838" s="141"/>
    </row>
    <row r="2839" spans="2:7">
      <c r="B2839" s="56" t="s">
        <v>327</v>
      </c>
      <c r="C2839" s="83" t="s">
        <v>1550</v>
      </c>
      <c r="D2839" s="84"/>
      <c r="E2839" s="85"/>
      <c r="F2839" s="142" t="s">
        <v>148</v>
      </c>
      <c r="G2839" s="58" t="s">
        <v>152</v>
      </c>
    </row>
    <row r="2840" spans="2:7" ht="25.5">
      <c r="B2840" s="266" t="s">
        <v>328</v>
      </c>
      <c r="C2840" s="95" t="s">
        <v>1550</v>
      </c>
      <c r="D2840" s="96"/>
      <c r="E2840" s="96"/>
      <c r="F2840" s="96"/>
      <c r="G2840" s="97"/>
    </row>
    <row r="2841" spans="2:7">
      <c r="B2841" s="267"/>
      <c r="C2841" s="98"/>
      <c r="D2841" s="99"/>
      <c r="E2841" s="99"/>
      <c r="F2841" s="99"/>
      <c r="G2841" s="100"/>
    </row>
    <row r="2842" spans="2:7">
      <c r="B2842" s="287" t="s">
        <v>329</v>
      </c>
      <c r="C2842" s="54" t="s">
        <v>330</v>
      </c>
      <c r="D2842" s="54" t="s">
        <v>331</v>
      </c>
      <c r="E2842" s="54" t="s">
        <v>332</v>
      </c>
      <c r="F2842" s="54" t="s">
        <v>333</v>
      </c>
      <c r="G2842" s="60" t="s">
        <v>334</v>
      </c>
    </row>
    <row r="2843" spans="2:7">
      <c r="B2843" s="267"/>
      <c r="C2843" s="61" t="s">
        <v>1551</v>
      </c>
      <c r="D2843" s="66">
        <f>VLOOKUP(C2843,基本字段定义!$B$3:$C$3008,2,FALSE)</f>
        <v>4211</v>
      </c>
      <c r="E2843" s="63" t="s">
        <v>337</v>
      </c>
      <c r="F2843" s="63"/>
      <c r="G2843" s="64" t="s">
        <v>1552</v>
      </c>
    </row>
    <row r="2844" spans="2:7">
      <c r="B2844" s="267"/>
      <c r="C2844" s="61" t="s">
        <v>1533</v>
      </c>
      <c r="D2844" s="66">
        <f>VLOOKUP(C2844,基本字段定义!$B$3:$C$3008,2,FALSE)</f>
        <v>3609</v>
      </c>
      <c r="E2844" s="63" t="s">
        <v>337</v>
      </c>
      <c r="F2844" s="63"/>
      <c r="G2844" s="64" t="s">
        <v>1534</v>
      </c>
    </row>
    <row r="2845" spans="2:7">
      <c r="B2845" s="267"/>
      <c r="C2845" s="61" t="s">
        <v>1553</v>
      </c>
      <c r="D2845" s="66">
        <f>VLOOKUP(C2845,基本字段定义!$B$3:$C$3008,2,FALSE)</f>
        <v>1756</v>
      </c>
      <c r="E2845" s="63" t="s">
        <v>480</v>
      </c>
      <c r="F2845" s="63"/>
      <c r="G2845" s="64" t="s">
        <v>1554</v>
      </c>
    </row>
    <row r="2846" spans="2:7">
      <c r="B2846" s="266" t="s">
        <v>335</v>
      </c>
      <c r="C2846" s="65" t="s">
        <v>1551</v>
      </c>
      <c r="D2846" s="66">
        <f>VLOOKUP(C2846,基本字段定义!$B$3:$C$3008,2,FALSE)</f>
        <v>4211</v>
      </c>
      <c r="E2846" s="67" t="s">
        <v>337</v>
      </c>
      <c r="F2846" s="66"/>
      <c r="G2846" s="69" t="s">
        <v>1552</v>
      </c>
    </row>
    <row r="2847" spans="2:7">
      <c r="B2847" s="267"/>
      <c r="C2847" s="65" t="s">
        <v>1553</v>
      </c>
      <c r="D2847" s="66">
        <f>VLOOKUP(C2847,基本字段定义!$B$3:$C$3008,2,FALSE)</f>
        <v>1756</v>
      </c>
      <c r="E2847" s="67" t="s">
        <v>339</v>
      </c>
      <c r="F2847" s="66"/>
      <c r="G2847" s="69" t="s">
        <v>1554</v>
      </c>
    </row>
    <row r="2848" spans="2:7">
      <c r="B2848" s="267"/>
      <c r="C2848" s="87" t="s">
        <v>1533</v>
      </c>
      <c r="D2848" s="66">
        <f>VLOOKUP(C2848,基本字段定义!$B$3:$C$3008,2,FALSE)</f>
        <v>3609</v>
      </c>
      <c r="E2848" s="88" t="s">
        <v>337</v>
      </c>
      <c r="F2848" s="89"/>
      <c r="G2848" s="90" t="s">
        <v>1534</v>
      </c>
    </row>
    <row r="2849" spans="2:7">
      <c r="B2849" s="267"/>
      <c r="C2849" s="87" t="s">
        <v>1555</v>
      </c>
      <c r="D2849" s="66">
        <f>VLOOKUP(C2849,基本字段定义!$B$3:$C$3008,2,FALSE)</f>
        <v>1757</v>
      </c>
      <c r="E2849" s="88" t="s">
        <v>339</v>
      </c>
      <c r="F2849" s="89"/>
      <c r="G2849" s="90" t="s">
        <v>1556</v>
      </c>
    </row>
    <row r="2850" spans="2:7">
      <c r="B2850" s="267"/>
      <c r="C2850" s="87" t="s">
        <v>1557</v>
      </c>
      <c r="D2850" s="66">
        <f>VLOOKUP(C2850,基本字段定义!$B$3:$C$3008,2,FALSE)</f>
        <v>1951</v>
      </c>
      <c r="E2850" s="67" t="s">
        <v>337</v>
      </c>
      <c r="F2850" s="89"/>
      <c r="G2850" s="90" t="s">
        <v>1558</v>
      </c>
    </row>
    <row r="2851" spans="2:7">
      <c r="B2851" s="267"/>
      <c r="C2851" s="87" t="s">
        <v>1370</v>
      </c>
      <c r="D2851" s="66">
        <f>VLOOKUP(C2851,基本字段定义!$B$3:$C$3008,2,FALSE)</f>
        <v>620</v>
      </c>
      <c r="E2851" s="67" t="s">
        <v>1559</v>
      </c>
      <c r="F2851" s="89"/>
      <c r="G2851" s="90" t="s">
        <v>1536</v>
      </c>
    </row>
    <row r="2852" spans="2:7">
      <c r="B2852" s="267"/>
      <c r="C2852" s="87" t="s">
        <v>1560</v>
      </c>
      <c r="D2852" s="66">
        <f>VLOOKUP(C2852,基本字段定义!$B$3:$C$3008,2,FALSE)</f>
        <v>2304</v>
      </c>
      <c r="E2852" s="67" t="s">
        <v>1561</v>
      </c>
      <c r="F2852" s="89"/>
      <c r="G2852" s="90" t="s">
        <v>1562</v>
      </c>
    </row>
    <row r="2853" spans="2:7">
      <c r="B2853" s="267"/>
      <c r="C2853" s="87" t="s">
        <v>1563</v>
      </c>
      <c r="D2853" s="66">
        <f>VLOOKUP(C2853,基本字段定义!$B$3:$C$3008,2,FALSE)</f>
        <v>2305</v>
      </c>
      <c r="E2853" s="67" t="s">
        <v>1561</v>
      </c>
      <c r="F2853" s="89"/>
      <c r="G2853" s="90" t="s">
        <v>1564</v>
      </c>
    </row>
    <row r="2854" spans="2:7">
      <c r="B2854" s="267"/>
      <c r="C2854" s="87" t="s">
        <v>872</v>
      </c>
      <c r="D2854" s="66">
        <f>VLOOKUP(C2854,基本字段定义!$B$3:$C$3008,2,FALSE)</f>
        <v>1935</v>
      </c>
      <c r="E2854" s="145" t="s">
        <v>480</v>
      </c>
      <c r="F2854" s="89"/>
      <c r="G2854" s="90" t="s">
        <v>1565</v>
      </c>
    </row>
    <row r="2855" spans="2:7">
      <c r="B2855" s="267"/>
      <c r="C2855" s="65" t="s">
        <v>874</v>
      </c>
      <c r="D2855" s="66">
        <f>VLOOKUP(C2855,基本字段定义!$B$3:$C$3008,2,FALSE)</f>
        <v>1936</v>
      </c>
      <c r="E2855" s="67" t="s">
        <v>406</v>
      </c>
      <c r="F2855" s="89"/>
      <c r="G2855" s="90" t="s">
        <v>1566</v>
      </c>
    </row>
    <row r="2856" spans="2:7">
      <c r="B2856" s="267"/>
      <c r="C2856" s="146" t="s">
        <v>1567</v>
      </c>
      <c r="D2856" s="66">
        <f>VLOOKUP(C2856,基本字段定义!$B$3:$C$3008,2,FALSE)</f>
        <v>1937</v>
      </c>
      <c r="E2856" s="88" t="s">
        <v>337</v>
      </c>
      <c r="F2856" s="89"/>
      <c r="G2856" s="90" t="s">
        <v>1568</v>
      </c>
    </row>
    <row r="2857" spans="2:7">
      <c r="B2857" s="267"/>
      <c r="C2857" s="87" t="s">
        <v>1569</v>
      </c>
      <c r="D2857" s="66">
        <f>VLOOKUP(C2857,基本字段定义!$B$3:$C$3008,2,FALSE)</f>
        <v>2505</v>
      </c>
      <c r="E2857" s="67" t="s">
        <v>1122</v>
      </c>
      <c r="F2857" s="89"/>
      <c r="G2857" s="90" t="s">
        <v>1570</v>
      </c>
    </row>
    <row r="2858" spans="2:7" ht="63.75">
      <c r="B2858" s="267"/>
      <c r="C2858" s="87" t="s">
        <v>1571</v>
      </c>
      <c r="D2858" s="66">
        <f>VLOOKUP(C2858,基本字段定义!$B$3:$C$3008,2,FALSE)</f>
        <v>2311</v>
      </c>
      <c r="E2858" s="67" t="s">
        <v>398</v>
      </c>
      <c r="F2858" s="89"/>
      <c r="G2858" s="147" t="s">
        <v>1572</v>
      </c>
    </row>
    <row r="2859" spans="2:7" ht="25.5">
      <c r="B2859" s="267"/>
      <c r="C2859" s="87" t="s">
        <v>1573</v>
      </c>
      <c r="D2859" s="66">
        <f>VLOOKUP(C2859,基本字段定义!$B$3:$C$3008,2,FALSE)</f>
        <v>4194</v>
      </c>
      <c r="E2859" s="67" t="s">
        <v>337</v>
      </c>
      <c r="F2859" s="89"/>
      <c r="G2859" s="147" t="s">
        <v>1574</v>
      </c>
    </row>
    <row r="2860" spans="2:7" ht="63.75">
      <c r="B2860" s="267"/>
      <c r="C2860" s="87" t="s">
        <v>1541</v>
      </c>
      <c r="D2860" s="66">
        <f>VLOOKUP(C2860,基本字段定义!$B$3:$C$3008,2,FALSE)</f>
        <v>9318</v>
      </c>
      <c r="E2860" s="67" t="s">
        <v>337</v>
      </c>
      <c r="F2860" s="89"/>
      <c r="G2860" s="147" t="s">
        <v>1575</v>
      </c>
    </row>
    <row r="2861" spans="2:7">
      <c r="B2861" s="267"/>
      <c r="C2861" s="87" t="s">
        <v>768</v>
      </c>
      <c r="D2861" s="66">
        <f>VLOOKUP(C2861,基本字段定义!$B$3:$C$3008,2,FALSE)</f>
        <v>1603</v>
      </c>
      <c r="E2861" s="67" t="s">
        <v>1559</v>
      </c>
      <c r="F2861" s="89"/>
      <c r="G2861" s="90" t="s">
        <v>1576</v>
      </c>
    </row>
    <row r="2862" spans="2:7">
      <c r="B2862" s="267"/>
      <c r="C2862" s="87" t="s">
        <v>1577</v>
      </c>
      <c r="D2862" s="66">
        <f>VLOOKUP(C2862,基本字段定义!$B$3:$C$3008,2,FALSE)</f>
        <v>1271</v>
      </c>
      <c r="E2862" s="67" t="s">
        <v>1559</v>
      </c>
      <c r="F2862" s="89"/>
      <c r="G2862" s="90" t="s">
        <v>1578</v>
      </c>
    </row>
    <row r="2863" spans="2:7">
      <c r="B2863" s="267"/>
      <c r="C2863" s="87" t="s">
        <v>470</v>
      </c>
      <c r="D2863" s="66">
        <f>VLOOKUP(C2863,基本字段定义!$B$3:$C$3008,2,FALSE)</f>
        <v>730</v>
      </c>
      <c r="E2863" s="67" t="s">
        <v>1122</v>
      </c>
      <c r="F2863" s="89"/>
      <c r="G2863" s="90" t="s">
        <v>1579</v>
      </c>
    </row>
    <row r="2864" spans="2:7">
      <c r="B2864" s="267"/>
      <c r="C2864" s="87" t="s">
        <v>1580</v>
      </c>
      <c r="D2864" s="66">
        <f>VLOOKUP(C2864,基本字段定义!$B$3:$C$3008,2,FALSE)</f>
        <v>3085</v>
      </c>
      <c r="E2864" s="88" t="s">
        <v>337</v>
      </c>
      <c r="F2864" s="89"/>
      <c r="G2864" s="90" t="s">
        <v>1581</v>
      </c>
    </row>
    <row r="2865" spans="2:7">
      <c r="B2865" s="268"/>
      <c r="C2865" s="71" t="s">
        <v>1582</v>
      </c>
      <c r="D2865" s="66">
        <v>3086</v>
      </c>
      <c r="E2865" s="73" t="s">
        <v>1561</v>
      </c>
      <c r="F2865" s="79"/>
      <c r="G2865" s="74" t="s">
        <v>1583</v>
      </c>
    </row>
    <row r="2867" spans="2:7">
      <c r="B2867" s="53" t="s">
        <v>146</v>
      </c>
      <c r="C2867" s="80">
        <v>304216</v>
      </c>
      <c r="D2867" s="81"/>
      <c r="E2867" s="82"/>
      <c r="F2867" s="54" t="s">
        <v>326</v>
      </c>
      <c r="G2867" s="141"/>
    </row>
    <row r="2868" spans="2:7">
      <c r="B2868" s="56" t="s">
        <v>327</v>
      </c>
      <c r="C2868" s="83" t="s">
        <v>232</v>
      </c>
      <c r="D2868" s="84"/>
      <c r="E2868" s="85"/>
      <c r="F2868" s="142" t="s">
        <v>148</v>
      </c>
      <c r="G2868" s="58" t="s">
        <v>152</v>
      </c>
    </row>
    <row r="2869" spans="2:7">
      <c r="B2869" s="266" t="s">
        <v>328</v>
      </c>
      <c r="C2869" s="95" t="s">
        <v>1584</v>
      </c>
      <c r="D2869" s="96"/>
      <c r="E2869" s="96"/>
      <c r="F2869" s="96"/>
      <c r="G2869" s="97"/>
    </row>
    <row r="2870" spans="2:7">
      <c r="B2870" s="268"/>
      <c r="C2870" s="98"/>
      <c r="D2870" s="99"/>
      <c r="E2870" s="99"/>
      <c r="F2870" s="99"/>
      <c r="G2870" s="100"/>
    </row>
    <row r="2871" spans="2:7">
      <c r="B2871" s="287" t="s">
        <v>329</v>
      </c>
      <c r="C2871" s="54" t="s">
        <v>330</v>
      </c>
      <c r="D2871" s="54" t="s">
        <v>331</v>
      </c>
      <c r="E2871" s="54" t="s">
        <v>332</v>
      </c>
      <c r="F2871" s="54" t="s">
        <v>333</v>
      </c>
      <c r="G2871" s="60" t="s">
        <v>334</v>
      </c>
    </row>
    <row r="2872" spans="2:7">
      <c r="B2872" s="267"/>
      <c r="C2872" s="61" t="s">
        <v>402</v>
      </c>
      <c r="D2872" s="66">
        <f>VLOOKUP(C2872,基本字段定义!$B$3:$C$3008,2,FALSE)</f>
        <v>605</v>
      </c>
      <c r="E2872" s="63" t="s">
        <v>403</v>
      </c>
      <c r="F2872" s="63" t="s">
        <v>152</v>
      </c>
      <c r="G2872" s="64" t="s">
        <v>404</v>
      </c>
    </row>
    <row r="2873" spans="2:7">
      <c r="B2873" s="267"/>
      <c r="C2873" s="61" t="s">
        <v>361</v>
      </c>
      <c r="D2873" s="66">
        <f>VLOOKUP(C2873,基本字段定义!$B$3:$C$3008,2,FALSE)</f>
        <v>599</v>
      </c>
      <c r="E2873" s="63" t="s">
        <v>362</v>
      </c>
      <c r="F2873" s="63"/>
      <c r="G2873" s="64" t="s">
        <v>363</v>
      </c>
    </row>
    <row r="2874" spans="2:7">
      <c r="B2874" s="267"/>
      <c r="C2874" s="61" t="s">
        <v>1320</v>
      </c>
      <c r="D2874" s="66">
        <f>VLOOKUP(C2874,基本字段定义!$B$3:$C$3008,2,FALSE)</f>
        <v>556</v>
      </c>
      <c r="E2874" s="63" t="s">
        <v>339</v>
      </c>
      <c r="F2874" s="63"/>
      <c r="G2874" s="64" t="s">
        <v>1585</v>
      </c>
    </row>
    <row r="2875" spans="2:7">
      <c r="B2875" s="267"/>
      <c r="C2875" s="61" t="s">
        <v>1318</v>
      </c>
      <c r="D2875" s="66">
        <f>VLOOKUP(C2875,基本字段定义!$B$3:$C$3008,2,FALSE)</f>
        <v>557</v>
      </c>
      <c r="E2875" s="63" t="s">
        <v>339</v>
      </c>
      <c r="F2875" s="63" t="s">
        <v>152</v>
      </c>
      <c r="G2875" s="64" t="s">
        <v>1586</v>
      </c>
    </row>
    <row r="2876" spans="2:7">
      <c r="B2876" s="267"/>
      <c r="C2876" s="61" t="s">
        <v>640</v>
      </c>
      <c r="D2876" s="66">
        <f>VLOOKUP(C2876,基本字段定义!$B$3:$C$3008,2,FALSE)</f>
        <v>719</v>
      </c>
      <c r="E2876" s="63" t="s">
        <v>480</v>
      </c>
      <c r="F2876" s="63"/>
      <c r="G2876" s="64" t="s">
        <v>1587</v>
      </c>
    </row>
    <row r="2877" spans="2:7">
      <c r="B2877" s="267"/>
      <c r="C2877" s="61" t="s">
        <v>1588</v>
      </c>
      <c r="D2877" s="66">
        <f>VLOOKUP(C2877,基本字段定义!$B$3:$C$3008,2,FALSE)</f>
        <v>9126</v>
      </c>
      <c r="E2877" s="63" t="s">
        <v>480</v>
      </c>
      <c r="F2877" s="63"/>
      <c r="G2877" s="64" t="s">
        <v>1589</v>
      </c>
    </row>
    <row r="2878" spans="2:7">
      <c r="B2878" s="267"/>
      <c r="C2878" s="61" t="s">
        <v>405</v>
      </c>
      <c r="D2878" s="66">
        <f>VLOOKUP(C2878,基本字段定义!$B$3:$C$3008,2,FALSE)</f>
        <v>571</v>
      </c>
      <c r="E2878" s="63" t="s">
        <v>406</v>
      </c>
      <c r="F2878" s="63" t="s">
        <v>152</v>
      </c>
      <c r="G2878" s="64" t="s">
        <v>407</v>
      </c>
    </row>
    <row r="2879" spans="2:7">
      <c r="B2879" s="286"/>
      <c r="C2879" s="61" t="s">
        <v>1590</v>
      </c>
      <c r="D2879" s="66">
        <f>VLOOKUP(C2879,基本字段定义!$B$3:$C$3008,2,FALSE)</f>
        <v>813</v>
      </c>
      <c r="E2879" s="63" t="s">
        <v>339</v>
      </c>
      <c r="F2879" s="63"/>
      <c r="G2879" s="64" t="s">
        <v>1591</v>
      </c>
    </row>
    <row r="2880" spans="2:7">
      <c r="B2880" s="266" t="s">
        <v>335</v>
      </c>
      <c r="C2880" s="65" t="s">
        <v>336</v>
      </c>
      <c r="D2880" s="66">
        <f>VLOOKUP(C2880,基本字段定义!$B$3:$C$3008,2,FALSE)</f>
        <v>507</v>
      </c>
      <c r="E2880" s="67" t="s">
        <v>337</v>
      </c>
      <c r="F2880" s="66"/>
      <c r="G2880" s="69"/>
    </row>
    <row r="2881" spans="2:7">
      <c r="B2881" s="267"/>
      <c r="C2881" s="65" t="s">
        <v>338</v>
      </c>
      <c r="D2881" s="66">
        <f>VLOOKUP(C2881,基本字段定义!$B$3:$C$3008,2,FALSE)</f>
        <v>508</v>
      </c>
      <c r="E2881" s="67" t="s">
        <v>339</v>
      </c>
      <c r="F2881" s="66"/>
      <c r="G2881" s="69"/>
    </row>
    <row r="2882" spans="2:7">
      <c r="B2882" s="267"/>
      <c r="C2882" s="87" t="s">
        <v>1592</v>
      </c>
      <c r="D2882" s="66">
        <f>VLOOKUP(C2882,基本字段定义!$B$3:$C$3008,2,FALSE)</f>
        <v>1232</v>
      </c>
      <c r="E2882" s="88" t="s">
        <v>339</v>
      </c>
      <c r="F2882" s="89"/>
      <c r="G2882" s="90" t="s">
        <v>1593</v>
      </c>
    </row>
    <row r="2883" spans="2:7">
      <c r="B2883" s="267"/>
      <c r="C2883" s="87" t="s">
        <v>640</v>
      </c>
      <c r="D2883" s="66">
        <f>VLOOKUP(C2883,基本字段定义!$B$3:$C$3008,2,FALSE)</f>
        <v>719</v>
      </c>
      <c r="E2883" s="88" t="s">
        <v>339</v>
      </c>
      <c r="F2883" s="89"/>
      <c r="G2883" s="90" t="s">
        <v>657</v>
      </c>
    </row>
    <row r="2884" spans="2:7">
      <c r="B2884" s="267"/>
      <c r="C2884" s="87" t="s">
        <v>405</v>
      </c>
      <c r="D2884" s="66">
        <f>VLOOKUP(C2884,基本字段定义!$B$3:$C$3008,2,FALSE)</f>
        <v>571</v>
      </c>
      <c r="E2884" s="88" t="s">
        <v>339</v>
      </c>
      <c r="F2884" s="89"/>
      <c r="G2884" s="90" t="s">
        <v>407</v>
      </c>
    </row>
    <row r="2885" spans="2:7">
      <c r="B2885" s="267"/>
      <c r="C2885" s="87" t="s">
        <v>1588</v>
      </c>
      <c r="D2885" s="66">
        <f>VLOOKUP(C2885,基本字段定义!$B$3:$C$3008,2,FALSE)</f>
        <v>9126</v>
      </c>
      <c r="E2885" s="88" t="s">
        <v>339</v>
      </c>
      <c r="F2885" s="89"/>
      <c r="G2885" s="90" t="s">
        <v>1589</v>
      </c>
    </row>
    <row r="2886" spans="2:7">
      <c r="B2886" s="267"/>
      <c r="C2886" s="87" t="s">
        <v>373</v>
      </c>
      <c r="D2886" s="66">
        <f>VLOOKUP(C2886,基本字段定义!$B$3:$C$3008,2,FALSE)</f>
        <v>697</v>
      </c>
      <c r="E2886" s="88" t="s">
        <v>339</v>
      </c>
      <c r="F2886" s="89"/>
      <c r="G2886" s="90" t="s">
        <v>374</v>
      </c>
    </row>
    <row r="2887" spans="2:7">
      <c r="B2887" s="267"/>
      <c r="C2887" s="87" t="s">
        <v>361</v>
      </c>
      <c r="D2887" s="66">
        <f>VLOOKUP(C2887,基本字段定义!$B$3:$C$3008,2,FALSE)</f>
        <v>599</v>
      </c>
      <c r="E2887" s="88" t="s">
        <v>339</v>
      </c>
      <c r="F2887" s="89"/>
      <c r="G2887" s="90" t="s">
        <v>363</v>
      </c>
    </row>
    <row r="2888" spans="2:7">
      <c r="B2888" s="268"/>
      <c r="C2888" s="71" t="s">
        <v>402</v>
      </c>
      <c r="D2888" s="66">
        <f>VLOOKUP(C2888,基本字段定义!$B$3:$C$3008,2,FALSE)</f>
        <v>605</v>
      </c>
      <c r="E2888" s="73" t="s">
        <v>339</v>
      </c>
      <c r="F2888" s="79"/>
      <c r="G2888" s="74" t="s">
        <v>404</v>
      </c>
    </row>
    <row r="2890" spans="2:7">
      <c r="B2890" s="53" t="s">
        <v>146</v>
      </c>
      <c r="C2890" s="80">
        <v>404204</v>
      </c>
      <c r="D2890" s="81"/>
      <c r="E2890" s="82"/>
      <c r="F2890" s="54" t="s">
        <v>326</v>
      </c>
      <c r="G2890" s="141">
        <v>20121101</v>
      </c>
    </row>
    <row r="2891" spans="2:7">
      <c r="B2891" s="56" t="s">
        <v>327</v>
      </c>
      <c r="C2891" s="83" t="s">
        <v>324</v>
      </c>
      <c r="D2891" s="84"/>
      <c r="E2891" s="85"/>
      <c r="F2891" s="142" t="s">
        <v>148</v>
      </c>
      <c r="G2891" s="58" t="s">
        <v>152</v>
      </c>
    </row>
    <row r="2892" spans="2:7" ht="25.5">
      <c r="B2892" s="266" t="s">
        <v>328</v>
      </c>
      <c r="C2892" s="95" t="s">
        <v>324</v>
      </c>
      <c r="D2892" s="96"/>
      <c r="E2892" s="96"/>
      <c r="F2892" s="96"/>
      <c r="G2892" s="97"/>
    </row>
    <row r="2893" spans="2:7">
      <c r="B2893" s="268"/>
      <c r="C2893" s="98"/>
      <c r="D2893" s="99"/>
      <c r="E2893" s="99"/>
      <c r="F2893" s="99"/>
      <c r="G2893" s="100"/>
    </row>
    <row r="2894" spans="2:7">
      <c r="B2894" s="287" t="s">
        <v>329</v>
      </c>
      <c r="C2894" s="54" t="s">
        <v>330</v>
      </c>
      <c r="D2894" s="54" t="s">
        <v>331</v>
      </c>
      <c r="E2894" s="54" t="s">
        <v>332</v>
      </c>
      <c r="F2894" s="54" t="s">
        <v>333</v>
      </c>
      <c r="G2894" s="60" t="s">
        <v>334</v>
      </c>
    </row>
    <row r="2895" spans="2:7">
      <c r="B2895" s="267"/>
      <c r="C2895" s="61" t="s">
        <v>402</v>
      </c>
      <c r="D2895" s="66">
        <f>VLOOKUP(C2895,基本字段定义!$B$3:$C$3008,2,FALSE)</f>
        <v>605</v>
      </c>
      <c r="E2895" s="63" t="s">
        <v>403</v>
      </c>
      <c r="F2895" s="63" t="s">
        <v>152</v>
      </c>
      <c r="G2895" s="64" t="s">
        <v>404</v>
      </c>
    </row>
    <row r="2896" spans="2:7">
      <c r="B2896" s="267"/>
      <c r="C2896" s="61" t="s">
        <v>588</v>
      </c>
      <c r="D2896" s="66">
        <f>VLOOKUP(C2896,基本字段定义!$B$3:$C$3008,2,FALSE)</f>
        <v>763</v>
      </c>
      <c r="E2896" s="63" t="s">
        <v>471</v>
      </c>
      <c r="F2896" s="63"/>
      <c r="G2896" s="64" t="s">
        <v>1594</v>
      </c>
    </row>
    <row r="2897" spans="2:7">
      <c r="B2897" s="267"/>
      <c r="C2897" s="61" t="s">
        <v>590</v>
      </c>
      <c r="D2897" s="66">
        <f>VLOOKUP(C2897,基本字段定义!$B$3:$C$3008,2,FALSE)</f>
        <v>9110</v>
      </c>
      <c r="E2897" s="63" t="s">
        <v>337</v>
      </c>
      <c r="F2897" s="63"/>
      <c r="G2897" s="64" t="s">
        <v>1595</v>
      </c>
    </row>
    <row r="2898" spans="2:7">
      <c r="B2898" s="267"/>
      <c r="C2898" s="61" t="s">
        <v>486</v>
      </c>
      <c r="D2898" s="66">
        <f>VLOOKUP(C2898,基本字段定义!$B$3:$C$3008,2,FALSE)</f>
        <v>590</v>
      </c>
      <c r="E2898" s="63" t="s">
        <v>480</v>
      </c>
      <c r="F2898" s="63" t="s">
        <v>152</v>
      </c>
      <c r="G2898" s="64" t="s">
        <v>1102</v>
      </c>
    </row>
    <row r="2899" spans="2:7">
      <c r="B2899" s="267"/>
      <c r="C2899" s="61" t="s">
        <v>640</v>
      </c>
      <c r="D2899" s="66">
        <f>VLOOKUP(C2899,基本字段定义!$B$3:$C$3008,2,FALSE)</f>
        <v>719</v>
      </c>
      <c r="E2899" s="63" t="s">
        <v>480</v>
      </c>
      <c r="F2899" s="63"/>
      <c r="G2899" s="64" t="s">
        <v>657</v>
      </c>
    </row>
    <row r="2900" spans="2:7">
      <c r="B2900" s="267"/>
      <c r="C2900" s="61" t="s">
        <v>524</v>
      </c>
      <c r="D2900" s="66">
        <f>VLOOKUP(C2900,基本字段定义!$B$3:$C$3008,2,FALSE)</f>
        <v>511</v>
      </c>
      <c r="E2900" s="63" t="s">
        <v>527</v>
      </c>
      <c r="F2900" s="63"/>
      <c r="G2900" s="64" t="s">
        <v>525</v>
      </c>
    </row>
    <row r="2901" spans="2:7">
      <c r="B2901" s="267"/>
      <c r="C2901" s="61" t="s">
        <v>361</v>
      </c>
      <c r="D2901" s="66">
        <f>VLOOKUP(C2901,基本字段定义!$B$3:$C$3008,2,FALSE)</f>
        <v>599</v>
      </c>
      <c r="E2901" s="63" t="s">
        <v>471</v>
      </c>
      <c r="F2901" s="63"/>
      <c r="G2901" s="64" t="s">
        <v>1596</v>
      </c>
    </row>
    <row r="2902" spans="2:7">
      <c r="B2902" s="286"/>
      <c r="C2902" s="61" t="s">
        <v>484</v>
      </c>
      <c r="D2902" s="66">
        <f>VLOOKUP(C2902,基本字段定义!$B$3:$C$3008,2,FALSE)</f>
        <v>618</v>
      </c>
      <c r="E2902" s="63" t="s">
        <v>480</v>
      </c>
      <c r="F2902" s="63" t="s">
        <v>152</v>
      </c>
      <c r="G2902" s="64" t="s">
        <v>1101</v>
      </c>
    </row>
    <row r="2903" spans="2:7">
      <c r="B2903" s="266" t="s">
        <v>335</v>
      </c>
      <c r="C2903" s="65" t="s">
        <v>402</v>
      </c>
      <c r="D2903" s="66">
        <f>VLOOKUP(C2903,基本字段定义!$B$3:$C$3008,2,FALSE)</f>
        <v>605</v>
      </c>
      <c r="E2903" s="67" t="s">
        <v>339</v>
      </c>
      <c r="F2903" s="66"/>
      <c r="G2903" s="69" t="s">
        <v>404</v>
      </c>
    </row>
    <row r="2904" spans="2:7">
      <c r="B2904" s="267"/>
      <c r="C2904" s="65" t="s">
        <v>336</v>
      </c>
      <c r="D2904" s="66">
        <f>VLOOKUP(C2904,基本字段定义!$B$3:$C$3008,2,FALSE)</f>
        <v>507</v>
      </c>
      <c r="E2904" s="67" t="s">
        <v>339</v>
      </c>
      <c r="F2904" s="66"/>
      <c r="G2904" s="69" t="s">
        <v>1209</v>
      </c>
    </row>
    <row r="2905" spans="2:7">
      <c r="B2905" s="267"/>
      <c r="C2905" s="65" t="s">
        <v>338</v>
      </c>
      <c r="D2905" s="66">
        <f>VLOOKUP(C2905,基本字段定义!$B$3:$C$3008,2,FALSE)</f>
        <v>508</v>
      </c>
      <c r="E2905" s="67" t="s">
        <v>339</v>
      </c>
      <c r="F2905" s="66"/>
      <c r="G2905" s="69" t="s">
        <v>1597</v>
      </c>
    </row>
    <row r="2906" spans="2:7">
      <c r="B2906" s="267"/>
      <c r="C2906" s="65" t="s">
        <v>420</v>
      </c>
      <c r="D2906" s="66">
        <f>VLOOKUP(C2906,基本字段定义!$B$3:$C$3008,2,FALSE)</f>
        <v>613</v>
      </c>
      <c r="E2906" s="67" t="s">
        <v>339</v>
      </c>
      <c r="F2906" s="66"/>
      <c r="G2906" s="69" t="s">
        <v>789</v>
      </c>
    </row>
    <row r="2907" spans="2:7">
      <c r="B2907" s="267"/>
      <c r="C2907" s="87" t="s">
        <v>361</v>
      </c>
      <c r="D2907" s="66">
        <f>VLOOKUP(C2907,基本字段定义!$B$3:$C$3008,2,FALSE)</f>
        <v>599</v>
      </c>
      <c r="E2907" s="88" t="s">
        <v>339</v>
      </c>
      <c r="F2907" s="89"/>
      <c r="G2907" s="90" t="s">
        <v>1596</v>
      </c>
    </row>
    <row r="2908" spans="2:7">
      <c r="B2908" s="267"/>
      <c r="C2908" s="87" t="s">
        <v>405</v>
      </c>
      <c r="D2908" s="66">
        <f>VLOOKUP(C2908,基本字段定义!$B$3:$C$3008,2,FALSE)</f>
        <v>571</v>
      </c>
      <c r="E2908" s="88" t="s">
        <v>339</v>
      </c>
      <c r="F2908" s="89"/>
      <c r="G2908" s="90" t="s">
        <v>407</v>
      </c>
    </row>
    <row r="2909" spans="2:7">
      <c r="B2909" s="267"/>
      <c r="C2909" s="87" t="s">
        <v>640</v>
      </c>
      <c r="D2909" s="66">
        <f>VLOOKUP(C2909,基本字段定义!$B$3:$C$3008,2,FALSE)</f>
        <v>719</v>
      </c>
      <c r="E2909" s="88" t="s">
        <v>339</v>
      </c>
      <c r="F2909" s="89"/>
      <c r="G2909" s="90" t="s">
        <v>657</v>
      </c>
    </row>
    <row r="2910" spans="2:7">
      <c r="B2910" s="267"/>
      <c r="C2910" s="87" t="s">
        <v>659</v>
      </c>
      <c r="D2910" s="66">
        <f>VLOOKUP(C2910,基本字段定义!$B$3:$C$3008,2,FALSE)</f>
        <v>722</v>
      </c>
      <c r="E2910" s="88" t="s">
        <v>339</v>
      </c>
      <c r="F2910" s="89"/>
      <c r="G2910" s="90" t="s">
        <v>660</v>
      </c>
    </row>
    <row r="2911" spans="2:7">
      <c r="B2911" s="267"/>
      <c r="C2911" s="87" t="s">
        <v>815</v>
      </c>
      <c r="D2911" s="66">
        <f>VLOOKUP(C2911,基本字段定义!$B$3:$C$3008,2,FALSE)</f>
        <v>603</v>
      </c>
      <c r="E2911" s="88" t="s">
        <v>339</v>
      </c>
      <c r="F2911" s="89"/>
      <c r="G2911" s="90" t="s">
        <v>816</v>
      </c>
    </row>
    <row r="2912" spans="2:7">
      <c r="B2912" s="267"/>
      <c r="C2912" s="87" t="s">
        <v>486</v>
      </c>
      <c r="D2912" s="66">
        <f>VLOOKUP(C2912,基本字段定义!$B$3:$C$3008,2,FALSE)</f>
        <v>590</v>
      </c>
      <c r="E2912" s="88" t="s">
        <v>339</v>
      </c>
      <c r="F2912" s="89"/>
      <c r="G2912" s="90" t="s">
        <v>1102</v>
      </c>
    </row>
    <row r="2913" spans="2:7">
      <c r="B2913" s="267"/>
      <c r="C2913" s="87" t="s">
        <v>762</v>
      </c>
      <c r="D2913" s="66">
        <f>VLOOKUP(C2913,基本字段定义!$B$3:$C$3008,2,FALSE)</f>
        <v>724</v>
      </c>
      <c r="E2913" s="88" t="s">
        <v>339</v>
      </c>
      <c r="F2913" s="89"/>
      <c r="G2913" s="90" t="s">
        <v>1598</v>
      </c>
    </row>
    <row r="2914" spans="2:7">
      <c r="B2914" s="267"/>
      <c r="C2914" s="87" t="s">
        <v>1599</v>
      </c>
      <c r="D2914" s="66">
        <f>VLOOKUP(C2914,基本字段定义!$B$3:$C$3008,2,FALSE)</f>
        <v>634</v>
      </c>
      <c r="E2914" s="88" t="s">
        <v>339</v>
      </c>
      <c r="F2914" s="89"/>
      <c r="G2914" s="90" t="s">
        <v>1600</v>
      </c>
    </row>
    <row r="2915" spans="2:7">
      <c r="B2915" s="267"/>
      <c r="C2915" s="87" t="s">
        <v>1601</v>
      </c>
      <c r="D2915" s="66">
        <f>VLOOKUP(C2915,基本字段定义!$B$3:$C$3008,2,FALSE)</f>
        <v>625</v>
      </c>
      <c r="E2915" s="88" t="s">
        <v>339</v>
      </c>
      <c r="F2915" s="89"/>
      <c r="G2915" s="90" t="s">
        <v>1602</v>
      </c>
    </row>
    <row r="2916" spans="2:7">
      <c r="B2916" s="267"/>
      <c r="C2916" s="87" t="s">
        <v>1603</v>
      </c>
      <c r="D2916" s="66">
        <f>VLOOKUP(C2916,基本字段定义!$B$3:$C$3008,2,FALSE)</f>
        <v>1176</v>
      </c>
      <c r="E2916" s="88" t="s">
        <v>537</v>
      </c>
      <c r="F2916" s="89"/>
      <c r="G2916" s="90" t="s">
        <v>1604</v>
      </c>
    </row>
    <row r="2917" spans="2:7">
      <c r="B2917" s="267"/>
      <c r="C2917" s="87" t="s">
        <v>1605</v>
      </c>
      <c r="D2917" s="66">
        <f>VLOOKUP(C2917,基本字段定义!$B$3:$C$3008,2,FALSE)</f>
        <v>1237</v>
      </c>
      <c r="E2917" s="88" t="s">
        <v>339</v>
      </c>
      <c r="F2917" s="89"/>
      <c r="G2917" s="90" t="s">
        <v>1606</v>
      </c>
    </row>
    <row r="2918" spans="2:7">
      <c r="B2918" s="267"/>
      <c r="C2918" s="87" t="s">
        <v>524</v>
      </c>
      <c r="D2918" s="66">
        <f>VLOOKUP(C2918,基本字段定义!$B$3:$C$3008,2,FALSE)</f>
        <v>511</v>
      </c>
      <c r="E2918" s="88" t="s">
        <v>339</v>
      </c>
      <c r="F2918" s="89"/>
      <c r="G2918" s="90" t="s">
        <v>525</v>
      </c>
    </row>
    <row r="2919" spans="2:7">
      <c r="B2919" s="267"/>
      <c r="C2919" s="87" t="s">
        <v>373</v>
      </c>
      <c r="D2919" s="66">
        <f>VLOOKUP(C2919,基本字段定义!$B$3:$C$3008,2,FALSE)</f>
        <v>697</v>
      </c>
      <c r="E2919" s="88" t="s">
        <v>339</v>
      </c>
      <c r="F2919" s="89"/>
      <c r="G2919" s="90" t="s">
        <v>374</v>
      </c>
    </row>
    <row r="2920" spans="2:7">
      <c r="B2920" s="267"/>
      <c r="C2920" s="87" t="s">
        <v>417</v>
      </c>
      <c r="D2920" s="66">
        <f>VLOOKUP(C2920,基本字段定义!$B$3:$C$3008,2,FALSE)</f>
        <v>610</v>
      </c>
      <c r="E2920" s="88" t="s">
        <v>339</v>
      </c>
      <c r="F2920" s="89"/>
      <c r="G2920" s="90" t="s">
        <v>852</v>
      </c>
    </row>
    <row r="2921" spans="2:7">
      <c r="B2921" s="267"/>
      <c r="C2921" s="87" t="s">
        <v>1607</v>
      </c>
      <c r="D2921" s="66">
        <f>VLOOKUP(C2921,基本字段定义!$B$3:$C$3008,2,FALSE)</f>
        <v>800</v>
      </c>
      <c r="E2921" s="88" t="s">
        <v>339</v>
      </c>
      <c r="F2921" s="89"/>
      <c r="G2921" s="90" t="s">
        <v>1608</v>
      </c>
    </row>
    <row r="2922" spans="2:7">
      <c r="B2922" s="268"/>
      <c r="C2922" s="71" t="s">
        <v>588</v>
      </c>
      <c r="D2922" s="66">
        <f>VLOOKUP(C2922,基本字段定义!$B$3:$C$3008,2,FALSE)</f>
        <v>763</v>
      </c>
      <c r="E2922" s="73" t="s">
        <v>339</v>
      </c>
      <c r="F2922" s="79"/>
      <c r="G2922" s="74" t="s">
        <v>1609</v>
      </c>
    </row>
    <row r="2924" spans="2:7">
      <c r="B2924" s="53" t="s">
        <v>146</v>
      </c>
      <c r="C2924" s="80">
        <v>305009</v>
      </c>
      <c r="D2924" s="81"/>
      <c r="E2924" s="82"/>
      <c r="F2924" s="54" t="s">
        <v>326</v>
      </c>
      <c r="G2924" s="141">
        <v>20130114</v>
      </c>
    </row>
    <row r="2925" spans="2:7">
      <c r="B2925" s="56" t="s">
        <v>327</v>
      </c>
      <c r="C2925" s="83" t="s">
        <v>271</v>
      </c>
      <c r="D2925" s="84"/>
      <c r="E2925" s="85"/>
      <c r="F2925" s="142" t="s">
        <v>148</v>
      </c>
      <c r="G2925" s="58" t="s">
        <v>152</v>
      </c>
    </row>
    <row r="2926" spans="2:7" ht="25.5">
      <c r="B2926" s="266" t="s">
        <v>328</v>
      </c>
      <c r="C2926" s="95" t="s">
        <v>271</v>
      </c>
      <c r="D2926" s="96"/>
      <c r="E2926" s="96"/>
      <c r="F2926" s="96"/>
      <c r="G2926" s="97"/>
    </row>
    <row r="2927" spans="2:7">
      <c r="B2927" s="267"/>
      <c r="C2927" s="98"/>
      <c r="D2927" s="99"/>
      <c r="E2927" s="99"/>
      <c r="F2927" s="99"/>
      <c r="G2927" s="100"/>
    </row>
    <row r="2928" spans="2:7">
      <c r="B2928" s="287" t="s">
        <v>329</v>
      </c>
      <c r="C2928" s="54" t="s">
        <v>330</v>
      </c>
      <c r="D2928" s="54" t="s">
        <v>331</v>
      </c>
      <c r="E2928" s="54" t="s">
        <v>332</v>
      </c>
      <c r="F2928" s="54" t="s">
        <v>333</v>
      </c>
      <c r="G2928" s="60" t="s">
        <v>334</v>
      </c>
    </row>
    <row r="2929" spans="2:7">
      <c r="B2929" s="267"/>
      <c r="C2929" s="61" t="s">
        <v>1052</v>
      </c>
      <c r="D2929" s="66">
        <f>VLOOKUP(C2929,基本字段定义!$B$3:$C$3008,2,FALSE)</f>
        <v>9228</v>
      </c>
      <c r="E2929" s="63" t="s">
        <v>403</v>
      </c>
      <c r="F2929" s="63"/>
      <c r="G2929" s="64" t="s">
        <v>1053</v>
      </c>
    </row>
    <row r="2930" spans="2:7">
      <c r="B2930" s="267"/>
      <c r="C2930" s="61" t="s">
        <v>1028</v>
      </c>
      <c r="D2930" s="66">
        <f>VLOOKUP(C2930,基本字段定义!$B$3:$C$3008,2,FALSE)</f>
        <v>9198</v>
      </c>
      <c r="E2930" s="63" t="s">
        <v>362</v>
      </c>
      <c r="F2930" s="63"/>
      <c r="G2930" s="64" t="s">
        <v>1610</v>
      </c>
    </row>
    <row r="2931" spans="2:7">
      <c r="B2931" s="267"/>
      <c r="C2931" s="61" t="s">
        <v>739</v>
      </c>
      <c r="D2931" s="66">
        <f>VLOOKUP(C2931,基本字段定义!$B$3:$C$3008,2,FALSE)</f>
        <v>9129</v>
      </c>
      <c r="E2931" s="63" t="s">
        <v>480</v>
      </c>
      <c r="F2931" s="63"/>
      <c r="G2931" s="64" t="s">
        <v>740</v>
      </c>
    </row>
    <row r="2932" spans="2:7" ht="25.5">
      <c r="B2932" s="267"/>
      <c r="C2932" s="61" t="s">
        <v>1042</v>
      </c>
      <c r="D2932" s="66">
        <f>VLOOKUP(C2932,基本字段定义!$B$3:$C$3008,2,FALSE)</f>
        <v>874</v>
      </c>
      <c r="E2932" s="63" t="s">
        <v>337</v>
      </c>
      <c r="F2932" s="63"/>
      <c r="G2932" s="86" t="s">
        <v>1611</v>
      </c>
    </row>
    <row r="2933" spans="2:7">
      <c r="B2933" s="267"/>
      <c r="C2933" s="61" t="s">
        <v>1110</v>
      </c>
      <c r="D2933" s="66">
        <f>VLOOKUP(C2933,基本字段定义!$B$3:$C$3008,2,FALSE)</f>
        <v>1240</v>
      </c>
      <c r="E2933" s="63" t="s">
        <v>339</v>
      </c>
      <c r="F2933" s="63"/>
      <c r="G2933" s="64" t="s">
        <v>1612</v>
      </c>
    </row>
    <row r="2934" spans="2:7">
      <c r="B2934" s="266" t="s">
        <v>335</v>
      </c>
      <c r="C2934" s="65" t="s">
        <v>1028</v>
      </c>
      <c r="D2934" s="66">
        <f>VLOOKUP(C2934,基本字段定义!$B$3:$C$3008,2,FALSE)</f>
        <v>9198</v>
      </c>
      <c r="E2934" s="67" t="s">
        <v>362</v>
      </c>
      <c r="F2934" s="66"/>
      <c r="G2934" s="69" t="s">
        <v>1062</v>
      </c>
    </row>
    <row r="2935" spans="2:7">
      <c r="B2935" s="267"/>
      <c r="C2935" s="65" t="s">
        <v>1052</v>
      </c>
      <c r="D2935" s="66">
        <f>VLOOKUP(C2935,基本字段定义!$B$3:$C$3008,2,FALSE)</f>
        <v>9228</v>
      </c>
      <c r="E2935" s="67" t="s">
        <v>403</v>
      </c>
      <c r="F2935" s="66"/>
      <c r="G2935" s="69" t="s">
        <v>1613</v>
      </c>
    </row>
    <row r="2936" spans="2:7">
      <c r="B2936" s="267"/>
      <c r="C2936" s="65" t="s">
        <v>739</v>
      </c>
      <c r="D2936" s="66">
        <f>VLOOKUP(C2936,基本字段定义!$B$3:$C$3008,2,FALSE)</f>
        <v>9129</v>
      </c>
      <c r="E2936" s="67" t="s">
        <v>480</v>
      </c>
      <c r="F2936" s="66"/>
      <c r="G2936" s="69" t="s">
        <v>740</v>
      </c>
    </row>
    <row r="2937" spans="2:7" ht="25.5">
      <c r="B2937" s="267"/>
      <c r="C2937" s="65" t="s">
        <v>1042</v>
      </c>
      <c r="D2937" s="66">
        <f>VLOOKUP(C2937,基本字段定义!$B$3:$C$3008,2,FALSE)</f>
        <v>874</v>
      </c>
      <c r="E2937" s="67" t="s">
        <v>337</v>
      </c>
      <c r="F2937" s="66"/>
      <c r="G2937" s="70" t="s">
        <v>1611</v>
      </c>
    </row>
    <row r="2938" spans="2:7">
      <c r="B2938" s="267"/>
      <c r="C2938" s="87" t="s">
        <v>1110</v>
      </c>
      <c r="D2938" s="66">
        <f>VLOOKUP(C2938,基本字段定义!$B$3:$C$3008,2,FALSE)</f>
        <v>1240</v>
      </c>
      <c r="E2938" s="88" t="s">
        <v>339</v>
      </c>
      <c r="F2938" s="89"/>
      <c r="G2938" s="90" t="s">
        <v>941</v>
      </c>
    </row>
    <row r="2939" spans="2:7">
      <c r="B2939" s="267"/>
      <c r="C2939" s="87" t="s">
        <v>492</v>
      </c>
      <c r="D2939" s="66">
        <f>VLOOKUP(C2939,基本字段定义!$B$3:$C$3008,2,FALSE)</f>
        <v>981</v>
      </c>
      <c r="E2939" s="88" t="s">
        <v>339</v>
      </c>
      <c r="F2939" s="89"/>
      <c r="G2939" s="90" t="s">
        <v>493</v>
      </c>
    </row>
    <row r="2940" spans="2:7">
      <c r="B2940" s="267"/>
      <c r="C2940" s="87" t="s">
        <v>1057</v>
      </c>
      <c r="D2940" s="66">
        <f>VLOOKUP(C2940,基本字段定义!$B$3:$C$3008,2,FALSE)</f>
        <v>9248</v>
      </c>
      <c r="E2940" s="88" t="s">
        <v>537</v>
      </c>
      <c r="F2940" s="89"/>
      <c r="G2940" s="90" t="s">
        <v>1614</v>
      </c>
    </row>
    <row r="2941" spans="2:7">
      <c r="B2941" s="267"/>
      <c r="C2941" s="87" t="s">
        <v>807</v>
      </c>
      <c r="D2941" s="66">
        <f>VLOOKUP(C2941,基本字段定义!$B$3:$C$3008,2,FALSE)</f>
        <v>1235</v>
      </c>
      <c r="E2941" s="88" t="s">
        <v>339</v>
      </c>
      <c r="F2941" s="89"/>
      <c r="G2941" s="90" t="s">
        <v>1615</v>
      </c>
    </row>
    <row r="2942" spans="2:7">
      <c r="B2942" s="267"/>
      <c r="C2942" s="87" t="s">
        <v>1059</v>
      </c>
      <c r="D2942" s="66">
        <f>VLOOKUP(C2942,基本字段定义!$B$3:$C$3008,2,FALSE)</f>
        <v>9237</v>
      </c>
      <c r="E2942" s="88" t="s">
        <v>398</v>
      </c>
      <c r="F2942" s="89"/>
      <c r="G2942" s="90" t="s">
        <v>1060</v>
      </c>
    </row>
    <row r="2943" spans="2:7">
      <c r="B2943" s="267"/>
      <c r="C2943" s="87" t="s">
        <v>336</v>
      </c>
      <c r="D2943" s="66">
        <f>VLOOKUP(C2943,基本字段定义!$B$3:$C$3008,2,FALSE)</f>
        <v>507</v>
      </c>
      <c r="E2943" s="88" t="s">
        <v>339</v>
      </c>
      <c r="F2943" s="89"/>
      <c r="G2943" s="90" t="s">
        <v>1209</v>
      </c>
    </row>
    <row r="2944" spans="2:7">
      <c r="B2944" s="268"/>
      <c r="C2944" s="71" t="s">
        <v>338</v>
      </c>
      <c r="D2944" s="66">
        <f>VLOOKUP(C2944,基本字段定义!$B$3:$C$3008,2,FALSE)</f>
        <v>508</v>
      </c>
      <c r="E2944" s="73" t="s">
        <v>339</v>
      </c>
      <c r="F2944" s="79"/>
      <c r="G2944" s="74" t="s">
        <v>1597</v>
      </c>
    </row>
    <row r="2946" spans="2:7">
      <c r="B2946" s="53" t="s">
        <v>146</v>
      </c>
      <c r="C2946" s="80">
        <v>145009</v>
      </c>
      <c r="D2946" s="81"/>
      <c r="E2946" s="82"/>
      <c r="F2946" s="54" t="s">
        <v>326</v>
      </c>
      <c r="G2946" s="55"/>
    </row>
    <row r="2947" spans="2:7">
      <c r="B2947" s="56" t="s">
        <v>327</v>
      </c>
      <c r="C2947" s="83" t="str">
        <f>VLOOKUP(C2946,功能索引!$C$3:$D$269,2,FALSE)</f>
        <v>修改定期定额申购协议</v>
      </c>
      <c r="D2947" s="84"/>
      <c r="E2947" s="85"/>
      <c r="F2947" s="57" t="s">
        <v>148</v>
      </c>
      <c r="G2947" s="58">
        <f>VLOOKUP(C2946,功能索引!$C$3:$E3316,3,FALSE)</f>
        <v>0</v>
      </c>
    </row>
    <row r="2948" spans="2:7">
      <c r="B2948" s="269" t="s">
        <v>328</v>
      </c>
      <c r="C2948" s="95"/>
      <c r="D2948" s="96"/>
      <c r="E2948" s="96"/>
      <c r="F2948" s="96"/>
      <c r="G2948" s="97"/>
    </row>
    <row r="2949" spans="2:7">
      <c r="B2949" s="270"/>
      <c r="C2949" s="98"/>
      <c r="D2949" s="99"/>
      <c r="E2949" s="99"/>
      <c r="F2949" s="99"/>
      <c r="G2949" s="100"/>
    </row>
    <row r="2950" spans="2:7">
      <c r="B2950" s="271" t="s">
        <v>329</v>
      </c>
      <c r="C2950" s="54" t="s">
        <v>330</v>
      </c>
      <c r="D2950" s="54" t="s">
        <v>331</v>
      </c>
      <c r="E2950" s="54" t="s">
        <v>332</v>
      </c>
      <c r="F2950" s="54" t="s">
        <v>333</v>
      </c>
      <c r="G2950" s="60" t="s">
        <v>334</v>
      </c>
    </row>
    <row r="2951" spans="2:7">
      <c r="B2951" s="269"/>
      <c r="C2951" s="61" t="s">
        <v>402</v>
      </c>
      <c r="D2951" s="62">
        <f>VLOOKUP(C2951,基本字段定义!$B$3:$C$3008,2,FALSE)</f>
        <v>605</v>
      </c>
      <c r="E2951" s="63" t="s">
        <v>403</v>
      </c>
      <c r="F2951" s="63" t="s">
        <v>152</v>
      </c>
      <c r="G2951" s="64" t="s">
        <v>404</v>
      </c>
    </row>
    <row r="2952" spans="2:7">
      <c r="B2952" s="269"/>
      <c r="C2952" s="61" t="s">
        <v>470</v>
      </c>
      <c r="D2952" s="62">
        <f>VLOOKUP(C2952,基本字段定义!$B$3:$C$3008,2,FALSE)</f>
        <v>730</v>
      </c>
      <c r="E2952" s="63" t="s">
        <v>471</v>
      </c>
      <c r="F2952" s="63" t="s">
        <v>152</v>
      </c>
      <c r="G2952" s="64" t="s">
        <v>1616</v>
      </c>
    </row>
    <row r="2953" spans="2:7">
      <c r="B2953" s="269"/>
      <c r="C2953" s="61" t="s">
        <v>1092</v>
      </c>
      <c r="D2953" s="62">
        <f>VLOOKUP(C2953,基本字段定义!$B$3:$C$3008,2,FALSE)</f>
        <v>1077</v>
      </c>
      <c r="E2953" s="63" t="s">
        <v>1322</v>
      </c>
      <c r="F2953" s="63" t="s">
        <v>152</v>
      </c>
      <c r="G2953" s="64" t="s">
        <v>1093</v>
      </c>
    </row>
    <row r="2954" spans="2:7">
      <c r="B2954" s="269"/>
      <c r="C2954" s="61" t="s">
        <v>1617</v>
      </c>
      <c r="D2954" s="62">
        <f>VLOOKUP(C2952,基本字段定义!$B$3:$C$3008,2,FALSE)</f>
        <v>730</v>
      </c>
      <c r="E2954" s="63" t="s">
        <v>1322</v>
      </c>
      <c r="F2954" s="63" t="s">
        <v>152</v>
      </c>
      <c r="G2954" s="64" t="s">
        <v>1618</v>
      </c>
    </row>
    <row r="2955" spans="2:7">
      <c r="B2955" s="269"/>
      <c r="C2955" s="61" t="s">
        <v>1098</v>
      </c>
      <c r="D2955" s="62">
        <f>VLOOKUP(C2955,基本字段定义!$B$3:$C$3008,2,FALSE)</f>
        <v>9254</v>
      </c>
      <c r="E2955" s="63" t="s">
        <v>1561</v>
      </c>
      <c r="F2955" s="63" t="s">
        <v>152</v>
      </c>
      <c r="G2955" s="64" t="s">
        <v>1619</v>
      </c>
    </row>
    <row r="2956" spans="2:7">
      <c r="B2956" s="269"/>
      <c r="C2956" s="61" t="s">
        <v>1028</v>
      </c>
      <c r="D2956" s="62">
        <f>VLOOKUP(C2956,基本字段定义!$B$3:$C$3008,2,FALSE)</f>
        <v>9198</v>
      </c>
      <c r="E2956" s="63" t="s">
        <v>362</v>
      </c>
      <c r="F2956" s="63" t="s">
        <v>152</v>
      </c>
      <c r="G2956" s="64" t="s">
        <v>1062</v>
      </c>
    </row>
    <row r="2957" spans="2:7">
      <c r="B2957" s="269"/>
      <c r="C2957" s="61" t="s">
        <v>739</v>
      </c>
      <c r="D2957" s="62">
        <f>VLOOKUP(C2957,基本字段定义!$B$3:$C$3008,2,FALSE)</f>
        <v>9129</v>
      </c>
      <c r="E2957" s="63" t="s">
        <v>480</v>
      </c>
      <c r="F2957" s="63" t="s">
        <v>152</v>
      </c>
      <c r="G2957" s="64" t="s">
        <v>740</v>
      </c>
    </row>
    <row r="2958" spans="2:7">
      <c r="B2958" s="269"/>
      <c r="C2958" s="61" t="s">
        <v>1052</v>
      </c>
      <c r="D2958" s="62">
        <f>VLOOKUP(C2958,基本字段定义!$B$3:$C$3008,2,FALSE)</f>
        <v>9228</v>
      </c>
      <c r="E2958" s="63" t="s">
        <v>609</v>
      </c>
      <c r="F2958" s="63" t="s">
        <v>152</v>
      </c>
      <c r="G2958" s="64" t="s">
        <v>1620</v>
      </c>
    </row>
    <row r="2959" spans="2:7">
      <c r="B2959" s="269"/>
      <c r="C2959" s="61" t="s">
        <v>1086</v>
      </c>
      <c r="D2959" s="62">
        <f>VLOOKUP(C2959,基本字段定义!$B$3:$C$3008,2,FALSE)</f>
        <v>9245</v>
      </c>
      <c r="E2959" s="63" t="s">
        <v>480</v>
      </c>
      <c r="F2959" s="63" t="s">
        <v>152</v>
      </c>
      <c r="G2959" s="64" t="s">
        <v>1087</v>
      </c>
    </row>
    <row r="2960" spans="2:7">
      <c r="B2960" s="269"/>
      <c r="C2960" s="61" t="s">
        <v>484</v>
      </c>
      <c r="D2960" s="62">
        <f>VLOOKUP(C2960,基本字段定义!$B$3:$C$3008,2,FALSE)</f>
        <v>618</v>
      </c>
      <c r="E2960" s="63" t="s">
        <v>1322</v>
      </c>
      <c r="F2960" s="63" t="s">
        <v>152</v>
      </c>
      <c r="G2960" s="64" t="s">
        <v>1101</v>
      </c>
    </row>
    <row r="2961" spans="2:7">
      <c r="B2961" s="269"/>
      <c r="C2961" s="61" t="s">
        <v>1042</v>
      </c>
      <c r="D2961" s="62">
        <f>VLOOKUP(C2961,基本字段定义!$B$3:$C$3008,2,FALSE)</f>
        <v>874</v>
      </c>
      <c r="E2961" s="63" t="s">
        <v>1621</v>
      </c>
      <c r="F2961" s="63" t="s">
        <v>152</v>
      </c>
      <c r="G2961" s="64" t="s">
        <v>1622</v>
      </c>
    </row>
    <row r="2962" spans="2:7">
      <c r="B2962" s="269"/>
      <c r="C2962" s="61" t="s">
        <v>486</v>
      </c>
      <c r="D2962" s="62">
        <f>VLOOKUP(C2962,基本字段定义!$B$3:$C$3008,2,FALSE)</f>
        <v>590</v>
      </c>
      <c r="E2962" s="63" t="s">
        <v>1322</v>
      </c>
      <c r="F2962" s="63" t="s">
        <v>152</v>
      </c>
      <c r="G2962" s="64" t="s">
        <v>1623</v>
      </c>
    </row>
    <row r="2963" spans="2:7">
      <c r="B2963" s="269"/>
      <c r="C2963" s="61"/>
      <c r="D2963" s="62"/>
      <c r="E2963" s="63"/>
      <c r="F2963" s="63"/>
      <c r="G2963" s="64"/>
    </row>
    <row r="2964" spans="2:7">
      <c r="B2964" s="266" t="s">
        <v>335</v>
      </c>
      <c r="C2964" s="87" t="s">
        <v>336</v>
      </c>
      <c r="D2964" s="66">
        <f>VLOOKUP(C2964,基本字段定义!$B$3:$C$3008,2,FALSE)</f>
        <v>507</v>
      </c>
      <c r="E2964" s="88" t="s">
        <v>339</v>
      </c>
      <c r="F2964" s="89"/>
      <c r="G2964" s="90" t="s">
        <v>1209</v>
      </c>
    </row>
    <row r="2965" spans="2:7">
      <c r="B2965" s="267"/>
      <c r="C2965" s="71" t="s">
        <v>338</v>
      </c>
      <c r="D2965" s="66">
        <f>VLOOKUP(C2965,基本字段定义!$B$3:$C$3008,2,FALSE)</f>
        <v>508</v>
      </c>
      <c r="E2965" s="73" t="s">
        <v>339</v>
      </c>
      <c r="F2965" s="79"/>
      <c r="G2965" s="74" t="s">
        <v>1597</v>
      </c>
    </row>
    <row r="2966" spans="2:7">
      <c r="B2966" s="267"/>
      <c r="C2966" s="65" t="s">
        <v>575</v>
      </c>
      <c r="D2966" s="66">
        <f>VLOOKUP(C2966,基本字段定义!$B$3:$C$3008,2,FALSE)</f>
        <v>797</v>
      </c>
      <c r="E2966" s="67" t="s">
        <v>339</v>
      </c>
      <c r="F2966" s="67"/>
      <c r="G2966" s="68" t="s">
        <v>1624</v>
      </c>
    </row>
    <row r="2967" spans="2:7">
      <c r="B2967" s="268"/>
      <c r="C2967" s="71"/>
      <c r="D2967" s="79"/>
      <c r="E2967" s="73"/>
      <c r="F2967" s="73"/>
      <c r="G2967" s="74"/>
    </row>
    <row r="2969" spans="2:7">
      <c r="B2969" s="53" t="s">
        <v>146</v>
      </c>
      <c r="C2969" s="80">
        <v>104044</v>
      </c>
      <c r="D2969" s="81"/>
      <c r="E2969" s="82"/>
      <c r="F2969" s="54" t="s">
        <v>326</v>
      </c>
      <c r="G2969" s="55"/>
    </row>
    <row r="2970" spans="2:7">
      <c r="B2970" s="56" t="s">
        <v>327</v>
      </c>
      <c r="C2970" s="83" t="str">
        <f>VLOOKUP(C2969,功能索引!$C$3:$D$269,2,FALSE)</f>
        <v>查询基金行情信息</v>
      </c>
      <c r="D2970" s="84"/>
      <c r="E2970" s="85"/>
      <c r="F2970" s="57" t="s">
        <v>148</v>
      </c>
      <c r="G2970" s="58" t="str">
        <f>VLOOKUP(C2969,功能索引!$C$3:$E3339,3,FALSE)</f>
        <v>Y</v>
      </c>
    </row>
    <row r="2971" spans="2:7">
      <c r="B2971" s="269" t="s">
        <v>328</v>
      </c>
      <c r="C2971" s="95"/>
      <c r="D2971" s="96"/>
      <c r="E2971" s="96"/>
      <c r="F2971" s="96"/>
      <c r="G2971" s="97"/>
    </row>
    <row r="2972" spans="2:7">
      <c r="B2972" s="270"/>
      <c r="C2972" s="98"/>
      <c r="D2972" s="99"/>
      <c r="E2972" s="99"/>
      <c r="F2972" s="99"/>
      <c r="G2972" s="100"/>
    </row>
    <row r="2973" spans="2:7">
      <c r="B2973" s="271" t="s">
        <v>329</v>
      </c>
      <c r="C2973" s="54" t="s">
        <v>330</v>
      </c>
      <c r="D2973" s="54" t="s">
        <v>331</v>
      </c>
      <c r="E2973" s="54" t="s">
        <v>332</v>
      </c>
      <c r="F2973" s="54" t="s">
        <v>333</v>
      </c>
      <c r="G2973" s="60" t="s">
        <v>334</v>
      </c>
    </row>
    <row r="2974" spans="2:7">
      <c r="B2974" s="269"/>
      <c r="C2974" s="61" t="s">
        <v>361</v>
      </c>
      <c r="D2974" s="62">
        <f>VLOOKUP(C2974,基本字段定义!$B$3:$C$3008,2,FALSE)</f>
        <v>599</v>
      </c>
      <c r="E2974" s="63" t="s">
        <v>362</v>
      </c>
      <c r="F2974" s="63" t="s">
        <v>337</v>
      </c>
      <c r="G2974" s="64" t="s">
        <v>404</v>
      </c>
    </row>
    <row r="2975" spans="2:7">
      <c r="B2975" s="269"/>
      <c r="C2975" s="61" t="s">
        <v>640</v>
      </c>
      <c r="D2975" s="62">
        <f>VLOOKUP(C2975,基本字段定义!$B$3:$C$3008,2,FALSE)</f>
        <v>719</v>
      </c>
      <c r="E2975" s="63" t="s">
        <v>480</v>
      </c>
      <c r="F2975" s="63" t="s">
        <v>337</v>
      </c>
      <c r="G2975" s="64" t="s">
        <v>1616</v>
      </c>
    </row>
    <row r="2976" spans="2:7">
      <c r="B2976" s="269"/>
      <c r="C2976" s="61" t="s">
        <v>559</v>
      </c>
      <c r="D2976" s="62">
        <f>VLOOKUP(C2976,基本字段定义!$B$3:$C$3008,2,FALSE)</f>
        <v>9020</v>
      </c>
      <c r="E2976" s="63" t="s">
        <v>337</v>
      </c>
      <c r="F2976" s="63" t="s">
        <v>337</v>
      </c>
      <c r="G2976" s="64" t="s">
        <v>1093</v>
      </c>
    </row>
    <row r="2977" spans="2:7">
      <c r="B2977" s="269"/>
      <c r="C2977" s="61"/>
      <c r="D2977" s="62"/>
      <c r="E2977" s="63"/>
      <c r="F2977" s="63"/>
      <c r="G2977" s="64"/>
    </row>
    <row r="2978" spans="2:7">
      <c r="B2978" s="266" t="s">
        <v>335</v>
      </c>
      <c r="C2978" s="87" t="s">
        <v>336</v>
      </c>
      <c r="D2978" s="66">
        <f>VLOOKUP(C2978,基本字段定义!$B$3:$C$3008,2,FALSE)</f>
        <v>507</v>
      </c>
      <c r="E2978" s="88" t="s">
        <v>339</v>
      </c>
      <c r="F2978" s="89"/>
      <c r="G2978" s="90" t="s">
        <v>1209</v>
      </c>
    </row>
    <row r="2979" spans="2:7">
      <c r="B2979" s="267"/>
      <c r="C2979" s="65" t="s">
        <v>338</v>
      </c>
      <c r="D2979" s="66">
        <f>VLOOKUP(C2979,基本字段定义!$B$3:$C$3008,2,FALSE)</f>
        <v>508</v>
      </c>
      <c r="E2979" s="67" t="s">
        <v>339</v>
      </c>
      <c r="F2979" s="66"/>
      <c r="G2979" s="69" t="s">
        <v>1597</v>
      </c>
    </row>
    <row r="2980" spans="2:7">
      <c r="B2980" s="267"/>
      <c r="C2980" s="148" t="s">
        <v>361</v>
      </c>
      <c r="D2980" s="66">
        <f>VLOOKUP(C2980,基本字段定义!$B$3:$C$3008,2,FALSE)</f>
        <v>599</v>
      </c>
      <c r="E2980" s="145" t="s">
        <v>339</v>
      </c>
      <c r="F2980" s="145"/>
      <c r="G2980" s="149" t="s">
        <v>363</v>
      </c>
    </row>
    <row r="2981" spans="2:7">
      <c r="B2981" s="267"/>
      <c r="C2981" s="87" t="s">
        <v>640</v>
      </c>
      <c r="D2981" s="89">
        <f>VLOOKUP(C2981,基本字段定义!$B$3:$C$3008,2,FALSE)</f>
        <v>719</v>
      </c>
      <c r="E2981" s="88" t="s">
        <v>339</v>
      </c>
      <c r="F2981" s="88"/>
      <c r="G2981" s="150" t="s">
        <v>657</v>
      </c>
    </row>
    <row r="2982" spans="2:7">
      <c r="B2982" s="267"/>
      <c r="C2982" s="87" t="s">
        <v>739</v>
      </c>
      <c r="D2982" s="89">
        <f>VLOOKUP(C2982,基本字段定义!$B$3:$C$3008,2,FALSE)</f>
        <v>9129</v>
      </c>
      <c r="E2982" s="88" t="s">
        <v>480</v>
      </c>
      <c r="F2982" s="88"/>
      <c r="G2982" s="150" t="s">
        <v>740</v>
      </c>
    </row>
    <row r="2983" spans="2:7">
      <c r="B2983" s="267"/>
      <c r="C2983" s="87" t="s">
        <v>1625</v>
      </c>
      <c r="D2983" s="89">
        <f>VLOOKUP(C2983,基本字段定义!$B$3:$C$3008,2,FALSE)</f>
        <v>4011</v>
      </c>
      <c r="E2983" s="88" t="s">
        <v>339</v>
      </c>
      <c r="F2983" s="88"/>
      <c r="G2983" s="150" t="s">
        <v>1626</v>
      </c>
    </row>
    <row r="2984" spans="2:7">
      <c r="B2984" s="267"/>
      <c r="C2984" s="87" t="s">
        <v>1331</v>
      </c>
      <c r="D2984" s="89">
        <f>VLOOKUP(C2984,基本字段定义!$B$3:$C$3008,2,FALSE)</f>
        <v>9061</v>
      </c>
      <c r="E2984" s="88" t="s">
        <v>339</v>
      </c>
      <c r="F2984" s="88"/>
      <c r="G2984" s="150" t="s">
        <v>1463</v>
      </c>
    </row>
    <row r="2985" spans="2:7">
      <c r="B2985" s="267"/>
      <c r="C2985" s="87" t="s">
        <v>1037</v>
      </c>
      <c r="D2985" s="89">
        <f>VLOOKUP(C2985,基本字段定义!$B$3:$C$3008,2,FALSE)</f>
        <v>9202</v>
      </c>
      <c r="E2985" s="88" t="s">
        <v>339</v>
      </c>
      <c r="F2985" s="88"/>
      <c r="G2985" s="150" t="s">
        <v>744</v>
      </c>
    </row>
    <row r="2986" spans="2:7">
      <c r="B2986" s="267"/>
      <c r="C2986" s="87" t="s">
        <v>1627</v>
      </c>
      <c r="D2986" s="89">
        <f>VLOOKUP(C2986,基本字段定义!$B$3:$C$3008,2,FALSE)</f>
        <v>2514</v>
      </c>
      <c r="E2986" s="88" t="s">
        <v>339</v>
      </c>
      <c r="F2986" s="88"/>
      <c r="G2986" s="150" t="s">
        <v>1628</v>
      </c>
    </row>
    <row r="2987" spans="2:7">
      <c r="B2987" s="267"/>
      <c r="C2987" s="87" t="s">
        <v>534</v>
      </c>
      <c r="D2987" s="89">
        <f>VLOOKUP(C2987,基本字段定义!$B$3:$C$3008,2,FALSE)</f>
        <v>710</v>
      </c>
      <c r="E2987" s="88" t="s">
        <v>339</v>
      </c>
      <c r="F2987" s="88"/>
      <c r="G2987" s="150" t="s">
        <v>1629</v>
      </c>
    </row>
    <row r="2988" spans="2:7">
      <c r="B2988" s="267"/>
      <c r="C2988" s="87" t="s">
        <v>1175</v>
      </c>
      <c r="D2988" s="89">
        <f>VLOOKUP(C2988,基本字段定义!$B$3:$C$3008,2,FALSE)</f>
        <v>1695</v>
      </c>
      <c r="E2988" s="88" t="s">
        <v>339</v>
      </c>
      <c r="F2988" s="88"/>
      <c r="G2988" s="150" t="s">
        <v>1176</v>
      </c>
    </row>
    <row r="2989" spans="2:7">
      <c r="B2989" s="267"/>
      <c r="C2989" s="87" t="s">
        <v>1040</v>
      </c>
      <c r="D2989" s="89">
        <f>VLOOKUP(C2989,基本字段定义!$B$3:$C$3008,2,FALSE)</f>
        <v>9204</v>
      </c>
      <c r="E2989" s="88" t="s">
        <v>339</v>
      </c>
      <c r="F2989" s="88"/>
      <c r="G2989" s="150" t="s">
        <v>1041</v>
      </c>
    </row>
    <row r="2990" spans="2:7">
      <c r="B2990" s="267"/>
      <c r="C2990" s="87" t="s">
        <v>1044</v>
      </c>
      <c r="D2990" s="89">
        <f>VLOOKUP(C2990,基本字段定义!$B$3:$C$3008,2,FALSE)</f>
        <v>9322</v>
      </c>
      <c r="E2990" s="88" t="s">
        <v>339</v>
      </c>
      <c r="F2990" s="88"/>
      <c r="G2990" s="150" t="s">
        <v>1045</v>
      </c>
    </row>
    <row r="2991" spans="2:7">
      <c r="B2991" s="267"/>
      <c r="C2991" s="87" t="s">
        <v>1630</v>
      </c>
      <c r="D2991" s="89">
        <f>VLOOKUP(C2991,基本字段定义!$B$3:$C$3008,2,FALSE)</f>
        <v>2044</v>
      </c>
      <c r="E2991" s="88" t="s">
        <v>339</v>
      </c>
      <c r="F2991" s="88"/>
      <c r="G2991" s="150" t="s">
        <v>1631</v>
      </c>
    </row>
    <row r="2992" spans="2:7">
      <c r="B2992" s="267"/>
      <c r="C2992" s="87" t="s">
        <v>1632</v>
      </c>
      <c r="D2992" s="89">
        <f>VLOOKUP(C2992,基本字段定义!$B$3:$C$3008,2,FALSE)</f>
        <v>2045</v>
      </c>
      <c r="E2992" s="88" t="s">
        <v>339</v>
      </c>
      <c r="F2992" s="88"/>
      <c r="G2992" s="150" t="s">
        <v>1633</v>
      </c>
    </row>
    <row r="2993" spans="2:7">
      <c r="B2993" s="267"/>
      <c r="C2993" s="87" t="s">
        <v>1028</v>
      </c>
      <c r="D2993" s="89">
        <f>VLOOKUP(C2993,基本字段定义!$B$3:$C$3008,2,FALSE)</f>
        <v>9198</v>
      </c>
      <c r="E2993" s="88" t="s">
        <v>339</v>
      </c>
      <c r="F2993" s="88"/>
      <c r="G2993" s="150" t="s">
        <v>1062</v>
      </c>
    </row>
    <row r="2994" spans="2:7">
      <c r="B2994" s="267"/>
      <c r="C2994" s="87" t="s">
        <v>1088</v>
      </c>
      <c r="D2994" s="89">
        <f>VLOOKUP(C2994,基本字段定义!$B$3:$C$3008,2,FALSE)</f>
        <v>642</v>
      </c>
      <c r="E2994" s="88" t="s">
        <v>339</v>
      </c>
      <c r="F2994" s="88"/>
      <c r="G2994" s="150" t="s">
        <v>1634</v>
      </c>
    </row>
    <row r="2995" spans="2:7">
      <c r="B2995" s="268"/>
      <c r="C2995" s="71" t="s">
        <v>1635</v>
      </c>
      <c r="D2995" s="79">
        <f>VLOOKUP(C2995,基本字段定义!$B$3:$C$3008,2,FALSE)</f>
        <v>1501</v>
      </c>
      <c r="E2995" s="73" t="s">
        <v>339</v>
      </c>
      <c r="F2995" s="73"/>
      <c r="G2995" s="74" t="s">
        <v>1636</v>
      </c>
    </row>
    <row r="2997" spans="2:7">
      <c r="B2997" s="53" t="s">
        <v>146</v>
      </c>
      <c r="C2997" s="80">
        <v>302050</v>
      </c>
      <c r="D2997" s="81"/>
      <c r="E2997" s="82"/>
      <c r="F2997" s="54" t="s">
        <v>326</v>
      </c>
      <c r="G2997" s="55"/>
    </row>
    <row r="2998" spans="2:7">
      <c r="B2998" s="56" t="s">
        <v>327</v>
      </c>
      <c r="C2998" s="83" t="s">
        <v>166</v>
      </c>
      <c r="D2998" s="84"/>
      <c r="E2998" s="85"/>
      <c r="F2998" s="57" t="s">
        <v>148</v>
      </c>
      <c r="G2998" s="58">
        <v>0</v>
      </c>
    </row>
    <row r="2999" spans="2:7" ht="13.5" customHeight="1">
      <c r="B2999" s="269" t="s">
        <v>328</v>
      </c>
      <c r="C2999" s="95" t="s">
        <v>166</v>
      </c>
      <c r="D2999" s="96"/>
      <c r="E2999" s="96"/>
      <c r="F2999" s="96"/>
      <c r="G2999" s="97"/>
    </row>
    <row r="3000" spans="2:7">
      <c r="B3000" s="270"/>
      <c r="C3000" s="98"/>
      <c r="D3000" s="99"/>
      <c r="E3000" s="99"/>
      <c r="F3000" s="99"/>
      <c r="G3000" s="100"/>
    </row>
    <row r="3001" spans="2:7">
      <c r="B3001" s="269" t="s">
        <v>329</v>
      </c>
      <c r="C3001" s="54" t="s">
        <v>330</v>
      </c>
      <c r="D3001" s="54" t="s">
        <v>331</v>
      </c>
      <c r="E3001" s="54" t="s">
        <v>332</v>
      </c>
      <c r="F3001" s="54" t="s">
        <v>333</v>
      </c>
      <c r="G3001" s="60" t="s">
        <v>334</v>
      </c>
    </row>
    <row r="3002" spans="2:7">
      <c r="B3002" s="269"/>
      <c r="C3002" s="61" t="s">
        <v>402</v>
      </c>
      <c r="D3002" s="62">
        <f>VLOOKUP(C3002,基本字段定义!$B$3:$C$3008,2,FALSE)</f>
        <v>605</v>
      </c>
      <c r="E3002" s="63" t="s">
        <v>403</v>
      </c>
      <c r="F3002" s="63" t="s">
        <v>152</v>
      </c>
      <c r="G3002" s="64" t="s">
        <v>404</v>
      </c>
    </row>
    <row r="3003" spans="2:7">
      <c r="B3003" s="269"/>
      <c r="C3003" s="61" t="s">
        <v>524</v>
      </c>
      <c r="D3003" s="62">
        <f>VLOOKUP(C3003,基本字段定义!$B$3:$C$3008,2,FALSE)</f>
        <v>511</v>
      </c>
      <c r="E3003" s="63" t="s">
        <v>527</v>
      </c>
      <c r="F3003" s="63" t="s">
        <v>152</v>
      </c>
      <c r="G3003" s="64" t="s">
        <v>525</v>
      </c>
    </row>
    <row r="3004" spans="2:7">
      <c r="B3004" s="270"/>
      <c r="C3004" s="61" t="s">
        <v>470</v>
      </c>
      <c r="D3004" s="62">
        <f>VLOOKUP(C3004,基本字段定义!$B$3:$C$3008,2,FALSE)</f>
        <v>730</v>
      </c>
      <c r="E3004" s="63" t="s">
        <v>471</v>
      </c>
      <c r="F3004" s="63" t="s">
        <v>337</v>
      </c>
      <c r="G3004" s="64" t="s">
        <v>1492</v>
      </c>
    </row>
    <row r="3005" spans="2:7">
      <c r="B3005" s="266" t="s">
        <v>335</v>
      </c>
      <c r="C3005" s="65" t="s">
        <v>524</v>
      </c>
      <c r="D3005" s="66">
        <f>VLOOKUP(C3005,基本字段定义!$B$3:$C$3008,2,FALSE)</f>
        <v>511</v>
      </c>
      <c r="E3005" s="67" t="s">
        <v>527</v>
      </c>
      <c r="F3005" s="67"/>
      <c r="G3005" s="68" t="s">
        <v>525</v>
      </c>
    </row>
    <row r="3006" spans="2:7">
      <c r="B3006" s="267"/>
      <c r="C3006" s="65" t="s">
        <v>1637</v>
      </c>
      <c r="D3006" s="66">
        <f>VLOOKUP(C3006,基本字段定义!$B$3:$C$3008,2,FALSE)</f>
        <v>1770</v>
      </c>
      <c r="E3006" s="67" t="s">
        <v>1638</v>
      </c>
      <c r="F3006" s="67"/>
      <c r="G3006" s="68" t="s">
        <v>1639</v>
      </c>
    </row>
    <row r="3007" spans="2:7">
      <c r="B3007" s="267"/>
      <c r="C3007" s="65" t="s">
        <v>1640</v>
      </c>
      <c r="D3007" s="66">
        <f>VLOOKUP(C3007,基本字段定义!$B$3:$C$3008,2,FALSE)</f>
        <v>1201</v>
      </c>
      <c r="E3007" s="67" t="s">
        <v>1561</v>
      </c>
      <c r="F3007" s="67"/>
      <c r="G3007" s="68" t="s">
        <v>1641</v>
      </c>
    </row>
    <row r="3008" spans="2:7">
      <c r="B3008" s="267"/>
      <c r="C3008" s="65" t="s">
        <v>1242</v>
      </c>
      <c r="D3008" s="66">
        <f>VLOOKUP(C3008,基本字段定义!$B$3:$C$3008,2,FALSE)</f>
        <v>1202</v>
      </c>
      <c r="E3008" s="67" t="s">
        <v>1561</v>
      </c>
      <c r="F3008" s="67"/>
      <c r="G3008" s="69" t="s">
        <v>1642</v>
      </c>
    </row>
    <row r="3009" spans="2:7">
      <c r="B3009" s="267"/>
      <c r="C3009" s="65" t="s">
        <v>1643</v>
      </c>
      <c r="D3009" s="66">
        <f>VLOOKUP(C3009,基本字段定义!$B$3:$C$3008,2,FALSE)</f>
        <v>1060</v>
      </c>
      <c r="E3009" s="67" t="s">
        <v>1638</v>
      </c>
      <c r="F3009" s="67"/>
      <c r="G3009" s="69" t="s">
        <v>1644</v>
      </c>
    </row>
    <row r="3010" spans="2:7">
      <c r="B3010" s="267"/>
      <c r="C3010" s="65" t="s">
        <v>809</v>
      </c>
      <c r="D3010" s="66">
        <f>VLOOKUP(C3010,基本字段定义!$B$3:$C$3008,2,FALSE)</f>
        <v>568</v>
      </c>
      <c r="E3010" s="67" t="s">
        <v>1561</v>
      </c>
      <c r="F3010" s="67"/>
      <c r="G3010" s="69" t="s">
        <v>1645</v>
      </c>
    </row>
    <row r="3011" spans="2:7">
      <c r="B3011" s="268"/>
      <c r="C3011" s="151" t="s">
        <v>1405</v>
      </c>
      <c r="D3011" s="144">
        <f>VLOOKUP(C3011,基本字段定义!$B$3:$C$3008,2,FALSE)</f>
        <v>932</v>
      </c>
      <c r="E3011" s="152" t="s">
        <v>1561</v>
      </c>
      <c r="F3011" s="152"/>
      <c r="G3011" s="153" t="s">
        <v>1646</v>
      </c>
    </row>
    <row r="3013" spans="2:7">
      <c r="B3013" s="53" t="s">
        <v>146</v>
      </c>
      <c r="C3013" s="80">
        <v>104102</v>
      </c>
      <c r="D3013" s="81"/>
      <c r="E3013" s="82"/>
      <c r="F3013" s="54" t="s">
        <v>326</v>
      </c>
      <c r="G3013" s="55"/>
    </row>
    <row r="3014" spans="2:7">
      <c r="B3014" s="56" t="s">
        <v>327</v>
      </c>
      <c r="C3014" s="83" t="s">
        <v>234</v>
      </c>
      <c r="D3014" s="84"/>
      <c r="E3014" s="85"/>
      <c r="F3014" s="57" t="s">
        <v>148</v>
      </c>
      <c r="G3014" s="58">
        <v>0</v>
      </c>
    </row>
    <row r="3015" spans="2:7">
      <c r="B3015" s="269" t="s">
        <v>328</v>
      </c>
      <c r="C3015" s="95"/>
      <c r="D3015" s="96"/>
      <c r="E3015" s="96"/>
      <c r="F3015" s="96"/>
      <c r="G3015" s="97"/>
    </row>
    <row r="3016" spans="2:7">
      <c r="B3016" s="270"/>
      <c r="C3016" s="98"/>
      <c r="D3016" s="99"/>
      <c r="E3016" s="99"/>
      <c r="F3016" s="99"/>
      <c r="G3016" s="100"/>
    </row>
    <row r="3017" spans="2:7">
      <c r="B3017" s="269" t="s">
        <v>329</v>
      </c>
      <c r="C3017" s="54" t="s">
        <v>330</v>
      </c>
      <c r="D3017" s="54" t="s">
        <v>331</v>
      </c>
      <c r="E3017" s="54" t="s">
        <v>332</v>
      </c>
      <c r="F3017" s="54" t="s">
        <v>333</v>
      </c>
      <c r="G3017" s="60" t="s">
        <v>334</v>
      </c>
    </row>
    <row r="3018" spans="2:7">
      <c r="B3018" s="269"/>
      <c r="C3018" s="61" t="s">
        <v>1647</v>
      </c>
      <c r="D3018" s="62">
        <f>VLOOKUP(C3018,基本字段定义!$B$3:$C$3008,2,FALSE)</f>
        <v>1185</v>
      </c>
      <c r="E3018" s="63" t="s">
        <v>339</v>
      </c>
      <c r="F3018" s="63" t="s">
        <v>152</v>
      </c>
      <c r="G3018" s="64" t="s">
        <v>657</v>
      </c>
    </row>
    <row r="3019" spans="2:7">
      <c r="B3019" s="266" t="s">
        <v>335</v>
      </c>
      <c r="C3019" s="65" t="s">
        <v>361</v>
      </c>
      <c r="D3019" s="62">
        <f>VLOOKUP(C3019,基本字段定义!$B$3:$C$3008,2,FALSE)</f>
        <v>599</v>
      </c>
      <c r="E3019" s="67" t="s">
        <v>339</v>
      </c>
      <c r="F3019" s="67"/>
      <c r="G3019" s="68" t="s">
        <v>1596</v>
      </c>
    </row>
    <row r="3020" spans="2:7">
      <c r="B3020" s="267"/>
      <c r="C3020" s="65" t="s">
        <v>640</v>
      </c>
      <c r="D3020" s="62">
        <f>VLOOKUP(C3020,基本字段定义!$B$3:$C$3008,2,FALSE)</f>
        <v>719</v>
      </c>
      <c r="E3020" s="67" t="s">
        <v>339</v>
      </c>
      <c r="F3020" s="67"/>
      <c r="G3020" s="68" t="s">
        <v>657</v>
      </c>
    </row>
    <row r="3021" spans="2:7">
      <c r="B3021" s="267"/>
      <c r="C3021" s="65" t="s">
        <v>659</v>
      </c>
      <c r="D3021" s="62">
        <f>VLOOKUP(C3021,基本字段定义!$B$3:$C$3008,2,FALSE)</f>
        <v>722</v>
      </c>
      <c r="E3021" s="67" t="s">
        <v>339</v>
      </c>
      <c r="F3021" s="67"/>
      <c r="G3021" s="68" t="s">
        <v>660</v>
      </c>
    </row>
    <row r="3022" spans="2:7">
      <c r="B3022" s="267"/>
      <c r="C3022" s="65" t="s">
        <v>727</v>
      </c>
      <c r="D3022" s="62">
        <f>VLOOKUP(C3022,基本字段定义!$B$3:$C$3008,2,FALSE)</f>
        <v>720</v>
      </c>
      <c r="E3022" s="67" t="s">
        <v>339</v>
      </c>
      <c r="F3022" s="67"/>
      <c r="G3022" s="68" t="s">
        <v>728</v>
      </c>
    </row>
    <row r="3023" spans="2:7">
      <c r="B3023" s="267"/>
      <c r="C3023" s="65" t="s">
        <v>661</v>
      </c>
      <c r="D3023" s="62">
        <f>VLOOKUP(C3023,基本字段定义!$B$3:$C$3008,2,FALSE)</f>
        <v>591</v>
      </c>
      <c r="E3023" s="67" t="s">
        <v>337</v>
      </c>
      <c r="F3023" s="67"/>
      <c r="G3023" s="68" t="s">
        <v>1648</v>
      </c>
    </row>
    <row r="3024" spans="2:7">
      <c r="B3024" s="267"/>
      <c r="C3024" s="65" t="s">
        <v>524</v>
      </c>
      <c r="D3024" s="62">
        <f>VLOOKUP(C3024,基本字段定义!$B$3:$C$3008,2,FALSE)</f>
        <v>511</v>
      </c>
      <c r="E3024" s="67" t="s">
        <v>339</v>
      </c>
      <c r="F3024" s="67"/>
      <c r="G3024" s="68" t="s">
        <v>525</v>
      </c>
    </row>
    <row r="3025" spans="2:7">
      <c r="B3025" s="267"/>
      <c r="C3025" s="65" t="s">
        <v>679</v>
      </c>
      <c r="D3025" s="62">
        <f>VLOOKUP(C3025,基本字段定义!$B$3:$C$3008,2,FALSE)</f>
        <v>706</v>
      </c>
      <c r="E3025" s="67" t="s">
        <v>337</v>
      </c>
      <c r="F3025" s="67"/>
      <c r="G3025" s="68" t="s">
        <v>680</v>
      </c>
    </row>
    <row r="3026" spans="2:7">
      <c r="B3026" s="267"/>
      <c r="C3026" s="65" t="s">
        <v>677</v>
      </c>
      <c r="D3026" s="62">
        <f>VLOOKUP(C3026,基本字段定义!$B$3:$C$3008,2,FALSE)</f>
        <v>703</v>
      </c>
      <c r="E3026" s="67" t="s">
        <v>337</v>
      </c>
      <c r="F3026" s="67"/>
      <c r="G3026" s="68" t="s">
        <v>678</v>
      </c>
    </row>
    <row r="3027" spans="2:7">
      <c r="B3027" s="267"/>
      <c r="C3027" s="65" t="s">
        <v>1458</v>
      </c>
      <c r="D3027" s="62">
        <f>VLOOKUP(C3027,基本字段定义!$B$3:$C$3008,2,FALSE)</f>
        <v>841</v>
      </c>
      <c r="E3027" s="67" t="s">
        <v>339</v>
      </c>
      <c r="F3027" s="67"/>
      <c r="G3027" s="68" t="s">
        <v>1649</v>
      </c>
    </row>
    <row r="3028" spans="2:7">
      <c r="B3028" s="267"/>
      <c r="C3028" s="65" t="s">
        <v>1650</v>
      </c>
      <c r="D3028" s="62">
        <f>VLOOKUP(C3028,基本字段定义!$B$3:$C$3008,2,FALSE)</f>
        <v>643</v>
      </c>
      <c r="E3028" s="67" t="s">
        <v>339</v>
      </c>
      <c r="F3028" s="67"/>
      <c r="G3028" s="68" t="s">
        <v>1651</v>
      </c>
    </row>
    <row r="3029" spans="2:7">
      <c r="B3029" s="267"/>
      <c r="C3029" s="65" t="s">
        <v>1652</v>
      </c>
      <c r="D3029" s="62">
        <f>VLOOKUP(C3029,基本字段定义!$B$3:$C$3008,2,FALSE)</f>
        <v>632</v>
      </c>
      <c r="E3029" s="67" t="s">
        <v>337</v>
      </c>
      <c r="F3029" s="67"/>
      <c r="G3029" s="68" t="s">
        <v>1653</v>
      </c>
    </row>
    <row r="3030" spans="2:7">
      <c r="B3030" s="267"/>
      <c r="C3030" s="65" t="s">
        <v>675</v>
      </c>
      <c r="D3030" s="62">
        <f>VLOOKUP(C3030,基本字段定义!$B$3:$C$3008,2,FALSE)</f>
        <v>961</v>
      </c>
      <c r="E3030" s="67" t="s">
        <v>337</v>
      </c>
      <c r="F3030" s="67"/>
      <c r="G3030" s="68" t="s">
        <v>1654</v>
      </c>
    </row>
    <row r="3031" spans="2:7">
      <c r="B3031" s="267"/>
      <c r="C3031" s="65" t="s">
        <v>671</v>
      </c>
      <c r="D3031" s="62">
        <f>VLOOKUP(C3031,基本字段定义!$B$3:$C$3008,2,FALSE)</f>
        <v>594</v>
      </c>
      <c r="E3031" s="67" t="s">
        <v>337</v>
      </c>
      <c r="F3031" s="67"/>
      <c r="G3031" s="68" t="s">
        <v>1655</v>
      </c>
    </row>
    <row r="3032" spans="2:7">
      <c r="B3032" s="267"/>
      <c r="C3032" s="65" t="s">
        <v>667</v>
      </c>
      <c r="D3032" s="62">
        <f>VLOOKUP(C3032,基本字段定义!$B$3:$C$3008,2,FALSE)</f>
        <v>726</v>
      </c>
      <c r="E3032" s="67" t="s">
        <v>337</v>
      </c>
      <c r="F3032" s="67"/>
      <c r="G3032" s="68" t="s">
        <v>668</v>
      </c>
    </row>
    <row r="3033" spans="2:7">
      <c r="B3033" s="267"/>
      <c r="C3033" s="65" t="s">
        <v>1656</v>
      </c>
      <c r="D3033" s="62">
        <f>VLOOKUP(C3033,基本字段定义!$B$3:$C$3008,2,FALSE)</f>
        <v>1529</v>
      </c>
      <c r="E3033" s="67" t="s">
        <v>339</v>
      </c>
      <c r="F3033" s="67"/>
      <c r="G3033" s="68" t="s">
        <v>1657</v>
      </c>
    </row>
    <row r="3034" spans="2:7">
      <c r="B3034" s="267"/>
      <c r="C3034" s="65" t="s">
        <v>1658</v>
      </c>
      <c r="D3034" s="62">
        <f>VLOOKUP(C3034,基本字段定义!$B$3:$C$3008,2,FALSE)</f>
        <v>1530</v>
      </c>
      <c r="E3034" s="67" t="s">
        <v>337</v>
      </c>
      <c r="F3034" s="67"/>
      <c r="G3034" s="68" t="s">
        <v>1659</v>
      </c>
    </row>
    <row r="3035" spans="2:7">
      <c r="B3035" s="267"/>
      <c r="C3035" s="65" t="s">
        <v>1660</v>
      </c>
      <c r="D3035" s="62">
        <f>VLOOKUP(C3035,基本字段定义!$B$3:$C$3008,2,FALSE)</f>
        <v>1531</v>
      </c>
      <c r="E3035" s="67" t="s">
        <v>337</v>
      </c>
      <c r="F3035" s="67"/>
      <c r="G3035" s="68" t="s">
        <v>1661</v>
      </c>
    </row>
    <row r="3036" spans="2:7">
      <c r="B3036" s="267"/>
      <c r="C3036" s="65" t="s">
        <v>1662</v>
      </c>
      <c r="D3036" s="62">
        <f>VLOOKUP(C3036,基本字段定义!$B$3:$C$3008,2,FALSE)</f>
        <v>1535</v>
      </c>
      <c r="E3036" s="67" t="s">
        <v>339</v>
      </c>
      <c r="F3036" s="67"/>
      <c r="G3036" s="68" t="s">
        <v>1663</v>
      </c>
    </row>
    <row r="3037" spans="2:7">
      <c r="B3037" s="267"/>
      <c r="C3037" s="65" t="s">
        <v>673</v>
      </c>
      <c r="D3037" s="62">
        <f>VLOOKUP(C3037,基本字段定义!$B$3:$C$3008,2,FALSE)</f>
        <v>1693</v>
      </c>
      <c r="E3037" s="67" t="s">
        <v>339</v>
      </c>
      <c r="F3037" s="67"/>
      <c r="G3037" s="68" t="s">
        <v>1664</v>
      </c>
    </row>
    <row r="3038" spans="2:7">
      <c r="B3038" s="267"/>
      <c r="C3038" s="65" t="s">
        <v>336</v>
      </c>
      <c r="D3038" s="62">
        <f>VLOOKUP(C3038,基本字段定义!$B$3:$C$3008,2,FALSE)</f>
        <v>507</v>
      </c>
      <c r="E3038" s="67" t="s">
        <v>337</v>
      </c>
      <c r="F3038" s="67"/>
      <c r="G3038" s="68" t="s">
        <v>1209</v>
      </c>
    </row>
    <row r="3039" spans="2:7">
      <c r="B3039" s="267"/>
      <c r="C3039" s="65" t="s">
        <v>338</v>
      </c>
      <c r="D3039" s="62">
        <f>VLOOKUP(C3039,基本字段定义!$B$3:$C$3008,2,FALSE)</f>
        <v>508</v>
      </c>
      <c r="E3039" s="67" t="s">
        <v>339</v>
      </c>
      <c r="F3039" s="67"/>
      <c r="G3039" s="68" t="s">
        <v>1597</v>
      </c>
    </row>
    <row r="3040" spans="2:7">
      <c r="B3040" s="268"/>
      <c r="C3040" s="71"/>
      <c r="D3040" s="79"/>
      <c r="E3040" s="73"/>
      <c r="F3040" s="73"/>
      <c r="G3040" s="74"/>
    </row>
    <row r="3042" spans="2:7">
      <c r="B3042" s="53" t="s">
        <v>146</v>
      </c>
      <c r="C3042" s="80">
        <v>407002</v>
      </c>
      <c r="D3042" s="81"/>
      <c r="E3042" s="82"/>
      <c r="F3042" s="54" t="s">
        <v>326</v>
      </c>
      <c r="G3042" s="55"/>
    </row>
    <row r="3043" spans="2:7">
      <c r="B3043" s="56" t="s">
        <v>327</v>
      </c>
      <c r="C3043" s="83" t="str">
        <f>VLOOKUP(C3042,功能索引!$C$3:$D$269,2,FALSE)</f>
        <v>客户历史信用合同信息查询</v>
      </c>
      <c r="D3043" s="84"/>
      <c r="E3043" s="85"/>
      <c r="F3043" s="57" t="s">
        <v>148</v>
      </c>
      <c r="G3043" s="58" t="str">
        <f>VLOOKUP(C3042,功能索引!$C$3:$E3030,3,FALSE)</f>
        <v>Y</v>
      </c>
    </row>
    <row r="3044" spans="2:7">
      <c r="B3044" s="269" t="s">
        <v>328</v>
      </c>
      <c r="C3044" s="95"/>
      <c r="D3044" s="96"/>
      <c r="E3044" s="96"/>
      <c r="F3044" s="96"/>
      <c r="G3044" s="97"/>
    </row>
    <row r="3045" spans="2:7">
      <c r="B3045" s="270"/>
      <c r="C3045" s="98"/>
      <c r="D3045" s="99"/>
      <c r="E3045" s="99"/>
      <c r="F3045" s="99"/>
      <c r="G3045" s="100"/>
    </row>
    <row r="3046" spans="2:7">
      <c r="B3046" s="287" t="s">
        <v>329</v>
      </c>
      <c r="C3046" s="54" t="s">
        <v>330</v>
      </c>
      <c r="D3046" s="54" t="s">
        <v>331</v>
      </c>
      <c r="E3046" s="54" t="s">
        <v>332</v>
      </c>
      <c r="F3046" s="54" t="s">
        <v>333</v>
      </c>
      <c r="G3046" s="60" t="s">
        <v>334</v>
      </c>
    </row>
    <row r="3047" spans="2:7">
      <c r="B3047" s="287"/>
      <c r="C3047" s="61" t="s">
        <v>402</v>
      </c>
      <c r="D3047" s="62">
        <f>VLOOKUP(C3047,基本字段定义!$B$3:$C$3008,2,FALSE)</f>
        <v>605</v>
      </c>
      <c r="E3047" s="63" t="s">
        <v>403</v>
      </c>
      <c r="F3047" s="63" t="s">
        <v>152</v>
      </c>
      <c r="G3047" s="64" t="s">
        <v>1665</v>
      </c>
    </row>
    <row r="3048" spans="2:7">
      <c r="B3048" s="287"/>
      <c r="C3048" s="61" t="s">
        <v>1666</v>
      </c>
      <c r="D3048" s="62">
        <f>VLOOKUP(C3048,基本字段定义!$B$3:$C$3008,2,FALSE)</f>
        <v>889</v>
      </c>
      <c r="E3048" s="63" t="s">
        <v>337</v>
      </c>
      <c r="F3048" s="63"/>
      <c r="G3048" s="64" t="s">
        <v>1667</v>
      </c>
    </row>
    <row r="3049" spans="2:7">
      <c r="B3049" s="287"/>
      <c r="C3049" s="61" t="s">
        <v>484</v>
      </c>
      <c r="D3049" s="62">
        <f>VLOOKUP(C3049,基本字段定义!$B$3:$C$3008,2,FALSE)</f>
        <v>618</v>
      </c>
      <c r="E3049" s="63" t="s">
        <v>337</v>
      </c>
      <c r="F3049" s="63" t="s">
        <v>152</v>
      </c>
      <c r="G3049" s="64" t="s">
        <v>1101</v>
      </c>
    </row>
    <row r="3050" spans="2:7">
      <c r="B3050" s="287"/>
      <c r="C3050" s="61" t="s">
        <v>486</v>
      </c>
      <c r="D3050" s="62">
        <f>VLOOKUP(C3050,基本字段定义!$B$3:$C$3008,2,FALSE)</f>
        <v>590</v>
      </c>
      <c r="E3050" s="63" t="s">
        <v>337</v>
      </c>
      <c r="F3050" s="63" t="s">
        <v>152</v>
      </c>
      <c r="G3050" s="64" t="s">
        <v>1102</v>
      </c>
    </row>
    <row r="3051" spans="2:7">
      <c r="B3051" s="287"/>
      <c r="C3051" s="61" t="s">
        <v>559</v>
      </c>
      <c r="D3051" s="62">
        <f>VLOOKUP(C3051,基本字段定义!$B$3:$C$3008,2,FALSE)</f>
        <v>9020</v>
      </c>
      <c r="E3051" s="63" t="s">
        <v>337</v>
      </c>
      <c r="F3051" s="63"/>
      <c r="G3051" s="64" t="s">
        <v>1411</v>
      </c>
    </row>
    <row r="3052" spans="2:7">
      <c r="B3052" s="267"/>
      <c r="C3052" s="61" t="s">
        <v>1318</v>
      </c>
      <c r="D3052" s="62">
        <f>VLOOKUP(C3052,基本字段定义!$B$3:$C$3008,2,FALSE)</f>
        <v>557</v>
      </c>
      <c r="E3052" s="63" t="s">
        <v>471</v>
      </c>
      <c r="F3052" s="63" t="s">
        <v>152</v>
      </c>
      <c r="G3052" s="64" t="s">
        <v>1668</v>
      </c>
    </row>
    <row r="3053" spans="2:7">
      <c r="B3053" s="269"/>
      <c r="C3053" s="61" t="s">
        <v>588</v>
      </c>
      <c r="D3053" s="62">
        <f>VLOOKUP(C3053,基本字段定义!$B$3:$C$3008,2,FALSE)</f>
        <v>763</v>
      </c>
      <c r="E3053" s="63" t="s">
        <v>471</v>
      </c>
      <c r="F3053" s="63"/>
      <c r="G3053" s="64" t="s">
        <v>1426</v>
      </c>
    </row>
    <row r="3054" spans="2:7">
      <c r="B3054" s="269"/>
      <c r="C3054" s="61" t="s">
        <v>590</v>
      </c>
      <c r="D3054" s="62">
        <f>VLOOKUP(C3054,基本字段定义!$B$3:$C$3008,2,FALSE)</f>
        <v>9110</v>
      </c>
      <c r="E3054" s="63" t="s">
        <v>337</v>
      </c>
      <c r="F3054" s="63"/>
      <c r="G3054" s="64" t="s">
        <v>903</v>
      </c>
    </row>
    <row r="3055" spans="2:7">
      <c r="B3055" s="269"/>
      <c r="C3055" s="61" t="s">
        <v>586</v>
      </c>
      <c r="D3055" s="62">
        <f>VLOOKUP(C3055,基本字段定义!$B$3:$C$3008,2,FALSE)</f>
        <v>9109</v>
      </c>
      <c r="E3055" s="63" t="s">
        <v>337</v>
      </c>
      <c r="F3055" s="63"/>
      <c r="G3055" s="64" t="s">
        <v>1329</v>
      </c>
    </row>
    <row r="3056" spans="2:7">
      <c r="B3056" s="269" t="s">
        <v>335</v>
      </c>
      <c r="C3056" s="65" t="s">
        <v>367</v>
      </c>
      <c r="D3056" s="66">
        <f>VLOOKUP(C3056,基本字段定义!$B$3:$C$3008,2,FALSE)</f>
        <v>651</v>
      </c>
      <c r="E3056" s="67" t="s">
        <v>337</v>
      </c>
      <c r="F3056" s="67"/>
      <c r="G3056" s="68" t="s">
        <v>1463</v>
      </c>
    </row>
    <row r="3057" spans="2:7">
      <c r="B3057" s="269"/>
      <c r="C3057" s="65" t="s">
        <v>1666</v>
      </c>
      <c r="D3057" s="66">
        <f>VLOOKUP(C3057,基本字段定义!$B$3:$C$3008,2,FALSE)</f>
        <v>889</v>
      </c>
      <c r="E3057" s="67" t="s">
        <v>337</v>
      </c>
      <c r="F3057" s="67"/>
      <c r="G3057" s="69" t="s">
        <v>1667</v>
      </c>
    </row>
    <row r="3058" spans="2:7">
      <c r="B3058" s="269"/>
      <c r="C3058" s="65" t="s">
        <v>402</v>
      </c>
      <c r="D3058" s="66">
        <f>VLOOKUP(C3058,基本字段定义!$B$3:$C$3008,2,FALSE)</f>
        <v>605</v>
      </c>
      <c r="E3058" s="67" t="s">
        <v>403</v>
      </c>
      <c r="F3058" s="67"/>
      <c r="G3058" s="69" t="s">
        <v>404</v>
      </c>
    </row>
    <row r="3059" spans="2:7">
      <c r="B3059" s="269"/>
      <c r="C3059" s="65" t="s">
        <v>524</v>
      </c>
      <c r="D3059" s="66">
        <f>VLOOKUP(C3059,基本字段定义!$B$3:$C$3008,2,FALSE)</f>
        <v>511</v>
      </c>
      <c r="E3059" s="67" t="s">
        <v>527</v>
      </c>
      <c r="F3059" s="67"/>
      <c r="G3059" s="69" t="s">
        <v>525</v>
      </c>
    </row>
    <row r="3060" spans="2:7">
      <c r="B3060" s="269"/>
      <c r="C3060" s="65" t="s">
        <v>420</v>
      </c>
      <c r="D3060" s="66">
        <f>VLOOKUP(C3060,基本字段定义!$B$3:$C$3008,2,FALSE)</f>
        <v>613</v>
      </c>
      <c r="E3060" s="67" t="s">
        <v>339</v>
      </c>
      <c r="F3060" s="67"/>
      <c r="G3060" s="69" t="s">
        <v>789</v>
      </c>
    </row>
    <row r="3061" spans="2:7">
      <c r="B3061" s="269"/>
      <c r="C3061" s="65" t="s">
        <v>373</v>
      </c>
      <c r="D3061" s="66">
        <f>VLOOKUP(C3061,基本字段定义!$B$3:$C$3008,2,FALSE)</f>
        <v>697</v>
      </c>
      <c r="E3061" s="67" t="s">
        <v>339</v>
      </c>
      <c r="F3061" s="67"/>
      <c r="G3061" s="69" t="s">
        <v>374</v>
      </c>
    </row>
    <row r="3062" spans="2:7">
      <c r="B3062" s="269"/>
      <c r="C3062" s="65" t="s">
        <v>417</v>
      </c>
      <c r="D3062" s="66">
        <f>VLOOKUP(C3062,基本字段定义!$B$3:$C$3008,2,FALSE)</f>
        <v>610</v>
      </c>
      <c r="E3062" s="67" t="s">
        <v>339</v>
      </c>
      <c r="F3062" s="67"/>
      <c r="G3062" s="69" t="s">
        <v>852</v>
      </c>
    </row>
    <row r="3063" spans="2:7">
      <c r="B3063" s="269"/>
      <c r="C3063" s="65" t="s">
        <v>1143</v>
      </c>
      <c r="D3063" s="66">
        <f>VLOOKUP(C3063,基本字段定义!$B$3:$C$3008,2,FALSE)</f>
        <v>1803</v>
      </c>
      <c r="E3063" s="67" t="s">
        <v>1561</v>
      </c>
      <c r="F3063" s="67"/>
      <c r="G3063" s="69" t="s">
        <v>1669</v>
      </c>
    </row>
    <row r="3064" spans="2:7">
      <c r="B3064" s="269"/>
      <c r="C3064" s="65" t="s">
        <v>1145</v>
      </c>
      <c r="D3064" s="66">
        <f>VLOOKUP(C3064,基本字段定义!$B$3:$C$3008,2,FALSE)</f>
        <v>1804</v>
      </c>
      <c r="E3064" s="67" t="s">
        <v>1561</v>
      </c>
      <c r="F3064" s="67"/>
      <c r="G3064" s="69" t="s">
        <v>1670</v>
      </c>
    </row>
    <row r="3065" spans="2:7">
      <c r="B3065" s="269"/>
      <c r="C3065" s="65" t="s">
        <v>1147</v>
      </c>
      <c r="D3065" s="66">
        <f>VLOOKUP(C3065,基本字段定义!$B$3:$C$3008,2,FALSE)</f>
        <v>1821</v>
      </c>
      <c r="E3065" s="67" t="s">
        <v>1561</v>
      </c>
      <c r="F3065" s="67"/>
      <c r="G3065" s="69" t="s">
        <v>1671</v>
      </c>
    </row>
    <row r="3066" spans="2:7">
      <c r="B3066" s="269"/>
      <c r="C3066" s="65" t="s">
        <v>1149</v>
      </c>
      <c r="D3066" s="66">
        <f>VLOOKUP(C3066,基本字段定义!$B$3:$C$3008,2,FALSE)</f>
        <v>1822</v>
      </c>
      <c r="E3066" s="67" t="s">
        <v>1561</v>
      </c>
      <c r="F3066" s="67"/>
      <c r="G3066" s="69" t="s">
        <v>1672</v>
      </c>
    </row>
    <row r="3067" spans="2:7">
      <c r="B3067" s="269"/>
      <c r="C3067" s="65" t="s">
        <v>1164</v>
      </c>
      <c r="D3067" s="66">
        <f>VLOOKUP(C3067,基本字段定义!$B$3:$C$3008,2,FALSE)</f>
        <v>1800</v>
      </c>
      <c r="E3067" s="67" t="s">
        <v>1561</v>
      </c>
      <c r="F3067" s="67"/>
      <c r="G3067" s="69" t="s">
        <v>1673</v>
      </c>
    </row>
    <row r="3068" spans="2:7">
      <c r="B3068" s="269"/>
      <c r="C3068" s="65" t="s">
        <v>1279</v>
      </c>
      <c r="D3068" s="66">
        <f>VLOOKUP(C3068,基本字段定义!$B$3:$C$3008,2,FALSE)</f>
        <v>653</v>
      </c>
      <c r="E3068" s="67" t="s">
        <v>1561</v>
      </c>
      <c r="F3068" s="67"/>
      <c r="G3068" s="69" t="s">
        <v>1674</v>
      </c>
    </row>
    <row r="3069" spans="2:7">
      <c r="B3069" s="269"/>
      <c r="C3069" s="65" t="s">
        <v>1281</v>
      </c>
      <c r="D3069" s="66">
        <f>VLOOKUP(C3069,基本字段定义!$B$3:$C$3008,2,FALSE)</f>
        <v>1809</v>
      </c>
      <c r="E3069" s="67" t="s">
        <v>1561</v>
      </c>
      <c r="F3069" s="67"/>
      <c r="G3069" s="69" t="s">
        <v>1675</v>
      </c>
    </row>
    <row r="3070" spans="2:7">
      <c r="B3070" s="269"/>
      <c r="C3070" s="65" t="s">
        <v>1151</v>
      </c>
      <c r="D3070" s="66">
        <f>VLOOKUP(C3070,基本字段定义!$B$3:$C$3008,2,FALSE)</f>
        <v>652</v>
      </c>
      <c r="E3070" s="67" t="s">
        <v>1561</v>
      </c>
      <c r="F3070" s="67"/>
      <c r="G3070" s="69" t="s">
        <v>1152</v>
      </c>
    </row>
    <row r="3071" spans="2:7">
      <c r="B3071" s="269"/>
      <c r="C3071" s="65" t="s">
        <v>1153</v>
      </c>
      <c r="D3071" s="66">
        <f>VLOOKUP(C3071,基本字段定义!$B$3:$C$3008,2,FALSE)</f>
        <v>1823</v>
      </c>
      <c r="E3071" s="67" t="s">
        <v>1561</v>
      </c>
      <c r="F3071" s="67"/>
      <c r="G3071" s="69" t="s">
        <v>1154</v>
      </c>
    </row>
    <row r="3072" spans="2:7">
      <c r="B3072" s="269"/>
      <c r="C3072" s="65" t="s">
        <v>1676</v>
      </c>
      <c r="D3072" s="66">
        <f>VLOOKUP(C3072,基本字段定义!$B$3:$C$3008,2,FALSE)</f>
        <v>1843</v>
      </c>
      <c r="E3072" s="67" t="s">
        <v>1561</v>
      </c>
      <c r="F3072" s="67"/>
      <c r="G3072" s="69" t="s">
        <v>1677</v>
      </c>
    </row>
    <row r="3073" spans="2:7">
      <c r="B3073" s="269"/>
      <c r="C3073" s="65" t="s">
        <v>1678</v>
      </c>
      <c r="D3073" s="66">
        <f>VLOOKUP(C3073,基本字段定义!$B$3:$C$3008,2,FALSE)</f>
        <v>1844</v>
      </c>
      <c r="E3073" s="67" t="s">
        <v>1561</v>
      </c>
      <c r="F3073" s="67"/>
      <c r="G3073" s="69" t="s">
        <v>1679</v>
      </c>
    </row>
    <row r="3074" spans="2:7">
      <c r="B3074" s="269"/>
      <c r="C3074" s="65" t="s">
        <v>1155</v>
      </c>
      <c r="D3074" s="66">
        <f>VLOOKUP(C3074,基本字段定义!$B$3:$C$3008,2,FALSE)</f>
        <v>1845</v>
      </c>
      <c r="E3074" s="67" t="s">
        <v>1561</v>
      </c>
      <c r="F3074" s="67"/>
      <c r="G3074" s="69" t="s">
        <v>1680</v>
      </c>
    </row>
    <row r="3075" spans="2:7">
      <c r="B3075" s="269"/>
      <c r="C3075" s="65" t="s">
        <v>1157</v>
      </c>
      <c r="D3075" s="66">
        <f>VLOOKUP(C3075,基本字段定义!$B$3:$C$3008,2,FALSE)</f>
        <v>1846</v>
      </c>
      <c r="E3075" s="67" t="s">
        <v>1561</v>
      </c>
      <c r="F3075" s="67"/>
      <c r="G3075" s="69" t="s">
        <v>1681</v>
      </c>
    </row>
    <row r="3076" spans="2:7">
      <c r="B3076" s="269"/>
      <c r="C3076" s="65" t="s">
        <v>1211</v>
      </c>
      <c r="D3076" s="66">
        <f>VLOOKUP(C3076,基本字段定义!$B$3:$C$3008,2,FALSE)</f>
        <v>1720</v>
      </c>
      <c r="E3076" s="67" t="s">
        <v>1561</v>
      </c>
      <c r="F3076" s="67"/>
      <c r="G3076" s="69" t="s">
        <v>1212</v>
      </c>
    </row>
    <row r="3077" spans="2:7">
      <c r="B3077" s="269"/>
      <c r="C3077" s="65" t="s">
        <v>551</v>
      </c>
      <c r="D3077" s="66">
        <f>VLOOKUP(C3077,基本字段定义!$B$3:$C$3008,2,FALSE)</f>
        <v>1255</v>
      </c>
      <c r="E3077" s="67" t="s">
        <v>1561</v>
      </c>
      <c r="F3077" s="67"/>
      <c r="G3077" s="69" t="s">
        <v>1682</v>
      </c>
    </row>
    <row r="3078" spans="2:7">
      <c r="B3078" s="269"/>
      <c r="C3078" s="65" t="s">
        <v>1351</v>
      </c>
      <c r="D3078" s="66">
        <f>VLOOKUP(C3078,基本字段定义!$B$3:$C$3008,2,FALSE)</f>
        <v>1847</v>
      </c>
      <c r="E3078" s="67" t="s">
        <v>1561</v>
      </c>
      <c r="F3078" s="67"/>
      <c r="G3078" s="69" t="s">
        <v>1683</v>
      </c>
    </row>
    <row r="3079" spans="2:7">
      <c r="B3079" s="269"/>
      <c r="C3079" s="65" t="s">
        <v>536</v>
      </c>
      <c r="D3079" s="66">
        <f>VLOOKUP(C3079,基本字段定义!$B$3:$C$3008,2,FALSE)</f>
        <v>709</v>
      </c>
      <c r="E3079" s="67" t="s">
        <v>1561</v>
      </c>
      <c r="F3079" s="67"/>
      <c r="G3079" s="69" t="s">
        <v>1684</v>
      </c>
    </row>
    <row r="3080" spans="2:7">
      <c r="B3080" s="269"/>
      <c r="C3080" s="65" t="s">
        <v>1213</v>
      </c>
      <c r="D3080" s="66">
        <f>VLOOKUP(C3080,基本字段定义!$B$3:$C$3008,2,FALSE)</f>
        <v>1741</v>
      </c>
      <c r="E3080" s="67" t="s">
        <v>1561</v>
      </c>
      <c r="F3080" s="67"/>
      <c r="G3080" s="69" t="s">
        <v>1214</v>
      </c>
    </row>
    <row r="3081" spans="2:7">
      <c r="B3081" s="269"/>
      <c r="C3081" s="65" t="s">
        <v>1221</v>
      </c>
      <c r="D3081" s="66">
        <f>VLOOKUP(C3081,基本字段定义!$B$3:$C$3008,2,FALSE)</f>
        <v>1037</v>
      </c>
      <c r="E3081" s="67" t="s">
        <v>1561</v>
      </c>
      <c r="F3081" s="67"/>
      <c r="G3081" s="69" t="s">
        <v>1685</v>
      </c>
    </row>
    <row r="3082" spans="2:7">
      <c r="B3082" s="269"/>
      <c r="C3082" s="65" t="s">
        <v>484</v>
      </c>
      <c r="D3082" s="66">
        <f>VLOOKUP(C3082,基本字段定义!$B$3:$C$3008,2,FALSE)</f>
        <v>618</v>
      </c>
      <c r="E3082" s="67" t="s">
        <v>337</v>
      </c>
      <c r="F3082" s="67"/>
      <c r="G3082" s="69" t="s">
        <v>1686</v>
      </c>
    </row>
    <row r="3083" spans="2:7">
      <c r="B3083" s="269"/>
      <c r="C3083" s="65" t="s">
        <v>486</v>
      </c>
      <c r="D3083" s="66">
        <f>VLOOKUP(C3083,基本字段定义!$B$3:$C$3008,2,FALSE)</f>
        <v>590</v>
      </c>
      <c r="E3083" s="67" t="s">
        <v>337</v>
      </c>
      <c r="F3083" s="67"/>
      <c r="G3083" s="69" t="s">
        <v>1687</v>
      </c>
    </row>
    <row r="3084" spans="2:7">
      <c r="B3084" s="269"/>
      <c r="C3084" s="65" t="s">
        <v>509</v>
      </c>
      <c r="D3084" s="66">
        <f>VLOOKUP(C3084,基本字段定义!$B$3:$C$3008,2,FALSE)</f>
        <v>1850</v>
      </c>
      <c r="E3084" s="67" t="s">
        <v>1561</v>
      </c>
      <c r="F3084" s="67"/>
      <c r="G3084" s="69" t="s">
        <v>1688</v>
      </c>
    </row>
    <row r="3085" spans="2:7">
      <c r="B3085" s="269"/>
      <c r="C3085" s="65" t="s">
        <v>1267</v>
      </c>
      <c r="D3085" s="66">
        <f>VLOOKUP(C3085,基本字段定义!$B$3:$C$3008,2,FALSE)</f>
        <v>770</v>
      </c>
      <c r="E3085" s="67" t="s">
        <v>1561</v>
      </c>
      <c r="F3085" s="67"/>
      <c r="G3085" s="69" t="s">
        <v>1689</v>
      </c>
    </row>
    <row r="3086" spans="2:7">
      <c r="B3086" s="269"/>
      <c r="C3086" s="65" t="s">
        <v>1269</v>
      </c>
      <c r="D3086" s="66">
        <f>VLOOKUP(C3086,基本字段定义!$B$3:$C$3008,2,FALSE)</f>
        <v>771</v>
      </c>
      <c r="E3086" s="67" t="s">
        <v>1561</v>
      </c>
      <c r="F3086" s="67"/>
      <c r="G3086" s="69" t="s">
        <v>1690</v>
      </c>
    </row>
    <row r="3087" spans="2:7">
      <c r="B3087" s="269"/>
      <c r="C3087" s="65" t="s">
        <v>1238</v>
      </c>
      <c r="D3087" s="66">
        <f>VLOOKUP(C3087,基本字段定义!$B$3:$C$3008,2,FALSE)</f>
        <v>517</v>
      </c>
      <c r="E3087" s="67" t="s">
        <v>1561</v>
      </c>
      <c r="F3087" s="67"/>
      <c r="G3087" s="69" t="s">
        <v>1691</v>
      </c>
    </row>
    <row r="3088" spans="2:7">
      <c r="B3088" s="269"/>
      <c r="C3088" s="65" t="s">
        <v>1240</v>
      </c>
      <c r="D3088" s="66">
        <f>VLOOKUP(C3088,基本字段定义!$B$3:$C$3008,2,FALSE)</f>
        <v>1361</v>
      </c>
      <c r="E3088" s="67" t="s">
        <v>1561</v>
      </c>
      <c r="F3088" s="67"/>
      <c r="G3088" s="69" t="s">
        <v>1692</v>
      </c>
    </row>
    <row r="3089" spans="2:7">
      <c r="B3089" s="269"/>
      <c r="C3089" s="65" t="s">
        <v>1693</v>
      </c>
      <c r="D3089" s="66">
        <f>VLOOKUP(C3089,基本字段定义!$B$3:$C$3008,2,FALSE)</f>
        <v>1364</v>
      </c>
      <c r="E3089" s="67" t="s">
        <v>1561</v>
      </c>
      <c r="F3089" s="67"/>
      <c r="G3089" s="69" t="s">
        <v>1694</v>
      </c>
    </row>
    <row r="3090" spans="2:7">
      <c r="B3090" s="269"/>
      <c r="C3090" s="65" t="s">
        <v>543</v>
      </c>
      <c r="D3090" s="66">
        <f>VLOOKUP(C3090,基本字段定义!$B$3:$C$3008,2,FALSE)</f>
        <v>617</v>
      </c>
      <c r="E3090" s="67" t="s">
        <v>1561</v>
      </c>
      <c r="F3090" s="67"/>
      <c r="G3090" s="69" t="s">
        <v>1695</v>
      </c>
    </row>
    <row r="3091" spans="2:7">
      <c r="B3091" s="269"/>
      <c r="C3091" s="65" t="s">
        <v>1294</v>
      </c>
      <c r="D3091" s="66">
        <f>VLOOKUP(C3091,基本字段定义!$B$3:$C$3008,2,FALSE)</f>
        <v>775</v>
      </c>
      <c r="E3091" s="67" t="s">
        <v>1561</v>
      </c>
      <c r="F3091" s="67"/>
      <c r="G3091" s="69" t="s">
        <v>1696</v>
      </c>
    </row>
    <row r="3092" spans="2:7">
      <c r="B3092" s="269"/>
      <c r="C3092" s="65" t="s">
        <v>1244</v>
      </c>
      <c r="D3092" s="66">
        <f>VLOOKUP(C3092,基本字段定义!$B$3:$C$3008,2,FALSE)</f>
        <v>802</v>
      </c>
      <c r="E3092" s="67" t="s">
        <v>1561</v>
      </c>
      <c r="F3092" s="67"/>
      <c r="G3092" s="69" t="s">
        <v>1245</v>
      </c>
    </row>
    <row r="3093" spans="2:7">
      <c r="B3093" s="269"/>
      <c r="C3093" s="65" t="s">
        <v>1263</v>
      </c>
      <c r="D3093" s="66">
        <f>VLOOKUP(C3093,基本字段定义!$B$3:$C$3008,2,FALSE)</f>
        <v>1319</v>
      </c>
      <c r="E3093" s="67" t="s">
        <v>1561</v>
      </c>
      <c r="F3093" s="67"/>
      <c r="G3093" s="69" t="s">
        <v>1264</v>
      </c>
    </row>
    <row r="3094" spans="2:7">
      <c r="B3094" s="269"/>
      <c r="C3094" s="65" t="s">
        <v>1697</v>
      </c>
      <c r="D3094" s="66">
        <f>VLOOKUP(C3094,基本字段定义!$B$3:$C$3008,2,FALSE)</f>
        <v>9122</v>
      </c>
      <c r="E3094" s="67" t="s">
        <v>1561</v>
      </c>
      <c r="F3094" s="67"/>
      <c r="G3094" s="69" t="s">
        <v>1698</v>
      </c>
    </row>
    <row r="3095" spans="2:7">
      <c r="B3095" s="269"/>
      <c r="C3095" s="65" t="s">
        <v>1699</v>
      </c>
      <c r="D3095" s="66">
        <f>VLOOKUP(C3095,基本字段定义!$B$3:$C$3008,2,FALSE)</f>
        <v>9123</v>
      </c>
      <c r="E3095" s="67" t="s">
        <v>1561</v>
      </c>
      <c r="F3095" s="67"/>
      <c r="G3095" s="69" t="s">
        <v>1700</v>
      </c>
    </row>
    <row r="3096" spans="2:7">
      <c r="B3096" s="269"/>
      <c r="C3096" s="65" t="s">
        <v>1261</v>
      </c>
      <c r="D3096" s="66">
        <f>VLOOKUP(C3096,基本字段定义!$B$3:$C$3008,2,FALSE)</f>
        <v>9281</v>
      </c>
      <c r="E3096" s="67" t="s">
        <v>1561</v>
      </c>
      <c r="F3096" s="67"/>
      <c r="G3096" s="69" t="s">
        <v>1701</v>
      </c>
    </row>
    <row r="3097" spans="2:7">
      <c r="B3097" s="269"/>
      <c r="C3097" s="65" t="s">
        <v>1252</v>
      </c>
      <c r="D3097" s="66">
        <f>VLOOKUP(C3097,基本字段定义!$B$3:$C$3008,2,FALSE)</f>
        <v>1075</v>
      </c>
      <c r="E3097" s="67" t="s">
        <v>1561</v>
      </c>
      <c r="F3097" s="67"/>
      <c r="G3097" s="69" t="s">
        <v>1702</v>
      </c>
    </row>
    <row r="3098" spans="2:7">
      <c r="B3098" s="269"/>
      <c r="C3098" s="65" t="s">
        <v>1271</v>
      </c>
      <c r="D3098" s="66">
        <f>VLOOKUP(C3098,基本字段定义!$B$3:$C$3008,2,FALSE)</f>
        <v>989</v>
      </c>
      <c r="E3098" s="67" t="s">
        <v>1561</v>
      </c>
      <c r="F3098" s="67"/>
      <c r="G3098" s="69" t="s">
        <v>1272</v>
      </c>
    </row>
    <row r="3099" spans="2:7">
      <c r="B3099" s="269"/>
      <c r="C3099" s="65" t="s">
        <v>1273</v>
      </c>
      <c r="D3099" s="66">
        <f>VLOOKUP(C3099,基本字段定义!$B$3:$C$3008,2,FALSE)</f>
        <v>990</v>
      </c>
      <c r="E3099" s="67" t="s">
        <v>1561</v>
      </c>
      <c r="F3099" s="67"/>
      <c r="G3099" s="69" t="s">
        <v>1274</v>
      </c>
    </row>
    <row r="3100" spans="2:7">
      <c r="B3100" s="266"/>
      <c r="C3100" s="87" t="s">
        <v>1265</v>
      </c>
      <c r="D3100" s="66">
        <f>VLOOKUP(C3100,基本字段定义!$B$3:$C$3008,2,FALSE)</f>
        <v>1320</v>
      </c>
      <c r="E3100" s="67" t="s">
        <v>1561</v>
      </c>
      <c r="F3100" s="88"/>
      <c r="G3100" s="90" t="s">
        <v>1266</v>
      </c>
    </row>
    <row r="3101" spans="2:7">
      <c r="B3101" s="266"/>
      <c r="C3101" s="87" t="s">
        <v>1703</v>
      </c>
      <c r="D3101" s="66">
        <f>VLOOKUP(C3101,基本字段定义!$B$3:$C$3008,2,FALSE)</f>
        <v>9121</v>
      </c>
      <c r="E3101" s="67" t="s">
        <v>1561</v>
      </c>
      <c r="F3101" s="88"/>
      <c r="G3101" s="90" t="s">
        <v>1260</v>
      </c>
    </row>
    <row r="3102" spans="2:7">
      <c r="B3102" s="266"/>
      <c r="C3102" s="87" t="s">
        <v>1256</v>
      </c>
      <c r="D3102" s="66">
        <f>VLOOKUP(C3102,基本字段定义!$B$3:$C$3008,2,FALSE)</f>
        <v>2508</v>
      </c>
      <c r="E3102" s="67" t="s">
        <v>1561</v>
      </c>
      <c r="F3102" s="88"/>
      <c r="G3102" s="90" t="s">
        <v>1704</v>
      </c>
    </row>
    <row r="3103" spans="2:7">
      <c r="B3103" s="266"/>
      <c r="C3103" s="87" t="s">
        <v>1705</v>
      </c>
      <c r="D3103" s="66">
        <f>VLOOKUP(C3103,基本字段定义!$B$3:$C$3008,2,FALSE)</f>
        <v>4146</v>
      </c>
      <c r="E3103" s="67" t="s">
        <v>1561</v>
      </c>
      <c r="F3103" s="88"/>
      <c r="G3103" s="90" t="s">
        <v>1706</v>
      </c>
    </row>
    <row r="3104" spans="2:7">
      <c r="B3104" s="266"/>
      <c r="C3104" s="87" t="s">
        <v>1254</v>
      </c>
      <c r="D3104" s="66">
        <f>VLOOKUP(C3104,基本字段定义!$B$3:$C$3008,2,FALSE)</f>
        <v>1076</v>
      </c>
      <c r="E3104" s="67" t="s">
        <v>1561</v>
      </c>
      <c r="F3104" s="88"/>
      <c r="G3104" s="90" t="s">
        <v>1707</v>
      </c>
    </row>
    <row r="3105" spans="2:7">
      <c r="B3105" s="266"/>
      <c r="C3105" s="87" t="s">
        <v>1275</v>
      </c>
      <c r="D3105" s="66">
        <f>VLOOKUP(C3105,基本字段定义!$B$3:$C$3008,2,FALSE)</f>
        <v>991</v>
      </c>
      <c r="E3105" s="67" t="s">
        <v>1561</v>
      </c>
      <c r="F3105" s="88"/>
      <c r="G3105" s="90" t="s">
        <v>1708</v>
      </c>
    </row>
    <row r="3106" spans="2:7">
      <c r="B3106" s="270"/>
      <c r="C3106" s="71" t="s">
        <v>1277</v>
      </c>
      <c r="D3106" s="79">
        <f>VLOOKUP(C3106,基本字段定义!$B$3:$C$3008,2,FALSE)</f>
        <v>992</v>
      </c>
      <c r="E3106" s="73" t="s">
        <v>1561</v>
      </c>
      <c r="F3106" s="73"/>
      <c r="G3106" s="74" t="s">
        <v>1278</v>
      </c>
    </row>
    <row r="3108" spans="2:7">
      <c r="B3108" s="53" t="s">
        <v>146</v>
      </c>
      <c r="C3108" s="80">
        <v>304230</v>
      </c>
      <c r="D3108" s="81"/>
      <c r="E3108" s="82"/>
      <c r="F3108" s="54" t="s">
        <v>326</v>
      </c>
      <c r="G3108" s="55"/>
    </row>
    <row r="3109" spans="2:7">
      <c r="B3109" s="56" t="s">
        <v>327</v>
      </c>
      <c r="C3109" s="83" t="str">
        <f>VLOOKUP(C3108,功能索引!$C$3:$D$269,2,FALSE)</f>
        <v>查询客户配售权益</v>
      </c>
      <c r="D3109" s="84"/>
      <c r="E3109" s="85"/>
      <c r="F3109" s="57" t="s">
        <v>148</v>
      </c>
      <c r="G3109" s="58" t="str">
        <f>VLOOKUP(C3108,功能索引!$C$3:$E3478,3,FALSE)</f>
        <v>Y</v>
      </c>
    </row>
    <row r="3110" spans="2:7">
      <c r="B3110" s="269" t="s">
        <v>328</v>
      </c>
      <c r="C3110" s="95"/>
      <c r="D3110" s="96"/>
      <c r="E3110" s="96"/>
      <c r="F3110" s="96"/>
      <c r="G3110" s="97"/>
    </row>
    <row r="3111" spans="2:7">
      <c r="B3111" s="270"/>
      <c r="C3111" s="98"/>
      <c r="D3111" s="99"/>
      <c r="E3111" s="99"/>
      <c r="F3111" s="99"/>
      <c r="G3111" s="100"/>
    </row>
    <row r="3112" spans="2:7">
      <c r="B3112" s="271" t="s">
        <v>329</v>
      </c>
      <c r="C3112" s="54" t="s">
        <v>330</v>
      </c>
      <c r="D3112" s="54" t="s">
        <v>331</v>
      </c>
      <c r="E3112" s="54" t="s">
        <v>332</v>
      </c>
      <c r="F3112" s="54" t="s">
        <v>333</v>
      </c>
      <c r="G3112" s="60" t="s">
        <v>334</v>
      </c>
    </row>
    <row r="3113" spans="2:7">
      <c r="B3113" s="269"/>
      <c r="C3113" s="61" t="s">
        <v>361</v>
      </c>
      <c r="D3113" s="62">
        <f>VLOOKUP(C3113,基本字段定义!$B$3:$C$3008,2,FALSE)</f>
        <v>599</v>
      </c>
      <c r="E3113" s="63" t="s">
        <v>339</v>
      </c>
      <c r="F3113" s="63"/>
      <c r="G3113" s="64" t="s">
        <v>363</v>
      </c>
    </row>
    <row r="3114" spans="2:7">
      <c r="B3114" s="269"/>
      <c r="C3114" s="61" t="s">
        <v>405</v>
      </c>
      <c r="D3114" s="62">
        <f>VLOOKUP(C3114,基本字段定义!$B$3:$C$3008,2,FALSE)</f>
        <v>571</v>
      </c>
      <c r="E3114" s="63" t="s">
        <v>339</v>
      </c>
      <c r="F3114" s="63"/>
      <c r="G3114" s="64" t="s">
        <v>407</v>
      </c>
    </row>
    <row r="3115" spans="2:7">
      <c r="B3115" s="269"/>
      <c r="C3115" s="61" t="s">
        <v>640</v>
      </c>
      <c r="D3115" s="62">
        <f>VLOOKUP(C3115,基本字段定义!$B$3:$C$3008,2,FALSE)</f>
        <v>719</v>
      </c>
      <c r="E3115" s="63" t="s">
        <v>339</v>
      </c>
      <c r="F3115" s="63"/>
      <c r="G3115" s="64" t="s">
        <v>657</v>
      </c>
    </row>
    <row r="3116" spans="2:7">
      <c r="B3116" s="269"/>
      <c r="C3116" s="61" t="s">
        <v>402</v>
      </c>
      <c r="D3116" s="62">
        <f>VLOOKUP(C3116,基本字段定义!$B$3:$C$3008,2,FALSE)</f>
        <v>605</v>
      </c>
      <c r="E3116" s="63" t="s">
        <v>339</v>
      </c>
      <c r="F3116" s="63"/>
      <c r="G3116" s="64" t="s">
        <v>404</v>
      </c>
    </row>
    <row r="3117" spans="2:7">
      <c r="B3117" s="269"/>
      <c r="C3117" s="61" t="s">
        <v>524</v>
      </c>
      <c r="D3117" s="62">
        <f>VLOOKUP(C3117,基本字段定义!$B$3:$C$3008,2,FALSE)</f>
        <v>511</v>
      </c>
      <c r="E3117" s="63" t="s">
        <v>339</v>
      </c>
      <c r="F3117" s="63"/>
      <c r="G3117" s="64" t="s">
        <v>525</v>
      </c>
    </row>
    <row r="3118" spans="2:7">
      <c r="B3118" s="269"/>
      <c r="C3118" s="61" t="s">
        <v>1709</v>
      </c>
      <c r="D3118" s="62">
        <f>VLOOKUP(C3118,基本字段定义!$B$3:$C$3008,2,FALSE)</f>
        <v>558</v>
      </c>
      <c r="E3118" s="63" t="s">
        <v>339</v>
      </c>
      <c r="F3118" s="63"/>
      <c r="G3118" s="64" t="s">
        <v>1710</v>
      </c>
    </row>
    <row r="3119" spans="2:7">
      <c r="B3119" s="269"/>
      <c r="C3119" s="61" t="s">
        <v>1318</v>
      </c>
      <c r="D3119" s="62">
        <f>VLOOKUP(C3119,基本字段定义!$B$3:$C$3008,2,FALSE)</f>
        <v>557</v>
      </c>
      <c r="E3119" s="63" t="s">
        <v>339</v>
      </c>
      <c r="F3119" s="63"/>
      <c r="G3119" s="64" t="s">
        <v>1319</v>
      </c>
    </row>
    <row r="3120" spans="2:7">
      <c r="B3120" s="266" t="s">
        <v>335</v>
      </c>
      <c r="C3120" s="87" t="s">
        <v>336</v>
      </c>
      <c r="D3120" s="66">
        <f>VLOOKUP(C3120,基本字段定义!$B$3:$C$3008,2,FALSE)</f>
        <v>507</v>
      </c>
      <c r="E3120" s="88" t="s">
        <v>339</v>
      </c>
      <c r="F3120" s="89"/>
      <c r="G3120" s="90" t="s">
        <v>1209</v>
      </c>
    </row>
    <row r="3121" spans="2:7">
      <c r="B3121" s="267"/>
      <c r="C3121" s="65" t="s">
        <v>338</v>
      </c>
      <c r="D3121" s="66">
        <f>VLOOKUP(C3121,基本字段定义!$B$3:$C$3008,2,FALSE)</f>
        <v>508</v>
      </c>
      <c r="E3121" s="67" t="s">
        <v>339</v>
      </c>
      <c r="F3121" s="66"/>
      <c r="G3121" s="69" t="s">
        <v>1597</v>
      </c>
    </row>
    <row r="3122" spans="2:7">
      <c r="B3122" s="267"/>
      <c r="C3122" s="148" t="s">
        <v>402</v>
      </c>
      <c r="D3122" s="66">
        <f>VLOOKUP(C3122,基本字段定义!$B$3:$C$3008,2,FALSE)</f>
        <v>605</v>
      </c>
      <c r="E3122" s="145" t="s">
        <v>339</v>
      </c>
      <c r="F3122" s="145"/>
      <c r="G3122" s="149" t="s">
        <v>404</v>
      </c>
    </row>
    <row r="3123" spans="2:7">
      <c r="B3123" s="267"/>
      <c r="C3123" s="87" t="s">
        <v>373</v>
      </c>
      <c r="D3123" s="66">
        <f>VLOOKUP(C3123,基本字段定义!$B$3:$C$3008,2,FALSE)</f>
        <v>697</v>
      </c>
      <c r="E3123" s="88" t="s">
        <v>339</v>
      </c>
      <c r="F3123" s="88"/>
      <c r="G3123" s="150" t="s">
        <v>374</v>
      </c>
    </row>
    <row r="3124" spans="2:7">
      <c r="B3124" s="267"/>
      <c r="C3124" s="87" t="s">
        <v>640</v>
      </c>
      <c r="D3124" s="66">
        <f>VLOOKUP(C3124,基本字段定义!$B$3:$C$3008,2,FALSE)</f>
        <v>719</v>
      </c>
      <c r="E3124" s="88" t="s">
        <v>339</v>
      </c>
      <c r="F3124" s="88"/>
      <c r="G3124" s="150" t="s">
        <v>1711</v>
      </c>
    </row>
    <row r="3125" spans="2:7">
      <c r="B3125" s="267"/>
      <c r="C3125" s="87" t="s">
        <v>405</v>
      </c>
      <c r="D3125" s="66">
        <f>VLOOKUP(C3125,基本字段定义!$B$3:$C$3008,2,FALSE)</f>
        <v>571</v>
      </c>
      <c r="E3125" s="88" t="s">
        <v>339</v>
      </c>
      <c r="F3125" s="88"/>
      <c r="G3125" s="150" t="s">
        <v>407</v>
      </c>
    </row>
    <row r="3126" spans="2:7">
      <c r="B3126" s="267"/>
      <c r="C3126" s="87" t="s">
        <v>361</v>
      </c>
      <c r="D3126" s="66">
        <f>VLOOKUP(C3126,基本字段定义!$B$3:$C$3008,2,FALSE)</f>
        <v>599</v>
      </c>
      <c r="E3126" s="88" t="s">
        <v>339</v>
      </c>
      <c r="F3126" s="88"/>
      <c r="G3126" s="150" t="s">
        <v>363</v>
      </c>
    </row>
    <row r="3127" spans="2:7">
      <c r="B3127" s="267"/>
      <c r="C3127" s="87" t="s">
        <v>524</v>
      </c>
      <c r="D3127" s="66">
        <f>VLOOKUP(C3127,基本字段定义!$B$3:$C$3008,2,FALSE)</f>
        <v>511</v>
      </c>
      <c r="E3127" s="88" t="s">
        <v>339</v>
      </c>
      <c r="F3127" s="88"/>
      <c r="G3127" s="150" t="s">
        <v>525</v>
      </c>
    </row>
    <row r="3128" spans="2:7">
      <c r="B3128" s="267"/>
      <c r="C3128" s="87" t="s">
        <v>659</v>
      </c>
      <c r="D3128" s="66">
        <f>VLOOKUP(C3128,基本字段定义!$B$3:$C$3008,2,FALSE)</f>
        <v>722</v>
      </c>
      <c r="E3128" s="88" t="s">
        <v>339</v>
      </c>
      <c r="F3128" s="88"/>
      <c r="G3128" s="150" t="s">
        <v>660</v>
      </c>
    </row>
    <row r="3129" spans="2:7">
      <c r="B3129" s="267"/>
      <c r="C3129" s="87" t="s">
        <v>762</v>
      </c>
      <c r="D3129" s="66">
        <f>VLOOKUP(C3129,基本字段定义!$B$3:$C$3008,2,FALSE)</f>
        <v>724</v>
      </c>
      <c r="E3129" s="88" t="s">
        <v>339</v>
      </c>
      <c r="F3129" s="88"/>
      <c r="G3129" s="150" t="s">
        <v>1712</v>
      </c>
    </row>
    <row r="3130" spans="2:7">
      <c r="B3130" s="267"/>
      <c r="C3130" s="87" t="s">
        <v>1713</v>
      </c>
      <c r="D3130" s="66">
        <f>VLOOKUP(C3130,基本字段定义!$B$3:$C$3008,2,FALSE)</f>
        <v>9271</v>
      </c>
      <c r="E3130" s="88" t="s">
        <v>339</v>
      </c>
      <c r="F3130" s="88"/>
      <c r="G3130" s="150" t="s">
        <v>1714</v>
      </c>
    </row>
    <row r="3131" spans="2:7">
      <c r="B3131" s="268"/>
      <c r="C3131" s="71"/>
      <c r="D3131" s="79"/>
      <c r="E3131" s="73"/>
      <c r="F3131" s="73"/>
      <c r="G3131" s="74"/>
    </row>
    <row r="3133" spans="2:7">
      <c r="B3133" s="53" t="s">
        <v>146</v>
      </c>
      <c r="C3133" s="80">
        <v>204550</v>
      </c>
      <c r="D3133" s="81"/>
      <c r="E3133" s="82"/>
      <c r="F3133" s="54" t="s">
        <v>326</v>
      </c>
      <c r="G3133" s="55"/>
    </row>
    <row r="3134" spans="2:7">
      <c r="B3134" s="56" t="s">
        <v>327</v>
      </c>
      <c r="C3134" s="83" t="str">
        <f>VLOOKUP(C3133,功能索引!$C$3:$D$269,2,FALSE)</f>
        <v>综合业务委托之质押质押快速微贷</v>
      </c>
      <c r="D3134" s="84"/>
      <c r="E3134" s="85"/>
      <c r="F3134" s="57" t="s">
        <v>371</v>
      </c>
      <c r="G3134" s="58">
        <f>VLOOKUP(C3133,功能索引!$C$3:$E3503,3,FALSE)</f>
        <v>0</v>
      </c>
    </row>
    <row r="3135" spans="2:7">
      <c r="B3135" s="269" t="s">
        <v>328</v>
      </c>
      <c r="C3135" s="95"/>
      <c r="D3135" s="96"/>
      <c r="E3135" s="96"/>
      <c r="F3135" s="96"/>
      <c r="G3135" s="97"/>
    </row>
    <row r="3136" spans="2:7">
      <c r="B3136" s="270"/>
      <c r="C3136" s="98"/>
      <c r="D3136" s="99"/>
      <c r="E3136" s="99"/>
      <c r="F3136" s="99"/>
      <c r="G3136" s="100"/>
    </row>
    <row r="3137" spans="2:7">
      <c r="B3137" s="271" t="s">
        <v>329</v>
      </c>
      <c r="C3137" s="54" t="s">
        <v>330</v>
      </c>
      <c r="D3137" s="54" t="s">
        <v>331</v>
      </c>
      <c r="E3137" s="54" t="s">
        <v>332</v>
      </c>
      <c r="F3137" s="54" t="s">
        <v>333</v>
      </c>
      <c r="G3137" s="60" t="s">
        <v>334</v>
      </c>
    </row>
    <row r="3138" spans="2:7">
      <c r="B3138" s="269"/>
      <c r="C3138" s="61" t="s">
        <v>361</v>
      </c>
      <c r="D3138" s="62">
        <f>VLOOKUP(C3138,基本字段定义!$B$3:$C$3008,2,FALSE)</f>
        <v>599</v>
      </c>
      <c r="E3138" s="63" t="s">
        <v>339</v>
      </c>
      <c r="F3138" s="63" t="s">
        <v>152</v>
      </c>
      <c r="G3138" s="64" t="s">
        <v>363</v>
      </c>
    </row>
    <row r="3139" spans="2:7">
      <c r="B3139" s="269"/>
      <c r="C3139" s="61" t="s">
        <v>405</v>
      </c>
      <c r="D3139" s="62">
        <f>VLOOKUP(C3139,基本字段定义!$B$3:$C$3008,2,FALSE)</f>
        <v>571</v>
      </c>
      <c r="E3139" s="63" t="s">
        <v>339</v>
      </c>
      <c r="F3139" s="63" t="s">
        <v>152</v>
      </c>
      <c r="G3139" s="64" t="s">
        <v>407</v>
      </c>
    </row>
    <row r="3140" spans="2:7">
      <c r="B3140" s="269"/>
      <c r="C3140" s="61" t="s">
        <v>640</v>
      </c>
      <c r="D3140" s="62">
        <f>VLOOKUP(C3140,基本字段定义!$B$3:$C$3008,2,FALSE)</f>
        <v>719</v>
      </c>
      <c r="E3140" s="63" t="s">
        <v>339</v>
      </c>
      <c r="F3140" s="63"/>
      <c r="G3140" s="64" t="s">
        <v>1715</v>
      </c>
    </row>
    <row r="3141" spans="2:7">
      <c r="B3141" s="269"/>
      <c r="C3141" s="61" t="s">
        <v>402</v>
      </c>
      <c r="D3141" s="62">
        <f>VLOOKUP(C3141,基本字段定义!$B$3:$C$3008,2,FALSE)</f>
        <v>605</v>
      </c>
      <c r="E3141" s="63" t="s">
        <v>339</v>
      </c>
      <c r="F3141" s="63" t="s">
        <v>152</v>
      </c>
      <c r="G3141" s="64" t="s">
        <v>404</v>
      </c>
    </row>
    <row r="3142" spans="2:7" ht="60" customHeight="1">
      <c r="B3142" s="269"/>
      <c r="C3142" s="61" t="s">
        <v>1092</v>
      </c>
      <c r="D3142" s="62">
        <f>VLOOKUP(C3142,基本字段定义!$B$3:$C$3008,2,FALSE)</f>
        <v>1077</v>
      </c>
      <c r="E3142" s="63" t="s">
        <v>339</v>
      </c>
      <c r="F3142" s="63"/>
      <c r="G3142" s="86" t="s">
        <v>1716</v>
      </c>
    </row>
    <row r="3143" spans="2:7" ht="25.5">
      <c r="B3143" s="269"/>
      <c r="C3143" s="61" t="s">
        <v>841</v>
      </c>
      <c r="D3143" s="62">
        <f>VLOOKUP(C3143,基本字段定义!$B$3:$C$3008,2,FALSE)</f>
        <v>595</v>
      </c>
      <c r="E3143" s="63" t="s">
        <v>339</v>
      </c>
      <c r="F3143" s="63"/>
      <c r="G3143" s="86" t="s">
        <v>1717</v>
      </c>
    </row>
    <row r="3144" spans="2:7">
      <c r="B3144" s="269"/>
      <c r="C3144" s="61" t="s">
        <v>776</v>
      </c>
      <c r="D3144" s="62">
        <f>VLOOKUP(C3144,基本字段定义!$B$3:$C$3008,2,FALSE)</f>
        <v>684</v>
      </c>
      <c r="E3144" s="63" t="s">
        <v>398</v>
      </c>
      <c r="F3144" s="63"/>
      <c r="G3144" s="86" t="s">
        <v>1718</v>
      </c>
    </row>
    <row r="3145" spans="2:7">
      <c r="B3145" s="269"/>
      <c r="C3145" s="61" t="s">
        <v>1533</v>
      </c>
      <c r="D3145" s="62">
        <f>VLOOKUP(C3145,基本字段定义!$B$3:$C$3008,2,FALSE)</f>
        <v>3609</v>
      </c>
      <c r="E3145" s="63" t="s">
        <v>337</v>
      </c>
      <c r="F3145" s="63" t="s">
        <v>152</v>
      </c>
      <c r="G3145" s="86" t="s">
        <v>1534</v>
      </c>
    </row>
    <row r="3146" spans="2:7">
      <c r="B3146" s="269"/>
      <c r="C3146" s="61" t="s">
        <v>1553</v>
      </c>
      <c r="D3146" s="62">
        <f>VLOOKUP(C3146,基本字段定义!$B$3:$C$3008,2,FALSE)</f>
        <v>1756</v>
      </c>
      <c r="E3146" s="63" t="s">
        <v>339</v>
      </c>
      <c r="F3146" s="63" t="s">
        <v>152</v>
      </c>
      <c r="G3146" s="86" t="s">
        <v>1554</v>
      </c>
    </row>
    <row r="3147" spans="2:7">
      <c r="B3147" s="269"/>
      <c r="C3147" s="61" t="s">
        <v>437</v>
      </c>
      <c r="D3147" s="62">
        <f>VLOOKUP(C3147,基本字段定义!$B$3:$C$3008,2,FALSE)</f>
        <v>680</v>
      </c>
      <c r="E3147" s="63" t="s">
        <v>337</v>
      </c>
      <c r="F3147" s="63"/>
      <c r="G3147" s="86" t="s">
        <v>1719</v>
      </c>
    </row>
    <row r="3148" spans="2:7">
      <c r="B3148" s="269"/>
      <c r="C3148" s="61" t="s">
        <v>1720</v>
      </c>
      <c r="D3148" s="62">
        <f>VLOOKUP(C3148,基本字段定义!$B$3:$C$3008,2,FALSE)</f>
        <v>564</v>
      </c>
      <c r="E3148" s="63" t="s">
        <v>339</v>
      </c>
      <c r="F3148" s="63"/>
      <c r="G3148" s="86" t="s">
        <v>1721</v>
      </c>
    </row>
    <row r="3149" spans="2:7">
      <c r="B3149" s="269"/>
      <c r="C3149" s="61" t="s">
        <v>432</v>
      </c>
      <c r="D3149" s="62">
        <f>VLOOKUP(C3149,基本字段定义!$B$3:$C$3008,2,FALSE)</f>
        <v>988</v>
      </c>
      <c r="E3149" s="63" t="s">
        <v>339</v>
      </c>
      <c r="F3149" s="63"/>
      <c r="G3149" s="86" t="s">
        <v>1722</v>
      </c>
    </row>
    <row r="3150" spans="2:7">
      <c r="B3150" s="269"/>
      <c r="C3150" s="61" t="s">
        <v>1723</v>
      </c>
      <c r="D3150" s="62">
        <f>VLOOKUP(C3150,基本字段定义!$B$3:$C$3008,2,FALSE)</f>
        <v>1350</v>
      </c>
      <c r="E3150" s="63" t="s">
        <v>339</v>
      </c>
      <c r="F3150" s="63"/>
      <c r="G3150" s="86" t="s">
        <v>1724</v>
      </c>
    </row>
    <row r="3151" spans="2:7">
      <c r="B3151" s="269"/>
      <c r="C3151" s="61" t="s">
        <v>1066</v>
      </c>
      <c r="D3151" s="62">
        <f>VLOOKUP(C3151,基本字段定义!$B$3:$C$3008,2,FALSE)</f>
        <v>9132</v>
      </c>
      <c r="E3151" s="63" t="s">
        <v>537</v>
      </c>
      <c r="F3151" s="63"/>
      <c r="G3151" s="86" t="s">
        <v>1725</v>
      </c>
    </row>
    <row r="3152" spans="2:7">
      <c r="B3152" s="266" t="s">
        <v>335</v>
      </c>
      <c r="C3152" s="87" t="s">
        <v>683</v>
      </c>
      <c r="D3152" s="66">
        <f>VLOOKUP(C3152,基本字段定义!$B$3:$C$3008,2,FALSE)</f>
        <v>524</v>
      </c>
      <c r="E3152" s="88" t="s">
        <v>339</v>
      </c>
      <c r="F3152" s="89"/>
      <c r="G3152" s="90" t="s">
        <v>1726</v>
      </c>
    </row>
    <row r="3153" spans="2:7">
      <c r="B3153" s="267"/>
      <c r="C3153" s="87" t="s">
        <v>1248</v>
      </c>
      <c r="D3153" s="66">
        <f>VLOOKUP(C3153,基本字段定义!$B$3:$C$3008,2,FALSE)</f>
        <v>621</v>
      </c>
      <c r="E3153" s="88" t="s">
        <v>339</v>
      </c>
      <c r="F3153" s="89"/>
      <c r="G3153" s="90" t="s">
        <v>1366</v>
      </c>
    </row>
    <row r="3154" spans="2:7">
      <c r="B3154" s="267"/>
      <c r="C3154" s="87" t="s">
        <v>1308</v>
      </c>
      <c r="D3154" s="66">
        <f>VLOOKUP(C3154,基本字段定义!$B$3:$C$3008,2,FALSE)</f>
        <v>1430</v>
      </c>
      <c r="E3154" s="88" t="s">
        <v>339</v>
      </c>
      <c r="F3154" s="89"/>
      <c r="G3154" s="90" t="s">
        <v>1727</v>
      </c>
    </row>
    <row r="3155" spans="2:7">
      <c r="B3155" s="267"/>
      <c r="C3155" s="87" t="s">
        <v>1503</v>
      </c>
      <c r="D3155" s="66">
        <f>VLOOKUP(C3155,基本字段定义!$B$3:$C$3008,2,FALSE)</f>
        <v>1248</v>
      </c>
      <c r="E3155" s="88" t="s">
        <v>339</v>
      </c>
      <c r="F3155" s="89"/>
      <c r="G3155" s="90" t="s">
        <v>1468</v>
      </c>
    </row>
    <row r="3156" spans="2:7">
      <c r="B3156" s="267"/>
      <c r="C3156" s="87" t="s">
        <v>1557</v>
      </c>
      <c r="D3156" s="66">
        <f>VLOOKUP(C3156,基本字段定义!$B$3:$C$3008,2,FALSE)</f>
        <v>1951</v>
      </c>
      <c r="E3156" s="88" t="s">
        <v>339</v>
      </c>
      <c r="F3156" s="89"/>
      <c r="G3156" s="90" t="s">
        <v>1728</v>
      </c>
    </row>
    <row r="3157" spans="2:7">
      <c r="B3157" s="267"/>
      <c r="C3157" s="87" t="s">
        <v>1729</v>
      </c>
      <c r="D3157" s="66">
        <f>VLOOKUP(C3157,基本字段定义!$B$3:$C$3008,2,FALSE)</f>
        <v>1260</v>
      </c>
      <c r="E3157" s="88" t="s">
        <v>339</v>
      </c>
      <c r="F3157" s="89"/>
      <c r="G3157" s="90" t="s">
        <v>1730</v>
      </c>
    </row>
    <row r="3158" spans="2:7">
      <c r="B3158" s="267"/>
      <c r="C3158" s="87" t="s">
        <v>336</v>
      </c>
      <c r="D3158" s="66">
        <f>VLOOKUP(C3158,基本字段定义!$B$3:$C$3008,2,FALSE)</f>
        <v>507</v>
      </c>
      <c r="E3158" s="88" t="s">
        <v>339</v>
      </c>
      <c r="F3158" s="89"/>
      <c r="G3158" s="90" t="s">
        <v>1209</v>
      </c>
    </row>
    <row r="3159" spans="2:7">
      <c r="B3159" s="267"/>
      <c r="C3159" s="65" t="s">
        <v>338</v>
      </c>
      <c r="D3159" s="66">
        <f>VLOOKUP(C3159,基本字段定义!$B$3:$C$3008,2,FALSE)</f>
        <v>508</v>
      </c>
      <c r="E3159" s="67" t="s">
        <v>339</v>
      </c>
      <c r="F3159" s="66"/>
      <c r="G3159" s="69" t="s">
        <v>1597</v>
      </c>
    </row>
    <row r="3160" spans="2:7">
      <c r="B3160" s="268"/>
      <c r="C3160" s="71" t="s">
        <v>882</v>
      </c>
      <c r="D3160" s="79">
        <f>VLOOKUP(C3160,基本字段定义!$B$3:$C$3008,2,FALSE)</f>
        <v>681</v>
      </c>
      <c r="E3160" s="73"/>
      <c r="F3160" s="73"/>
      <c r="G3160" s="74" t="s">
        <v>884</v>
      </c>
    </row>
    <row r="3162" spans="2:7">
      <c r="B3162" s="53" t="s">
        <v>146</v>
      </c>
      <c r="C3162" s="80">
        <v>204588</v>
      </c>
      <c r="D3162" s="81"/>
      <c r="E3162" s="82"/>
      <c r="F3162" s="54" t="s">
        <v>326</v>
      </c>
      <c r="G3162" s="55"/>
    </row>
    <row r="3163" spans="2:7">
      <c r="B3163" s="56" t="s">
        <v>327</v>
      </c>
      <c r="C3163" s="83" t="str">
        <f>VLOOKUP(C3162,功能索引!$C$3:$D$269,2,FALSE)</f>
        <v>查询质押回购协议信息</v>
      </c>
      <c r="D3163" s="84"/>
      <c r="E3163" s="85"/>
      <c r="F3163" s="57" t="s">
        <v>371</v>
      </c>
      <c r="G3163" s="58" t="str">
        <f>VLOOKUP(C3162,功能索引!$C$3:$E3523,3,FALSE)</f>
        <v>Y</v>
      </c>
    </row>
    <row r="3164" spans="2:7">
      <c r="B3164" s="269" t="s">
        <v>328</v>
      </c>
      <c r="C3164" s="95"/>
      <c r="D3164" s="96"/>
      <c r="E3164" s="96"/>
      <c r="F3164" s="96"/>
      <c r="G3164" s="97"/>
    </row>
    <row r="3165" spans="2:7">
      <c r="B3165" s="270"/>
      <c r="C3165" s="98"/>
      <c r="D3165" s="99"/>
      <c r="E3165" s="99"/>
      <c r="F3165" s="99"/>
      <c r="G3165" s="100"/>
    </row>
    <row r="3166" spans="2:7">
      <c r="B3166" s="271" t="s">
        <v>329</v>
      </c>
      <c r="C3166" s="54" t="s">
        <v>330</v>
      </c>
      <c r="D3166" s="54" t="s">
        <v>331</v>
      </c>
      <c r="E3166" s="54" t="s">
        <v>332</v>
      </c>
      <c r="F3166" s="54" t="s">
        <v>333</v>
      </c>
      <c r="G3166" s="60" t="s">
        <v>334</v>
      </c>
    </row>
    <row r="3167" spans="2:7">
      <c r="B3167" s="269"/>
      <c r="C3167" s="61" t="s">
        <v>640</v>
      </c>
      <c r="D3167" s="62">
        <f>VLOOKUP(C3167,基本字段定义!$B$3:$C$3008,2,FALSE)</f>
        <v>719</v>
      </c>
      <c r="E3167" s="63" t="s">
        <v>339</v>
      </c>
      <c r="F3167" s="63"/>
      <c r="G3167" s="64" t="s">
        <v>657</v>
      </c>
    </row>
    <row r="3168" spans="2:7">
      <c r="B3168" s="269"/>
      <c r="C3168" s="61" t="s">
        <v>373</v>
      </c>
      <c r="D3168" s="62">
        <f>VLOOKUP(C3168,基本字段定义!$B$3:$C$3008,2,FALSE)</f>
        <v>697</v>
      </c>
      <c r="E3168" s="63" t="s">
        <v>339</v>
      </c>
      <c r="F3168" s="63"/>
      <c r="G3168" s="64" t="s">
        <v>1731</v>
      </c>
    </row>
    <row r="3169" spans="2:7">
      <c r="B3169" s="269"/>
      <c r="C3169" s="61" t="s">
        <v>417</v>
      </c>
      <c r="D3169" s="62">
        <f>VLOOKUP(C3169,基本字段定义!$B$3:$C$3008,2,FALSE)</f>
        <v>610</v>
      </c>
      <c r="E3169" s="63" t="s">
        <v>339</v>
      </c>
      <c r="F3169" s="63"/>
      <c r="G3169" s="64" t="s">
        <v>1732</v>
      </c>
    </row>
    <row r="3170" spans="2:7">
      <c r="B3170" s="269"/>
      <c r="C3170" s="61" t="s">
        <v>361</v>
      </c>
      <c r="D3170" s="62">
        <f>VLOOKUP(C3170,基本字段定义!$B$3:$C$3008,2,FALSE)</f>
        <v>599</v>
      </c>
      <c r="E3170" s="63" t="s">
        <v>339</v>
      </c>
      <c r="F3170" s="63"/>
      <c r="G3170" s="64" t="s">
        <v>363</v>
      </c>
    </row>
    <row r="3171" spans="2:7">
      <c r="B3171" s="269"/>
      <c r="C3171" s="61" t="s">
        <v>402</v>
      </c>
      <c r="D3171" s="62">
        <f>VLOOKUP(C3171,基本字段定义!$B$3:$C$3008,2,FALSE)</f>
        <v>605</v>
      </c>
      <c r="E3171" s="63" t="s">
        <v>339</v>
      </c>
      <c r="F3171" s="63"/>
      <c r="G3171" s="64" t="s">
        <v>404</v>
      </c>
    </row>
    <row r="3172" spans="2:7">
      <c r="B3172" s="269"/>
      <c r="C3172" s="61" t="s">
        <v>405</v>
      </c>
      <c r="D3172" s="62">
        <f>VLOOKUP(C3172,基本字段定义!$B$3:$C$3008,2,FALSE)</f>
        <v>571</v>
      </c>
      <c r="E3172" s="63" t="s">
        <v>339</v>
      </c>
      <c r="F3172" s="63"/>
      <c r="G3172" s="86" t="s">
        <v>407</v>
      </c>
    </row>
    <row r="3173" spans="2:7">
      <c r="B3173" s="269"/>
      <c r="C3173" s="61" t="s">
        <v>727</v>
      </c>
      <c r="D3173" s="62">
        <f>VLOOKUP(C3173,基本字段定义!$B$3:$C$3008,2,FALSE)</f>
        <v>720</v>
      </c>
      <c r="E3173" s="63" t="s">
        <v>398</v>
      </c>
      <c r="F3173" s="63"/>
      <c r="G3173" s="86" t="s">
        <v>728</v>
      </c>
    </row>
    <row r="3174" spans="2:7">
      <c r="B3174" s="269"/>
      <c r="C3174" s="61" t="s">
        <v>1533</v>
      </c>
      <c r="D3174" s="62">
        <f>VLOOKUP(C3174,基本字段定义!$B$3:$C$3008,2,FALSE)</f>
        <v>3609</v>
      </c>
      <c r="E3174" s="63" t="s">
        <v>337</v>
      </c>
      <c r="F3174" s="63" t="s">
        <v>152</v>
      </c>
      <c r="G3174" s="86" t="s">
        <v>1534</v>
      </c>
    </row>
    <row r="3175" spans="2:7">
      <c r="B3175" s="269"/>
      <c r="C3175" s="61" t="s">
        <v>772</v>
      </c>
      <c r="D3175" s="62">
        <f>VLOOKUP(C3175,基本字段定义!$B$3:$C$3008,2,FALSE)</f>
        <v>683</v>
      </c>
      <c r="E3175" s="63" t="s">
        <v>339</v>
      </c>
      <c r="F3175" s="63"/>
      <c r="G3175" s="86" t="s">
        <v>1733</v>
      </c>
    </row>
    <row r="3176" spans="2:7">
      <c r="B3176" s="269"/>
      <c r="C3176" s="61" t="s">
        <v>1092</v>
      </c>
      <c r="D3176" s="62">
        <f>VLOOKUP(C3176,基本字段定义!$B$3:$C$3008,2,FALSE)</f>
        <v>1077</v>
      </c>
      <c r="E3176" s="63" t="s">
        <v>398</v>
      </c>
      <c r="F3176" s="63"/>
      <c r="G3176" s="86" t="s">
        <v>1093</v>
      </c>
    </row>
    <row r="3177" spans="2:7">
      <c r="B3177" s="269"/>
      <c r="C3177" s="61" t="s">
        <v>1666</v>
      </c>
      <c r="D3177" s="62">
        <f>VLOOKUP(C3177,基本字段定义!$B$3:$C$3008,2,FALSE)</f>
        <v>889</v>
      </c>
      <c r="E3177" s="63" t="s">
        <v>398</v>
      </c>
      <c r="F3177" s="63"/>
      <c r="G3177" s="86" t="s">
        <v>1734</v>
      </c>
    </row>
    <row r="3178" spans="2:7">
      <c r="B3178" s="269"/>
      <c r="C3178" s="61" t="s">
        <v>1735</v>
      </c>
      <c r="D3178" s="62">
        <f>VLOOKUP(C3178,基本字段定义!$B$3:$C$3008,2,FALSE)</f>
        <v>2504</v>
      </c>
      <c r="E3178" s="63" t="s">
        <v>398</v>
      </c>
      <c r="F3178" s="63"/>
      <c r="G3178" s="86" t="s">
        <v>1736</v>
      </c>
    </row>
    <row r="3179" spans="2:7" ht="69" customHeight="1">
      <c r="B3179" s="269"/>
      <c r="C3179" s="61" t="s">
        <v>559</v>
      </c>
      <c r="D3179" s="62">
        <f>VLOOKUP(C3179,基本字段定义!$B$3:$C$3008,2,FALSE)</f>
        <v>9020</v>
      </c>
      <c r="E3179" s="63" t="s">
        <v>339</v>
      </c>
      <c r="F3179" s="63"/>
      <c r="G3179" s="86" t="s">
        <v>1737</v>
      </c>
    </row>
    <row r="3180" spans="2:7">
      <c r="B3180" s="269"/>
      <c r="C3180" s="61" t="s">
        <v>484</v>
      </c>
      <c r="D3180" s="62">
        <f>VLOOKUP(C3180,基本字段定义!$B$3:$C$3008,2,FALSE)</f>
        <v>618</v>
      </c>
      <c r="E3180" s="63" t="s">
        <v>398</v>
      </c>
      <c r="F3180" s="63"/>
      <c r="G3180" s="86" t="s">
        <v>1738</v>
      </c>
    </row>
    <row r="3181" spans="2:7">
      <c r="B3181" s="269"/>
      <c r="C3181" s="61" t="s">
        <v>486</v>
      </c>
      <c r="D3181" s="62">
        <f>VLOOKUP(C3181,基本字段定义!$B$3:$C$3008,2,FALSE)</f>
        <v>590</v>
      </c>
      <c r="E3181" s="63" t="s">
        <v>398</v>
      </c>
      <c r="F3181" s="63"/>
      <c r="G3181" s="86" t="s">
        <v>1739</v>
      </c>
    </row>
    <row r="3182" spans="2:7">
      <c r="B3182" s="269"/>
      <c r="C3182" s="61" t="s">
        <v>733</v>
      </c>
      <c r="D3182" s="62">
        <f>VLOOKUP(C3182,基本字段定义!$B$3:$C$3008,2,FALSE)</f>
        <v>526</v>
      </c>
      <c r="E3182" s="63" t="s">
        <v>398</v>
      </c>
      <c r="F3182" s="63"/>
      <c r="G3182" s="86" t="s">
        <v>940</v>
      </c>
    </row>
    <row r="3183" spans="2:7">
      <c r="B3183" s="269"/>
      <c r="C3183" s="61" t="s">
        <v>869</v>
      </c>
      <c r="D3183" s="62">
        <f>VLOOKUP(C3183,基本字段定义!$B$3:$C$3008,2,FALSE)</f>
        <v>522</v>
      </c>
      <c r="E3183" s="63" t="s">
        <v>339</v>
      </c>
      <c r="F3183" s="63"/>
      <c r="G3183" s="86" t="s">
        <v>938</v>
      </c>
    </row>
    <row r="3184" spans="2:7">
      <c r="B3184" s="269"/>
      <c r="C3184" s="61" t="s">
        <v>1528</v>
      </c>
      <c r="D3184" s="62">
        <f>VLOOKUP(C3184,基本字段定义!$B$3:$C$3008,2,FALSE)</f>
        <v>1252</v>
      </c>
      <c r="E3184" s="63" t="s">
        <v>398</v>
      </c>
      <c r="F3184" s="63"/>
      <c r="G3184" s="86" t="s">
        <v>1529</v>
      </c>
    </row>
    <row r="3185" spans="2:7">
      <c r="B3185" s="269"/>
      <c r="C3185" s="61" t="s">
        <v>1740</v>
      </c>
      <c r="D3185" s="62">
        <f>VLOOKUP(C3185,基本字段定义!$B$3:$C$3008,2,FALSE)</f>
        <v>4099</v>
      </c>
      <c r="E3185" s="63" t="s">
        <v>398</v>
      </c>
      <c r="F3185" s="63"/>
      <c r="G3185" s="86" t="s">
        <v>1741</v>
      </c>
    </row>
    <row r="3186" spans="2:7">
      <c r="B3186" s="269"/>
      <c r="C3186" s="61" t="s">
        <v>1742</v>
      </c>
      <c r="D3186" s="62">
        <f>VLOOKUP(C3186,基本字段定义!$B$3:$C$3008,2,FALSE)</f>
        <v>1445</v>
      </c>
      <c r="E3186" s="63" t="s">
        <v>398</v>
      </c>
      <c r="F3186" s="63"/>
      <c r="G3186" s="86" t="s">
        <v>1743</v>
      </c>
    </row>
    <row r="3187" spans="2:7">
      <c r="B3187" s="269"/>
      <c r="C3187" s="61" t="s">
        <v>1744</v>
      </c>
      <c r="D3187" s="62">
        <f>VLOOKUP(C3187,基本字段定义!$B$3:$C$3008,2,FALSE)</f>
        <v>739</v>
      </c>
      <c r="E3187" s="63" t="s">
        <v>398</v>
      </c>
      <c r="F3187" s="63"/>
      <c r="G3187" s="86" t="s">
        <v>1745</v>
      </c>
    </row>
    <row r="3188" spans="2:7">
      <c r="B3188" s="269"/>
      <c r="C3188" s="61" t="s">
        <v>432</v>
      </c>
      <c r="D3188" s="62">
        <f>VLOOKUP(C3188,基本字段定义!$B$3:$C$3008,2,FALSE)</f>
        <v>988</v>
      </c>
      <c r="E3188" s="63" t="s">
        <v>398</v>
      </c>
      <c r="F3188" s="63"/>
      <c r="G3188" s="86" t="s">
        <v>1746</v>
      </c>
    </row>
    <row r="3189" spans="2:7">
      <c r="B3189" s="269"/>
      <c r="C3189" s="61" t="s">
        <v>1525</v>
      </c>
      <c r="D3189" s="62">
        <f>VLOOKUP(C3189,基本字段定义!$B$3:$C$3008,2,FALSE)</f>
        <v>1894</v>
      </c>
      <c r="E3189" s="63" t="s">
        <v>398</v>
      </c>
      <c r="F3189" s="63"/>
      <c r="G3189" s="86" t="s">
        <v>1747</v>
      </c>
    </row>
    <row r="3190" spans="2:7">
      <c r="B3190" s="269"/>
      <c r="C3190" s="61" t="s">
        <v>437</v>
      </c>
      <c r="D3190" s="62">
        <f>VLOOKUP(C3190,基本字段定义!$B$3:$C$3008,2,FALSE)</f>
        <v>680</v>
      </c>
      <c r="E3190" s="63" t="s">
        <v>398</v>
      </c>
      <c r="F3190" s="63"/>
      <c r="G3190" s="86" t="s">
        <v>1748</v>
      </c>
    </row>
    <row r="3191" spans="2:7">
      <c r="B3191" s="269"/>
      <c r="C3191" s="61" t="s">
        <v>1749</v>
      </c>
      <c r="D3191" s="62">
        <f>VLOOKUP(C3191,基本字段定义!$B$3:$C$3008,2,FALSE)</f>
        <v>1904</v>
      </c>
      <c r="E3191" s="63" t="s">
        <v>398</v>
      </c>
      <c r="F3191" s="63"/>
      <c r="G3191" s="86" t="s">
        <v>1750</v>
      </c>
    </row>
    <row r="3192" spans="2:7">
      <c r="B3192" s="269"/>
      <c r="C3192" s="61" t="s">
        <v>588</v>
      </c>
      <c r="D3192" s="62">
        <f>VLOOKUP(C3192,基本字段定义!$B$3:$C$3008,2,FALSE)</f>
        <v>763</v>
      </c>
      <c r="E3192" s="63" t="s">
        <v>398</v>
      </c>
      <c r="F3192" s="63"/>
      <c r="G3192" s="86" t="s">
        <v>1751</v>
      </c>
    </row>
    <row r="3193" spans="2:7">
      <c r="B3193" s="269"/>
      <c r="C3193" s="61" t="s">
        <v>590</v>
      </c>
      <c r="D3193" s="62">
        <f>VLOOKUP(C3193,基本字段定义!$B$3:$C$3008,2,FALSE)</f>
        <v>9110</v>
      </c>
      <c r="E3193" s="63" t="s">
        <v>398</v>
      </c>
      <c r="F3193" s="63"/>
      <c r="G3193" s="86" t="s">
        <v>1752</v>
      </c>
    </row>
    <row r="3194" spans="2:7">
      <c r="B3194" s="269"/>
      <c r="C3194" s="61" t="s">
        <v>586</v>
      </c>
      <c r="D3194" s="62">
        <f>VLOOKUP(C3194,基本字段定义!$B$3:$C$3008,2,FALSE)</f>
        <v>9109</v>
      </c>
      <c r="E3194" s="63" t="s">
        <v>398</v>
      </c>
      <c r="F3194" s="63"/>
      <c r="G3194" s="86" t="s">
        <v>1753</v>
      </c>
    </row>
    <row r="3195" spans="2:7">
      <c r="B3195" s="266" t="s">
        <v>335</v>
      </c>
      <c r="C3195" s="139" t="s">
        <v>1666</v>
      </c>
      <c r="D3195" s="66">
        <f>VLOOKUP(C3195,基本字段定义!$B$3:$C$3008,2,FALSE)</f>
        <v>889</v>
      </c>
      <c r="E3195" s="88" t="s">
        <v>398</v>
      </c>
      <c r="F3195" s="88"/>
      <c r="G3195" s="147" t="s">
        <v>1754</v>
      </c>
    </row>
    <row r="3196" spans="2:7">
      <c r="B3196" s="267"/>
      <c r="C3196" s="139" t="s">
        <v>1092</v>
      </c>
      <c r="D3196" s="66">
        <f>VLOOKUP(C3196,基本字段定义!$B$3:$C$3008,2,FALSE)</f>
        <v>1077</v>
      </c>
      <c r="E3196" s="88" t="s">
        <v>398</v>
      </c>
      <c r="F3196" s="88"/>
      <c r="G3196" s="147" t="s">
        <v>1093</v>
      </c>
    </row>
    <row r="3197" spans="2:7">
      <c r="B3197" s="267"/>
      <c r="C3197" s="139" t="s">
        <v>402</v>
      </c>
      <c r="D3197" s="66">
        <f>VLOOKUP(C3197,基本字段定义!$B$3:$C$3008,2,FALSE)</f>
        <v>605</v>
      </c>
      <c r="E3197" s="88" t="s">
        <v>403</v>
      </c>
      <c r="F3197" s="88"/>
      <c r="G3197" s="147" t="s">
        <v>404</v>
      </c>
    </row>
    <row r="3198" spans="2:7">
      <c r="B3198" s="267"/>
      <c r="C3198" s="139" t="s">
        <v>420</v>
      </c>
      <c r="D3198" s="66">
        <f>VLOOKUP(C3198,基本字段定义!$B$3:$C$3008,2,FALSE)</f>
        <v>613</v>
      </c>
      <c r="E3198" s="88" t="s">
        <v>412</v>
      </c>
      <c r="F3198" s="88"/>
      <c r="G3198" s="147" t="s">
        <v>789</v>
      </c>
    </row>
    <row r="3199" spans="2:7">
      <c r="B3199" s="267"/>
      <c r="C3199" s="139" t="s">
        <v>373</v>
      </c>
      <c r="D3199" s="66">
        <f>VLOOKUP(C3199,基本字段定义!$B$3:$C$3008,2,FALSE)</f>
        <v>697</v>
      </c>
      <c r="E3199" s="88" t="s">
        <v>345</v>
      </c>
      <c r="F3199" s="88"/>
      <c r="G3199" s="147" t="s">
        <v>374</v>
      </c>
    </row>
    <row r="3200" spans="2:7">
      <c r="B3200" s="267"/>
      <c r="C3200" s="139" t="s">
        <v>417</v>
      </c>
      <c r="D3200" s="66">
        <f>VLOOKUP(C3200,基本字段定义!$B$3:$C$3008,2,FALSE)</f>
        <v>610</v>
      </c>
      <c r="E3200" s="88" t="s">
        <v>362</v>
      </c>
      <c r="F3200" s="88"/>
      <c r="G3200" s="147" t="s">
        <v>852</v>
      </c>
    </row>
    <row r="3201" spans="2:7">
      <c r="B3201" s="267"/>
      <c r="C3201" s="139" t="s">
        <v>361</v>
      </c>
      <c r="D3201" s="66">
        <f>VLOOKUP(C3201,基本字段定义!$B$3:$C$3008,2,FALSE)</f>
        <v>599</v>
      </c>
      <c r="E3201" s="88" t="s">
        <v>362</v>
      </c>
      <c r="F3201" s="88"/>
      <c r="G3201" s="147" t="s">
        <v>363</v>
      </c>
    </row>
    <row r="3202" spans="2:7">
      <c r="B3202" s="267"/>
      <c r="C3202" s="139" t="s">
        <v>405</v>
      </c>
      <c r="D3202" s="66">
        <f>VLOOKUP(C3202,基本字段定义!$B$3:$C$3008,2,FALSE)</f>
        <v>571</v>
      </c>
      <c r="E3202" s="88" t="s">
        <v>406</v>
      </c>
      <c r="F3202" s="88"/>
      <c r="G3202" s="147" t="s">
        <v>407</v>
      </c>
    </row>
    <row r="3203" spans="2:7">
      <c r="B3203" s="267"/>
      <c r="C3203" s="139" t="s">
        <v>640</v>
      </c>
      <c r="D3203" s="66">
        <f>VLOOKUP(C3203,基本字段定义!$B$3:$C$3008,2,FALSE)</f>
        <v>719</v>
      </c>
      <c r="E3203" s="88" t="s">
        <v>480</v>
      </c>
      <c r="F3203" s="88"/>
      <c r="G3203" s="147" t="s">
        <v>657</v>
      </c>
    </row>
    <row r="3204" spans="2:7">
      <c r="B3204" s="267"/>
      <c r="C3204" s="139" t="s">
        <v>659</v>
      </c>
      <c r="D3204" s="66">
        <f>VLOOKUP(C3204,基本字段定义!$B$3:$C$3008,2,FALSE)</f>
        <v>722</v>
      </c>
      <c r="E3204" s="88" t="s">
        <v>480</v>
      </c>
      <c r="F3204" s="88"/>
      <c r="G3204" s="147" t="s">
        <v>660</v>
      </c>
    </row>
    <row r="3205" spans="2:7">
      <c r="B3205" s="267"/>
      <c r="C3205" s="139" t="s">
        <v>1525</v>
      </c>
      <c r="D3205" s="66">
        <f>VLOOKUP(C3205,基本字段定义!$B$3:$C$3008,2,FALSE)</f>
        <v>1894</v>
      </c>
      <c r="E3205" s="88" t="s">
        <v>398</v>
      </c>
      <c r="F3205" s="88"/>
      <c r="G3205" s="147" t="s">
        <v>1755</v>
      </c>
    </row>
    <row r="3206" spans="2:7">
      <c r="B3206" s="267"/>
      <c r="C3206" s="139" t="s">
        <v>681</v>
      </c>
      <c r="D3206" s="66">
        <f>VLOOKUP(C3206,基本字段定义!$B$3:$C$3008,2,FALSE)</f>
        <v>528</v>
      </c>
      <c r="E3206" s="88" t="s">
        <v>398</v>
      </c>
      <c r="F3206" s="88"/>
      <c r="G3206" s="147" t="s">
        <v>916</v>
      </c>
    </row>
    <row r="3207" spans="2:7">
      <c r="B3207" s="267"/>
      <c r="C3207" s="139" t="s">
        <v>683</v>
      </c>
      <c r="D3207" s="66">
        <f>VLOOKUP(C3207,基本字段定义!$B$3:$C$3008,2,FALSE)</f>
        <v>524</v>
      </c>
      <c r="E3207" s="88" t="s">
        <v>1756</v>
      </c>
      <c r="F3207" s="88"/>
      <c r="G3207" s="147" t="s">
        <v>917</v>
      </c>
    </row>
    <row r="3208" spans="2:7">
      <c r="B3208" s="267"/>
      <c r="C3208" s="139" t="s">
        <v>1308</v>
      </c>
      <c r="D3208" s="66">
        <f>VLOOKUP(C3208,基本字段定义!$B$3:$C$3008,2,FALSE)</f>
        <v>1430</v>
      </c>
      <c r="E3208" s="88" t="s">
        <v>1561</v>
      </c>
      <c r="F3208" s="88"/>
      <c r="G3208" s="147" t="s">
        <v>1757</v>
      </c>
    </row>
    <row r="3209" spans="2:7">
      <c r="B3209" s="267"/>
      <c r="C3209" s="139" t="s">
        <v>1758</v>
      </c>
      <c r="D3209" s="66">
        <f>VLOOKUP(C3209,基本字段定义!$B$3:$C$3008,2,FALSE)</f>
        <v>4219</v>
      </c>
      <c r="E3209" s="88" t="s">
        <v>1561</v>
      </c>
      <c r="F3209" s="88"/>
      <c r="G3209" s="147" t="s">
        <v>1759</v>
      </c>
    </row>
    <row r="3210" spans="2:7">
      <c r="B3210" s="267"/>
      <c r="C3210" s="139" t="s">
        <v>1477</v>
      </c>
      <c r="D3210" s="66">
        <f>VLOOKUP(C3210,基本字段定义!$B$3:$C$3008,2,FALSE)</f>
        <v>1083</v>
      </c>
      <c r="E3210" s="88" t="s">
        <v>398</v>
      </c>
      <c r="F3210" s="88"/>
      <c r="G3210" s="147" t="s">
        <v>1478</v>
      </c>
    </row>
    <row r="3211" spans="2:7">
      <c r="B3211" s="267"/>
      <c r="C3211" s="139" t="s">
        <v>1238</v>
      </c>
      <c r="D3211" s="66">
        <f>VLOOKUP(C3211,基本字段定义!$B$3:$C$3008,2,FALSE)</f>
        <v>517</v>
      </c>
      <c r="E3211" s="88" t="s">
        <v>1561</v>
      </c>
      <c r="F3211" s="88"/>
      <c r="G3211" s="147" t="s">
        <v>1479</v>
      </c>
    </row>
    <row r="3212" spans="2:7">
      <c r="B3212" s="267"/>
      <c r="C3212" s="139" t="s">
        <v>1353</v>
      </c>
      <c r="D3212" s="66">
        <f>VLOOKUP(C3212,基本字段定义!$B$3:$C$3008,2,FALSE)</f>
        <v>1733</v>
      </c>
      <c r="E3212" s="88" t="s">
        <v>1561</v>
      </c>
      <c r="F3212" s="88"/>
      <c r="G3212" s="147" t="s">
        <v>1760</v>
      </c>
    </row>
    <row r="3213" spans="2:7">
      <c r="B3213" s="267"/>
      <c r="C3213" s="139" t="s">
        <v>733</v>
      </c>
      <c r="D3213" s="66">
        <f>VLOOKUP(C3213,基本字段定义!$B$3:$C$3008,2,FALSE)</f>
        <v>526</v>
      </c>
      <c r="E3213" s="88" t="s">
        <v>398</v>
      </c>
      <c r="F3213" s="88"/>
      <c r="G3213" s="147" t="s">
        <v>940</v>
      </c>
    </row>
    <row r="3214" spans="2:7">
      <c r="B3214" s="267"/>
      <c r="C3214" s="139" t="s">
        <v>1761</v>
      </c>
      <c r="D3214" s="66">
        <f>VLOOKUP(C3214,基本字段定义!$B$3:$C$3008,2,FALSE)</f>
        <v>4136</v>
      </c>
      <c r="E3214" s="88" t="s">
        <v>398</v>
      </c>
      <c r="F3214" s="88"/>
      <c r="G3214" s="147" t="s">
        <v>1762</v>
      </c>
    </row>
    <row r="3215" spans="2:7">
      <c r="B3215" s="267"/>
      <c r="C3215" s="139" t="s">
        <v>1548</v>
      </c>
      <c r="D3215" s="66">
        <f>VLOOKUP(C3215,基本字段定义!$B$3:$C$3008,2,FALSE)</f>
        <v>4220</v>
      </c>
      <c r="E3215" s="88" t="s">
        <v>537</v>
      </c>
      <c r="F3215" s="88"/>
      <c r="G3215" s="147" t="s">
        <v>1549</v>
      </c>
    </row>
    <row r="3216" spans="2:7">
      <c r="B3216" s="267"/>
      <c r="C3216" s="139" t="s">
        <v>882</v>
      </c>
      <c r="D3216" s="66">
        <f>VLOOKUP(C3216,基本字段定义!$B$3:$C$3008,2,FALSE)</f>
        <v>681</v>
      </c>
      <c r="E3216" s="88" t="s">
        <v>398</v>
      </c>
      <c r="F3216" s="88"/>
      <c r="G3216" s="147" t="s">
        <v>884</v>
      </c>
    </row>
    <row r="3217" spans="2:7">
      <c r="B3217" s="267"/>
      <c r="C3217" s="139" t="s">
        <v>925</v>
      </c>
      <c r="D3217" s="66">
        <f>VLOOKUP(C3217,基本字段定义!$B$3:$C$3008,2,FALSE)</f>
        <v>1011</v>
      </c>
      <c r="E3217" s="88" t="s">
        <v>406</v>
      </c>
      <c r="F3217" s="88"/>
      <c r="G3217" s="147" t="s">
        <v>929</v>
      </c>
    </row>
    <row r="3218" spans="2:7">
      <c r="B3218" s="267"/>
      <c r="C3218" s="139" t="s">
        <v>869</v>
      </c>
      <c r="D3218" s="66">
        <f>VLOOKUP(C3218,基本字段定义!$B$3:$C$3008,2,FALSE)</f>
        <v>522</v>
      </c>
      <c r="E3218" s="88" t="s">
        <v>609</v>
      </c>
      <c r="F3218" s="88"/>
      <c r="G3218" s="147" t="s">
        <v>938</v>
      </c>
    </row>
    <row r="3219" spans="2:7">
      <c r="B3219" s="267"/>
      <c r="C3219" s="139" t="s">
        <v>1763</v>
      </c>
      <c r="D3219" s="66">
        <f>VLOOKUP(C3219,基本字段定义!$B$3:$C$3008,2,FALSE)</f>
        <v>4221</v>
      </c>
      <c r="E3219" s="88" t="s">
        <v>398</v>
      </c>
      <c r="F3219" s="88"/>
      <c r="G3219" s="147" t="s">
        <v>1529</v>
      </c>
    </row>
    <row r="3220" spans="2:7">
      <c r="B3220" s="267"/>
      <c r="C3220" s="139" t="s">
        <v>1528</v>
      </c>
      <c r="D3220" s="66">
        <f>VLOOKUP(C3220,基本字段定义!$B$3:$C$3008,2,FALSE)</f>
        <v>1252</v>
      </c>
      <c r="E3220" s="88" t="s">
        <v>398</v>
      </c>
      <c r="F3220" s="88"/>
      <c r="G3220" s="147" t="s">
        <v>1764</v>
      </c>
    </row>
    <row r="3221" spans="2:7">
      <c r="B3221" s="267"/>
      <c r="C3221" s="139" t="s">
        <v>486</v>
      </c>
      <c r="D3221" s="66">
        <f>VLOOKUP(C3221,基本字段定义!$B$3:$C$3008,2,FALSE)</f>
        <v>590</v>
      </c>
      <c r="E3221" s="88" t="s">
        <v>398</v>
      </c>
      <c r="F3221" s="88"/>
      <c r="G3221" s="147" t="s">
        <v>1441</v>
      </c>
    </row>
    <row r="3222" spans="2:7">
      <c r="B3222" s="267"/>
      <c r="C3222" s="139" t="s">
        <v>1740</v>
      </c>
      <c r="D3222" s="66">
        <f>VLOOKUP(C3222,基本字段定义!$B$3:$C$3008,2,FALSE)</f>
        <v>4099</v>
      </c>
      <c r="E3222" s="88" t="s">
        <v>398</v>
      </c>
      <c r="F3222" s="88"/>
      <c r="G3222" s="147" t="s">
        <v>1765</v>
      </c>
    </row>
    <row r="3223" spans="2:7">
      <c r="B3223" s="267"/>
      <c r="C3223" s="139" t="s">
        <v>1357</v>
      </c>
      <c r="D3223" s="66">
        <f>VLOOKUP(C3223,基本字段定义!$B$3:$C$3008,2,FALSE)</f>
        <v>1941</v>
      </c>
      <c r="E3223" s="88" t="s">
        <v>398</v>
      </c>
      <c r="F3223" s="88"/>
      <c r="G3223" s="147" t="s">
        <v>1766</v>
      </c>
    </row>
    <row r="3224" spans="2:7">
      <c r="B3224" s="267"/>
      <c r="C3224" s="139" t="s">
        <v>772</v>
      </c>
      <c r="D3224" s="66">
        <f>VLOOKUP(C3224,基本字段定义!$B$3:$C$3008,2,FALSE)</f>
        <v>683</v>
      </c>
      <c r="E3224" s="88" t="s">
        <v>398</v>
      </c>
      <c r="F3224" s="88"/>
      <c r="G3224" s="147" t="s">
        <v>1767</v>
      </c>
    </row>
    <row r="3225" spans="2:7">
      <c r="B3225" s="267"/>
      <c r="C3225" s="139" t="s">
        <v>1503</v>
      </c>
      <c r="D3225" s="66">
        <f>VLOOKUP(C3225,基本字段定义!$B$3:$C$3008,2,FALSE)</f>
        <v>1248</v>
      </c>
      <c r="E3225" s="88" t="s">
        <v>1559</v>
      </c>
      <c r="F3225" s="88"/>
      <c r="G3225" s="147" t="s">
        <v>1768</v>
      </c>
    </row>
    <row r="3226" spans="2:7">
      <c r="B3226" s="267"/>
      <c r="C3226" s="139" t="s">
        <v>1742</v>
      </c>
      <c r="D3226" s="66">
        <f>VLOOKUP(C3226,基本字段定义!$B$3:$C$3008,2,FALSE)</f>
        <v>1445</v>
      </c>
      <c r="E3226" s="88" t="s">
        <v>398</v>
      </c>
      <c r="F3226" s="88"/>
      <c r="G3226" s="147" t="s">
        <v>1743</v>
      </c>
    </row>
    <row r="3227" spans="2:7">
      <c r="B3227" s="267"/>
      <c r="C3227" s="139" t="s">
        <v>1769</v>
      </c>
      <c r="D3227" s="66">
        <f>VLOOKUP(C3227,基本字段定义!$B$3:$C$3008,2,FALSE)</f>
        <v>9001</v>
      </c>
      <c r="E3227" s="88" t="s">
        <v>461</v>
      </c>
      <c r="F3227" s="88"/>
      <c r="G3227" s="147" t="s">
        <v>1667</v>
      </c>
    </row>
    <row r="3228" spans="2:7">
      <c r="B3228" s="267"/>
      <c r="C3228" s="139" t="s">
        <v>774</v>
      </c>
      <c r="D3228" s="66">
        <f>VLOOKUP(C3228,基本字段定义!$B$3:$C$3008,2,FALSE)</f>
        <v>1907</v>
      </c>
      <c r="E3228" s="88" t="s">
        <v>339</v>
      </c>
      <c r="F3228" s="88"/>
      <c r="G3228" s="147" t="s">
        <v>775</v>
      </c>
    </row>
    <row r="3229" spans="2:7">
      <c r="B3229" s="267"/>
      <c r="C3229" s="139" t="s">
        <v>1059</v>
      </c>
      <c r="D3229" s="66">
        <f>VLOOKUP(C3229,基本字段定义!$B$3:$C$3008,2,FALSE)</f>
        <v>9237</v>
      </c>
      <c r="E3229" s="88" t="s">
        <v>398</v>
      </c>
      <c r="F3229" s="88"/>
      <c r="G3229" s="147" t="s">
        <v>1060</v>
      </c>
    </row>
    <row r="3230" spans="2:7">
      <c r="B3230" s="267"/>
      <c r="C3230" s="139" t="s">
        <v>541</v>
      </c>
      <c r="D3230" s="66">
        <f>VLOOKUP(C3230,基本字段定义!$B$3:$C$3008,2,FALSE)</f>
        <v>619</v>
      </c>
      <c r="E3230" s="88" t="s">
        <v>1561</v>
      </c>
      <c r="F3230" s="88"/>
      <c r="G3230" s="147" t="s">
        <v>1770</v>
      </c>
    </row>
    <row r="3231" spans="2:7">
      <c r="B3231" s="267"/>
      <c r="C3231" s="139" t="s">
        <v>872</v>
      </c>
      <c r="D3231" s="66">
        <f>VLOOKUP(C3231,基本字段定义!$B$3:$C$3008,2,FALSE)</f>
        <v>1935</v>
      </c>
      <c r="E3231" s="88" t="s">
        <v>480</v>
      </c>
      <c r="F3231" s="88"/>
      <c r="G3231" s="147" t="s">
        <v>1771</v>
      </c>
    </row>
    <row r="3232" spans="2:7">
      <c r="B3232" s="267"/>
      <c r="C3232" s="139" t="s">
        <v>1772</v>
      </c>
      <c r="D3232" s="66">
        <f>VLOOKUP(C3232,基本字段定义!$B$3:$C$3008,2,FALSE)</f>
        <v>2704</v>
      </c>
      <c r="E3232" s="88" t="s">
        <v>1773</v>
      </c>
      <c r="F3232" s="88"/>
      <c r="G3232" s="147" t="s">
        <v>1774</v>
      </c>
    </row>
    <row r="3233" spans="2:7">
      <c r="B3233" s="267"/>
      <c r="C3233" s="139" t="s">
        <v>1399</v>
      </c>
      <c r="D3233" s="66">
        <f>VLOOKUP(C3233,基本字段定义!$B$3:$C$3008,2,FALSE)</f>
        <v>551</v>
      </c>
      <c r="E3233" s="88" t="s">
        <v>1561</v>
      </c>
      <c r="F3233" s="88"/>
      <c r="G3233" s="147" t="s">
        <v>1775</v>
      </c>
    </row>
    <row r="3234" spans="2:7">
      <c r="B3234" s="267"/>
      <c r="C3234" s="139" t="s">
        <v>1776</v>
      </c>
      <c r="D3234" s="66">
        <f>VLOOKUP(C3234,基本字段定义!$B$3:$C$3008,2,FALSE)</f>
        <v>1241</v>
      </c>
      <c r="E3234" s="88" t="s">
        <v>398</v>
      </c>
      <c r="F3234" s="88"/>
      <c r="G3234" s="147" t="s">
        <v>1777</v>
      </c>
    </row>
    <row r="3235" spans="2:7">
      <c r="B3235" s="267"/>
      <c r="C3235" s="139" t="s">
        <v>1778</v>
      </c>
      <c r="D3235" s="66">
        <f>VLOOKUP(C3235,基本字段定义!$B$3:$C$3008,2,FALSE)</f>
        <v>4107</v>
      </c>
      <c r="E3235" s="88" t="s">
        <v>1561</v>
      </c>
      <c r="F3235" s="88"/>
      <c r="G3235" s="147" t="s">
        <v>1779</v>
      </c>
    </row>
    <row r="3236" spans="2:7">
      <c r="B3236" s="267"/>
      <c r="C3236" s="139" t="s">
        <v>1780</v>
      </c>
      <c r="D3236" s="66">
        <f>VLOOKUP(C3236,基本字段定义!$B$3:$C$3008,2,FALSE)</f>
        <v>2006</v>
      </c>
      <c r="E3236" s="88" t="s">
        <v>1561</v>
      </c>
      <c r="F3236" s="88"/>
      <c r="G3236" s="147" t="s">
        <v>1781</v>
      </c>
    </row>
    <row r="3237" spans="2:7">
      <c r="B3237" s="267"/>
      <c r="C3237" s="139" t="s">
        <v>1782</v>
      </c>
      <c r="D3237" s="66">
        <f>VLOOKUP(C3237,基本字段定义!$B$3:$C$3008,2,FALSE)</f>
        <v>964</v>
      </c>
      <c r="E3237" s="88" t="s">
        <v>1783</v>
      </c>
      <c r="F3237" s="88"/>
      <c r="G3237" s="147" t="s">
        <v>1784</v>
      </c>
    </row>
    <row r="3238" spans="2:7">
      <c r="B3238" s="267"/>
      <c r="C3238" s="139" t="s">
        <v>872</v>
      </c>
      <c r="D3238" s="66">
        <f>VLOOKUP(C3238,基本字段定义!$B$3:$C$3008,2,FALSE)</f>
        <v>1935</v>
      </c>
      <c r="E3238" s="88" t="s">
        <v>339</v>
      </c>
      <c r="F3238" s="88"/>
      <c r="G3238" s="147" t="s">
        <v>1565</v>
      </c>
    </row>
    <row r="3239" spans="2:7">
      <c r="B3239" s="267"/>
      <c r="C3239" s="139" t="s">
        <v>874</v>
      </c>
      <c r="D3239" s="66">
        <f>VLOOKUP(C3239,基本字段定义!$B$3:$C$3008,2,FALSE)</f>
        <v>1936</v>
      </c>
      <c r="E3239" s="88" t="s">
        <v>339</v>
      </c>
      <c r="F3239" s="88"/>
      <c r="G3239" s="147" t="s">
        <v>1785</v>
      </c>
    </row>
    <row r="3240" spans="2:7">
      <c r="B3240" s="267"/>
      <c r="C3240" s="139" t="s">
        <v>1567</v>
      </c>
      <c r="D3240" s="66">
        <f>VLOOKUP(C3240,基本字段定义!$B$3:$C$3008,2,FALSE)</f>
        <v>1937</v>
      </c>
      <c r="E3240" s="88" t="s">
        <v>337</v>
      </c>
      <c r="F3240" s="88"/>
      <c r="G3240" s="147" t="s">
        <v>1786</v>
      </c>
    </row>
    <row r="3241" spans="2:7">
      <c r="B3241" s="267"/>
      <c r="C3241" s="139" t="s">
        <v>1569</v>
      </c>
      <c r="D3241" s="66">
        <f>VLOOKUP(C3241,基本字段定义!$B$3:$C$3008,2,FALSE)</f>
        <v>2505</v>
      </c>
      <c r="E3241" s="88" t="s">
        <v>339</v>
      </c>
      <c r="F3241" s="88"/>
      <c r="G3241" s="147" t="s">
        <v>1787</v>
      </c>
    </row>
    <row r="3242" spans="2:7">
      <c r="B3242" s="267"/>
      <c r="C3242" s="139" t="s">
        <v>1577</v>
      </c>
      <c r="D3242" s="66">
        <f>VLOOKUP(C3242,基本字段定义!$B$3:$C$3008,2,FALSE)</f>
        <v>1271</v>
      </c>
      <c r="E3242" s="88" t="s">
        <v>537</v>
      </c>
      <c r="F3242" s="88"/>
      <c r="G3242" s="147" t="s">
        <v>1578</v>
      </c>
    </row>
    <row r="3243" spans="2:7">
      <c r="B3243" s="267"/>
      <c r="C3243" s="139" t="s">
        <v>768</v>
      </c>
      <c r="D3243" s="66">
        <f>VLOOKUP(C3243,基本字段定义!$B$3:$C$3008,2,FALSE)</f>
        <v>1603</v>
      </c>
      <c r="E3243" s="88" t="s">
        <v>537</v>
      </c>
      <c r="F3243" s="88"/>
      <c r="G3243" s="147" t="s">
        <v>1576</v>
      </c>
    </row>
    <row r="3244" spans="2:7">
      <c r="B3244" s="267"/>
      <c r="C3244" s="139" t="s">
        <v>1788</v>
      </c>
      <c r="D3244" s="66">
        <f>VLOOKUP(C3244,基本字段定义!$B$3:$C$3008,2,FALSE)</f>
        <v>9336</v>
      </c>
      <c r="E3244" s="88" t="s">
        <v>398</v>
      </c>
      <c r="F3244" s="88"/>
      <c r="G3244" s="147" t="s">
        <v>1789</v>
      </c>
    </row>
    <row r="3245" spans="2:7">
      <c r="B3245" s="267"/>
      <c r="C3245" s="65" t="s">
        <v>437</v>
      </c>
      <c r="D3245" s="66">
        <f>VLOOKUP(C3245,基本字段定义!$B$3:$C$3008,2,FALSE)</f>
        <v>680</v>
      </c>
      <c r="E3245" s="67" t="s">
        <v>398</v>
      </c>
      <c r="F3245" s="67"/>
      <c r="G3245" s="69" t="s">
        <v>1748</v>
      </c>
    </row>
    <row r="3246" spans="2:7">
      <c r="B3246" s="267"/>
      <c r="C3246" s="154" t="s">
        <v>1523</v>
      </c>
      <c r="D3246" s="155">
        <f>VLOOKUP(C3246,基本字段定义!$B$3:$C$3008,2,FALSE)</f>
        <v>1950</v>
      </c>
      <c r="E3246" s="156" t="s">
        <v>398</v>
      </c>
      <c r="F3246" s="156"/>
      <c r="G3246" s="157" t="s">
        <v>1790</v>
      </c>
    </row>
    <row r="3247" spans="2:7">
      <c r="B3247" s="267"/>
      <c r="C3247" s="139" t="s">
        <v>1533</v>
      </c>
      <c r="D3247" s="66">
        <f>VLOOKUP(C3247,基本字段定义!$B$3:$C$3008,2,FALSE)</f>
        <v>3609</v>
      </c>
      <c r="E3247" s="88" t="s">
        <v>398</v>
      </c>
      <c r="F3247" s="88"/>
      <c r="G3247" s="147" t="s">
        <v>1534</v>
      </c>
    </row>
    <row r="3248" spans="2:7">
      <c r="B3248" s="267"/>
      <c r="C3248" s="139" t="s">
        <v>1553</v>
      </c>
      <c r="D3248" s="66">
        <f>VLOOKUP(C3248,基本字段定义!$B$3:$C$3008,2,FALSE)</f>
        <v>1756</v>
      </c>
      <c r="E3248" s="88" t="s">
        <v>339</v>
      </c>
      <c r="F3248" s="88"/>
      <c r="G3248" s="147" t="s">
        <v>1554</v>
      </c>
    </row>
    <row r="3249" spans="2:7">
      <c r="B3249" s="267"/>
      <c r="C3249" s="139" t="s">
        <v>1720</v>
      </c>
      <c r="D3249" s="66">
        <f>VLOOKUP(C3249,基本字段定义!$B$3:$C$3008,2,FALSE)</f>
        <v>564</v>
      </c>
      <c r="E3249" s="88" t="s">
        <v>398</v>
      </c>
      <c r="F3249" s="88"/>
      <c r="G3249" s="147" t="s">
        <v>1791</v>
      </c>
    </row>
    <row r="3250" spans="2:7">
      <c r="B3250" s="267"/>
      <c r="C3250" s="139" t="s">
        <v>1792</v>
      </c>
      <c r="D3250" s="66">
        <f>VLOOKUP(C3250,基本字段定义!$B$3:$C$3008,2,FALSE)</f>
        <v>2506</v>
      </c>
      <c r="E3250" s="88" t="s">
        <v>406</v>
      </c>
      <c r="F3250" s="88"/>
      <c r="G3250" s="147" t="s">
        <v>1793</v>
      </c>
    </row>
    <row r="3251" spans="2:7">
      <c r="B3251" s="268"/>
      <c r="C3251" s="140" t="s">
        <v>588</v>
      </c>
      <c r="D3251" s="79">
        <f>VLOOKUP(C3251,基本字段定义!$B$3:$C$3008,2,FALSE)</f>
        <v>763</v>
      </c>
      <c r="E3251" s="73" t="s">
        <v>398</v>
      </c>
      <c r="F3251" s="73"/>
      <c r="G3251" s="158" t="s">
        <v>1794</v>
      </c>
    </row>
    <row r="3253" spans="2:7">
      <c r="B3253" s="53" t="s">
        <v>146</v>
      </c>
      <c r="C3253" s="80">
        <v>204543</v>
      </c>
      <c r="D3253" s="81"/>
      <c r="E3253" s="82"/>
      <c r="F3253" s="54" t="s">
        <v>326</v>
      </c>
      <c r="G3253" s="55"/>
    </row>
    <row r="3254" spans="2:7">
      <c r="B3254" s="56" t="s">
        <v>327</v>
      </c>
      <c r="C3254" s="83" t="str">
        <f>VLOOKUP(C3253,功能索引!$C$3:$D$269,2,FALSE)</f>
        <v>根据客户号查询快速微贷可折算金额</v>
      </c>
      <c r="D3254" s="84"/>
      <c r="E3254" s="85"/>
      <c r="F3254" s="57" t="s">
        <v>148</v>
      </c>
      <c r="G3254" s="58" t="str">
        <f>VLOOKUP(C3253,功能索引!$C$3:$E3521,3,FALSE)</f>
        <v>Y</v>
      </c>
    </row>
    <row r="3255" spans="2:7">
      <c r="B3255" s="269" t="s">
        <v>328</v>
      </c>
      <c r="C3255" s="95"/>
      <c r="D3255" s="96"/>
      <c r="E3255" s="96"/>
      <c r="F3255" s="96"/>
      <c r="G3255" s="97"/>
    </row>
    <row r="3256" spans="2:7">
      <c r="B3256" s="270"/>
      <c r="C3256" s="98"/>
      <c r="D3256" s="99"/>
      <c r="E3256" s="99"/>
      <c r="F3256" s="99"/>
      <c r="G3256" s="100"/>
    </row>
    <row r="3257" spans="2:7">
      <c r="B3257" s="271" t="s">
        <v>329</v>
      </c>
      <c r="C3257" s="54" t="s">
        <v>330</v>
      </c>
      <c r="D3257" s="54" t="s">
        <v>331</v>
      </c>
      <c r="E3257" s="54" t="s">
        <v>332</v>
      </c>
      <c r="F3257" s="54" t="s">
        <v>333</v>
      </c>
      <c r="G3257" s="60" t="s">
        <v>334</v>
      </c>
    </row>
    <row r="3258" spans="2:7">
      <c r="B3258" s="286"/>
      <c r="C3258" s="61" t="s">
        <v>402</v>
      </c>
      <c r="D3258" s="62">
        <f>VLOOKUP(C3258,基本字段定义!$B$3:$C$3008,2,FALSE)</f>
        <v>605</v>
      </c>
      <c r="E3258" s="63" t="s">
        <v>339</v>
      </c>
      <c r="F3258" s="63" t="s">
        <v>152</v>
      </c>
      <c r="G3258" s="64" t="s">
        <v>404</v>
      </c>
    </row>
    <row r="3259" spans="2:7">
      <c r="B3259" s="286"/>
      <c r="C3259" s="61" t="s">
        <v>1533</v>
      </c>
      <c r="D3259" s="62">
        <f>VLOOKUP(C3259,基本字段定义!$B$3:$C$3008,2,FALSE)</f>
        <v>3609</v>
      </c>
      <c r="E3259" s="63" t="s">
        <v>339</v>
      </c>
      <c r="F3259" s="63" t="s">
        <v>152</v>
      </c>
      <c r="G3259" s="64" t="s">
        <v>1534</v>
      </c>
    </row>
    <row r="3260" spans="2:7">
      <c r="B3260" s="286"/>
      <c r="C3260" s="61" t="s">
        <v>361</v>
      </c>
      <c r="D3260" s="62">
        <f>VLOOKUP(C3260,基本字段定义!$B$3:$C$3008,2,FALSE)</f>
        <v>599</v>
      </c>
      <c r="E3260" s="63" t="s">
        <v>339</v>
      </c>
      <c r="F3260" s="63"/>
      <c r="G3260" s="64" t="s">
        <v>363</v>
      </c>
    </row>
    <row r="3261" spans="2:7">
      <c r="B3261" s="286"/>
      <c r="C3261" s="61" t="s">
        <v>640</v>
      </c>
      <c r="D3261" s="62">
        <f>VLOOKUP(C3261,基本字段定义!$B$3:$C$3008,2,FALSE)</f>
        <v>719</v>
      </c>
      <c r="E3261" s="63" t="s">
        <v>339</v>
      </c>
      <c r="F3261" s="63"/>
      <c r="G3261" s="64" t="s">
        <v>657</v>
      </c>
    </row>
    <row r="3262" spans="2:7">
      <c r="B3262" s="286"/>
      <c r="C3262" s="61" t="s">
        <v>1795</v>
      </c>
      <c r="D3262" s="62">
        <f>VLOOKUP(C3262,基本字段定义!$B$3:$C$3008,2,FALSE)</f>
        <v>1027</v>
      </c>
      <c r="E3262" s="63" t="s">
        <v>537</v>
      </c>
      <c r="F3262" s="63"/>
      <c r="G3262" s="64" t="s">
        <v>1796</v>
      </c>
    </row>
    <row r="3263" spans="2:7">
      <c r="B3263" s="269"/>
      <c r="C3263" s="61" t="s">
        <v>1553</v>
      </c>
      <c r="D3263" s="62">
        <f>VLOOKUP(C3263,基本字段定义!$B$3:$C$3008,2,FALSE)</f>
        <v>1756</v>
      </c>
      <c r="E3263" s="63" t="s">
        <v>339</v>
      </c>
      <c r="F3263" s="63"/>
      <c r="G3263" s="64" t="s">
        <v>404</v>
      </c>
    </row>
    <row r="3264" spans="2:7">
      <c r="B3264" s="266" t="s">
        <v>335</v>
      </c>
      <c r="C3264" s="87" t="s">
        <v>361</v>
      </c>
      <c r="D3264" s="66">
        <f>VLOOKUP(C3264,基本字段定义!$B$3:$C$3008,2,FALSE)</f>
        <v>599</v>
      </c>
      <c r="E3264" s="88" t="s">
        <v>339</v>
      </c>
      <c r="F3264" s="89"/>
      <c r="G3264" s="90" t="s">
        <v>363</v>
      </c>
    </row>
    <row r="3265" spans="2:7">
      <c r="B3265" s="267"/>
      <c r="C3265" s="65" t="s">
        <v>640</v>
      </c>
      <c r="D3265" s="66">
        <f>VLOOKUP(C3265,基本字段定义!$B$3:$C$3008,2,FALSE)</f>
        <v>719</v>
      </c>
      <c r="E3265" s="67" t="s">
        <v>339</v>
      </c>
      <c r="F3265" s="66"/>
      <c r="G3265" s="69" t="s">
        <v>657</v>
      </c>
    </row>
    <row r="3266" spans="2:7">
      <c r="B3266" s="267"/>
      <c r="C3266" s="87" t="s">
        <v>1544</v>
      </c>
      <c r="D3266" s="89">
        <f>VLOOKUP(C3266,基本字段定义!$B$3:$C$3008,2,FALSE)</f>
        <v>1801</v>
      </c>
      <c r="E3266" s="88" t="s">
        <v>339</v>
      </c>
      <c r="F3266" s="89"/>
      <c r="G3266" s="90" t="s">
        <v>1797</v>
      </c>
    </row>
    <row r="3267" spans="2:7">
      <c r="B3267" s="267"/>
      <c r="C3267" s="87" t="s">
        <v>665</v>
      </c>
      <c r="D3267" s="89">
        <f>VLOOKUP(C3267,基本字段定义!$B$3:$C$3008,2,FALSE)</f>
        <v>729</v>
      </c>
      <c r="E3267" s="88" t="s">
        <v>339</v>
      </c>
      <c r="F3267" s="89"/>
      <c r="G3267" s="90" t="s">
        <v>1798</v>
      </c>
    </row>
    <row r="3268" spans="2:7">
      <c r="B3268" s="267"/>
      <c r="C3268" s="87" t="s">
        <v>805</v>
      </c>
      <c r="D3268" s="89">
        <f>VLOOKUP(C3268,基本字段定义!$B$3:$C$3008,2,FALSE)</f>
        <v>615</v>
      </c>
      <c r="E3268" s="88" t="s">
        <v>339</v>
      </c>
      <c r="F3268" s="89"/>
      <c r="G3268" s="90" t="s">
        <v>1799</v>
      </c>
    </row>
    <row r="3269" spans="2:7">
      <c r="B3269" s="267"/>
      <c r="C3269" s="87" t="s">
        <v>661</v>
      </c>
      <c r="D3269" s="89">
        <f>VLOOKUP(C3269,基本字段定义!$B$3:$C$3008,2,FALSE)</f>
        <v>591</v>
      </c>
      <c r="E3269" s="88" t="s">
        <v>339</v>
      </c>
      <c r="F3269" s="89"/>
      <c r="G3269" s="90" t="s">
        <v>1648</v>
      </c>
    </row>
    <row r="3270" spans="2:7">
      <c r="B3270" s="267"/>
      <c r="C3270" s="87" t="s">
        <v>1800</v>
      </c>
      <c r="D3270" s="89">
        <f>VLOOKUP(C3270,基本字段定义!$B$3:$C$3008,2,FALSE)</f>
        <v>1212</v>
      </c>
      <c r="E3270" s="88" t="s">
        <v>339</v>
      </c>
      <c r="F3270" s="89"/>
      <c r="G3270" s="90" t="s">
        <v>1801</v>
      </c>
    </row>
    <row r="3271" spans="2:7">
      <c r="B3271" s="267"/>
      <c r="C3271" s="87" t="s">
        <v>667</v>
      </c>
      <c r="D3271" s="89">
        <f>VLOOKUP(C3271,基本字段定义!$B$3:$C$3008,2,FALSE)</f>
        <v>726</v>
      </c>
      <c r="E3271" s="88" t="s">
        <v>339</v>
      </c>
      <c r="F3271" s="89"/>
      <c r="G3271" s="159" t="s">
        <v>668</v>
      </c>
    </row>
    <row r="3272" spans="2:7">
      <c r="B3272" s="267"/>
      <c r="C3272" s="87" t="s">
        <v>1795</v>
      </c>
      <c r="D3272" s="89">
        <f>VLOOKUP(C3272,基本字段定义!$B$3:$C$3008,2,FALSE)</f>
        <v>1027</v>
      </c>
      <c r="E3272" s="88" t="s">
        <v>339</v>
      </c>
      <c r="F3272" s="89"/>
      <c r="G3272" s="159" t="s">
        <v>1802</v>
      </c>
    </row>
    <row r="3273" spans="2:7">
      <c r="B3273" s="267"/>
      <c r="C3273" s="65" t="s">
        <v>1803</v>
      </c>
      <c r="D3273" s="92">
        <f>VLOOKUP(C3273,基本字段定义!$B$3:$C$3008,2,FALSE)</f>
        <v>4172</v>
      </c>
      <c r="E3273" s="92" t="s">
        <v>339</v>
      </c>
      <c r="F3273" s="65"/>
      <c r="G3273" s="160" t="s">
        <v>1804</v>
      </c>
    </row>
    <row r="3274" spans="2:7">
      <c r="B3274" s="267"/>
      <c r="C3274" s="148" t="s">
        <v>768</v>
      </c>
      <c r="D3274" s="148">
        <f>VLOOKUP(C3274,基本字段定义!$B$3:$C$3008,2,FALSE)</f>
        <v>1603</v>
      </c>
      <c r="E3274" s="161" t="s">
        <v>337</v>
      </c>
      <c r="F3274" s="148"/>
      <c r="G3274" s="162" t="s">
        <v>1576</v>
      </c>
    </row>
    <row r="3275" spans="2:7">
      <c r="B3275" s="268"/>
      <c r="C3275" s="71" t="s">
        <v>1577</v>
      </c>
      <c r="D3275" s="71">
        <f>VLOOKUP(C3275,基本字段定义!$B$3:$C$3008,2,FALSE)</f>
        <v>1271</v>
      </c>
      <c r="E3275" s="163" t="s">
        <v>337</v>
      </c>
      <c r="F3275" s="71"/>
      <c r="G3275" s="164" t="s">
        <v>1578</v>
      </c>
    </row>
    <row r="3277" spans="2:7">
      <c r="B3277" s="53" t="s">
        <v>146</v>
      </c>
      <c r="C3277" s="80">
        <v>204591</v>
      </c>
      <c r="D3277" s="81"/>
      <c r="E3277" s="82"/>
      <c r="F3277" s="54" t="s">
        <v>326</v>
      </c>
      <c r="G3277" s="55"/>
    </row>
    <row r="3278" spans="2:7">
      <c r="B3278" s="56" t="s">
        <v>327</v>
      </c>
      <c r="C3278" s="83" t="str">
        <f>VLOOKUP(C3277,功能索引!$C$3:$D$269,2,FALSE)</f>
        <v>查询质押回购履约金比例</v>
      </c>
      <c r="D3278" s="84"/>
      <c r="E3278" s="85"/>
      <c r="F3278" s="57" t="s">
        <v>371</v>
      </c>
      <c r="G3278" s="58">
        <f>VLOOKUP(C3277,功能索引!$C$3:$E3537,3,FALSE)</f>
        <v>0</v>
      </c>
    </row>
    <row r="3279" spans="2:7">
      <c r="B3279" s="269" t="s">
        <v>328</v>
      </c>
      <c r="C3279" s="95"/>
      <c r="D3279" s="96"/>
      <c r="E3279" s="96"/>
      <c r="F3279" s="96"/>
      <c r="G3279" s="97"/>
    </row>
    <row r="3280" spans="2:7">
      <c r="B3280" s="270"/>
      <c r="C3280" s="98"/>
      <c r="D3280" s="99"/>
      <c r="E3280" s="99"/>
      <c r="F3280" s="99"/>
      <c r="G3280" s="100"/>
    </row>
    <row r="3281" spans="2:7">
      <c r="B3281" s="271" t="s">
        <v>329</v>
      </c>
      <c r="C3281" s="54" t="s">
        <v>330</v>
      </c>
      <c r="D3281" s="54" t="s">
        <v>331</v>
      </c>
      <c r="E3281" s="54" t="s">
        <v>332</v>
      </c>
      <c r="F3281" s="54" t="s">
        <v>333</v>
      </c>
      <c r="G3281" s="60" t="s">
        <v>334</v>
      </c>
    </row>
    <row r="3282" spans="2:7">
      <c r="B3282" s="269"/>
      <c r="C3282" s="61" t="s">
        <v>1092</v>
      </c>
      <c r="D3282" s="62">
        <f>VLOOKUP(C3282,基本字段定义!$B$3:$C$3008,2,FALSE)</f>
        <v>1077</v>
      </c>
      <c r="E3282" s="63" t="s">
        <v>339</v>
      </c>
      <c r="F3282" s="63" t="s">
        <v>152</v>
      </c>
      <c r="G3282" s="64" t="s">
        <v>1093</v>
      </c>
    </row>
    <row r="3283" spans="2:7">
      <c r="B3283" s="269"/>
      <c r="C3283" s="61" t="s">
        <v>1577</v>
      </c>
      <c r="D3283" s="62">
        <f>VLOOKUP(C3283,基本字段定义!$B$3:$C$3008,2,FALSE)</f>
        <v>1271</v>
      </c>
      <c r="E3283" s="63" t="s">
        <v>339</v>
      </c>
      <c r="F3283" s="63"/>
      <c r="G3283" s="86" t="s">
        <v>1805</v>
      </c>
    </row>
    <row r="3284" spans="2:7">
      <c r="B3284" s="266" t="s">
        <v>335</v>
      </c>
      <c r="C3284" s="87" t="s">
        <v>336</v>
      </c>
      <c r="D3284" s="66">
        <f>VLOOKUP(C3284,基本字段定义!$B$3:$C$3008,2,FALSE)</f>
        <v>507</v>
      </c>
      <c r="E3284" s="88" t="s">
        <v>339</v>
      </c>
      <c r="F3284" s="89"/>
      <c r="G3284" s="90" t="s">
        <v>377</v>
      </c>
    </row>
    <row r="3285" spans="2:7">
      <c r="B3285" s="267"/>
      <c r="C3285" s="65" t="s">
        <v>338</v>
      </c>
      <c r="D3285" s="66">
        <f>VLOOKUP(C3285,基本字段定义!$B$3:$C$3008,2,FALSE)</f>
        <v>508</v>
      </c>
      <c r="E3285" s="67" t="s">
        <v>339</v>
      </c>
      <c r="F3285" s="66"/>
      <c r="G3285" s="69" t="s">
        <v>378</v>
      </c>
    </row>
    <row r="3286" spans="2:7">
      <c r="B3286" s="267"/>
      <c r="C3286" s="87" t="s">
        <v>1217</v>
      </c>
      <c r="D3286" s="89">
        <f>VLOOKUP(C3286,基本字段定义!$B$3:$C$3008,2,FALSE)</f>
        <v>869</v>
      </c>
      <c r="E3286" s="88" t="s">
        <v>339</v>
      </c>
      <c r="F3286" s="89"/>
      <c r="G3286" s="90" t="s">
        <v>1806</v>
      </c>
    </row>
    <row r="3287" spans="2:7">
      <c r="B3287" s="267"/>
      <c r="C3287" s="87" t="s">
        <v>1238</v>
      </c>
      <c r="D3287" s="89">
        <f>VLOOKUP(C3287,基本字段定义!$B$3:$C$3008,2,FALSE)</f>
        <v>517</v>
      </c>
      <c r="E3287" s="88" t="s">
        <v>339</v>
      </c>
      <c r="F3287" s="89"/>
      <c r="G3287" s="90" t="s">
        <v>1807</v>
      </c>
    </row>
    <row r="3288" spans="2:7">
      <c r="B3288" s="267"/>
      <c r="C3288" s="87" t="s">
        <v>683</v>
      </c>
      <c r="D3288" s="89">
        <f>VLOOKUP(C3288,基本字段定义!$B$3:$C$3008,2,FALSE)</f>
        <v>524</v>
      </c>
      <c r="E3288" s="88" t="s">
        <v>339</v>
      </c>
      <c r="F3288" s="89"/>
      <c r="G3288" s="90" t="s">
        <v>1808</v>
      </c>
    </row>
    <row r="3289" spans="2:7">
      <c r="B3289" s="267"/>
      <c r="C3289" s="87" t="s">
        <v>1577</v>
      </c>
      <c r="D3289" s="89">
        <f>VLOOKUP(C3289,基本字段定义!$B$3:$C$3008,2,FALSE)</f>
        <v>1271</v>
      </c>
      <c r="E3289" s="88" t="s">
        <v>339</v>
      </c>
      <c r="F3289" s="89"/>
      <c r="G3289" s="90" t="s">
        <v>1809</v>
      </c>
    </row>
    <row r="3290" spans="2:7">
      <c r="B3290" s="267"/>
      <c r="C3290" s="87" t="s">
        <v>1810</v>
      </c>
      <c r="D3290" s="89">
        <f>VLOOKUP(C3290,基本字段定义!$B$3:$C$3008,2,FALSE)</f>
        <v>1178</v>
      </c>
      <c r="E3290" s="88" t="s">
        <v>339</v>
      </c>
      <c r="F3290" s="89"/>
      <c r="G3290" s="90" t="s">
        <v>1811</v>
      </c>
    </row>
    <row r="3291" spans="2:7">
      <c r="B3291" s="268"/>
      <c r="C3291" s="71"/>
      <c r="D3291" s="71"/>
      <c r="E3291" s="163"/>
      <c r="F3291" s="71"/>
      <c r="G3291" s="71"/>
    </row>
    <row r="3293" spans="2:7">
      <c r="B3293" s="53" t="s">
        <v>146</v>
      </c>
      <c r="C3293" s="80">
        <v>304233</v>
      </c>
      <c r="D3293" s="81"/>
      <c r="E3293" s="82"/>
      <c r="F3293" s="54" t="s">
        <v>326</v>
      </c>
      <c r="G3293" s="55"/>
    </row>
    <row r="3294" spans="2:7">
      <c r="B3294" s="56" t="s">
        <v>327</v>
      </c>
      <c r="C3294" s="83" t="str">
        <f>VLOOKUP(C3293,功能索引!$C$3:$D$269,2,FALSE)</f>
        <v>查询质押回购标的证券_FOR快速微贷</v>
      </c>
      <c r="D3294" s="84"/>
      <c r="E3294" s="85"/>
      <c r="F3294" s="57" t="s">
        <v>371</v>
      </c>
      <c r="G3294" s="58" t="str">
        <f>VLOOKUP(C3293,功能索引!$C$3:$E3553,3,FALSE)</f>
        <v>Y</v>
      </c>
    </row>
    <row r="3295" spans="2:7">
      <c r="B3295" s="269" t="s">
        <v>328</v>
      </c>
      <c r="C3295" s="95"/>
      <c r="D3295" s="96"/>
      <c r="E3295" s="96"/>
      <c r="F3295" s="96"/>
      <c r="G3295" s="97"/>
    </row>
    <row r="3296" spans="2:7">
      <c r="B3296" s="270"/>
      <c r="C3296" s="98"/>
      <c r="D3296" s="99"/>
      <c r="E3296" s="99"/>
      <c r="F3296" s="99"/>
      <c r="G3296" s="100"/>
    </row>
    <row r="3297" spans="2:7">
      <c r="B3297" s="271" t="s">
        <v>329</v>
      </c>
      <c r="C3297" s="54" t="s">
        <v>330</v>
      </c>
      <c r="D3297" s="54" t="s">
        <v>331</v>
      </c>
      <c r="E3297" s="54" t="s">
        <v>332</v>
      </c>
      <c r="F3297" s="54" t="s">
        <v>333</v>
      </c>
      <c r="G3297" s="60" t="s">
        <v>334</v>
      </c>
    </row>
    <row r="3298" spans="2:7">
      <c r="B3298" s="269"/>
      <c r="C3298" s="61" t="s">
        <v>1533</v>
      </c>
      <c r="D3298" s="62">
        <f>VLOOKUP(C3298,基本字段定义!$B$3:$C$3008,2,FALSE)</f>
        <v>3609</v>
      </c>
      <c r="E3298" s="63" t="s">
        <v>337</v>
      </c>
      <c r="F3298" s="63" t="s">
        <v>337</v>
      </c>
      <c r="G3298" s="64" t="s">
        <v>1534</v>
      </c>
    </row>
    <row r="3299" spans="2:7">
      <c r="B3299" s="269"/>
      <c r="C3299" s="61" t="s">
        <v>361</v>
      </c>
      <c r="D3299" s="62">
        <f>VLOOKUP(C3299,基本字段定义!$B$3:$C$3008,2,FALSE)</f>
        <v>599</v>
      </c>
      <c r="E3299" s="63" t="s">
        <v>339</v>
      </c>
      <c r="F3299" s="63" t="s">
        <v>337</v>
      </c>
      <c r="G3299" s="64"/>
    </row>
    <row r="3300" spans="2:7">
      <c r="B3300" s="269"/>
      <c r="C3300" s="61" t="s">
        <v>640</v>
      </c>
      <c r="D3300" s="62">
        <f>VLOOKUP(C3300,基本字段定义!$B$3:$C$3008,2,FALSE)</f>
        <v>719</v>
      </c>
      <c r="E3300" s="63" t="s">
        <v>339</v>
      </c>
      <c r="F3300" s="63" t="s">
        <v>337</v>
      </c>
      <c r="G3300" s="64"/>
    </row>
    <row r="3301" spans="2:7">
      <c r="B3301" s="269"/>
      <c r="C3301" s="61" t="s">
        <v>503</v>
      </c>
      <c r="D3301" s="62">
        <f>VLOOKUP(C3301,基本字段定义!$B$3:$C$3008,2,FALSE)</f>
        <v>1332</v>
      </c>
      <c r="E3301" s="63" t="s">
        <v>339</v>
      </c>
      <c r="F3301" s="63" t="s">
        <v>152</v>
      </c>
      <c r="G3301" s="64" t="s">
        <v>1812</v>
      </c>
    </row>
    <row r="3302" spans="2:7">
      <c r="B3302" s="269"/>
      <c r="C3302" s="61" t="s">
        <v>1525</v>
      </c>
      <c r="D3302" s="62">
        <f>VLOOKUP(C3302,基本字段定义!$B$3:$C$3008,2,FALSE)</f>
        <v>1894</v>
      </c>
      <c r="E3302" s="63" t="s">
        <v>339</v>
      </c>
      <c r="F3302" s="63" t="s">
        <v>152</v>
      </c>
      <c r="G3302" s="86" t="s">
        <v>1813</v>
      </c>
    </row>
    <row r="3303" spans="2:7">
      <c r="B3303" s="266" t="s">
        <v>335</v>
      </c>
      <c r="C3303" s="87" t="s">
        <v>336</v>
      </c>
      <c r="D3303" s="66">
        <f>VLOOKUP(C3303,基本字段定义!$B$3:$C$3008,2,FALSE)</f>
        <v>507</v>
      </c>
      <c r="E3303" s="88" t="s">
        <v>339</v>
      </c>
      <c r="F3303" s="89"/>
      <c r="G3303" s="90" t="s">
        <v>377</v>
      </c>
    </row>
    <row r="3304" spans="2:7">
      <c r="B3304" s="267"/>
      <c r="C3304" s="65" t="s">
        <v>338</v>
      </c>
      <c r="D3304" s="66">
        <f>VLOOKUP(C3304,基本字段定义!$B$3:$C$3008,2,FALSE)</f>
        <v>508</v>
      </c>
      <c r="E3304" s="67" t="s">
        <v>339</v>
      </c>
      <c r="F3304" s="66"/>
      <c r="G3304" s="69" t="s">
        <v>378</v>
      </c>
    </row>
    <row r="3305" spans="2:7">
      <c r="B3305" s="267"/>
      <c r="C3305" s="87" t="s">
        <v>1525</v>
      </c>
      <c r="D3305" s="89">
        <f>VLOOKUP(C3305,基本字段定义!$B$3:$C$3008,2,FALSE)</f>
        <v>1894</v>
      </c>
      <c r="E3305" s="88" t="s">
        <v>339</v>
      </c>
      <c r="F3305" s="89"/>
      <c r="G3305" s="90" t="s">
        <v>1747</v>
      </c>
    </row>
    <row r="3306" spans="2:7">
      <c r="B3306" s="267"/>
      <c r="C3306" s="87" t="s">
        <v>503</v>
      </c>
      <c r="D3306" s="89">
        <f>VLOOKUP(C3306,基本字段定义!$B$3:$C$3008,2,FALSE)</f>
        <v>1332</v>
      </c>
      <c r="E3306" s="88" t="s">
        <v>339</v>
      </c>
      <c r="F3306" s="89"/>
      <c r="G3306" s="90" t="s">
        <v>332</v>
      </c>
    </row>
    <row r="3307" spans="2:7">
      <c r="B3307" s="267"/>
      <c r="C3307" s="87" t="s">
        <v>1814</v>
      </c>
      <c r="D3307" s="89">
        <f>VLOOKUP(C3307,基本字段定义!$B$3:$C$3008,2,FALSE)</f>
        <v>1802</v>
      </c>
      <c r="E3307" s="88" t="s">
        <v>339</v>
      </c>
      <c r="F3307" s="89"/>
      <c r="G3307" s="90" t="s">
        <v>1815</v>
      </c>
    </row>
    <row r="3308" spans="2:7">
      <c r="B3308" s="267"/>
      <c r="C3308" s="87" t="s">
        <v>1800</v>
      </c>
      <c r="D3308" s="89">
        <f>VLOOKUP(C3308,基本字段定义!$B$3:$C$3008,2,FALSE)</f>
        <v>1212</v>
      </c>
      <c r="E3308" s="88" t="s">
        <v>339</v>
      </c>
      <c r="F3308" s="89"/>
      <c r="G3308" s="90" t="s">
        <v>1543</v>
      </c>
    </row>
    <row r="3309" spans="2:7">
      <c r="B3309" s="267"/>
      <c r="C3309" s="87" t="s">
        <v>1816</v>
      </c>
      <c r="D3309" s="89">
        <f>VLOOKUP(C3309,基本字段定义!$B$3:$C$3008,2,FALSE)</f>
        <v>3202</v>
      </c>
      <c r="E3309" s="88" t="s">
        <v>339</v>
      </c>
      <c r="F3309" s="89"/>
      <c r="G3309" s="90" t="s">
        <v>1817</v>
      </c>
    </row>
    <row r="3310" spans="2:7">
      <c r="B3310" s="267"/>
      <c r="C3310" s="87" t="s">
        <v>640</v>
      </c>
      <c r="D3310" s="89">
        <f>VLOOKUP(C3310,基本字段定义!$B$3:$C$3008,2,FALSE)</f>
        <v>719</v>
      </c>
      <c r="E3310" s="88" t="s">
        <v>339</v>
      </c>
      <c r="F3310" s="89"/>
      <c r="G3310" s="90" t="s">
        <v>657</v>
      </c>
    </row>
    <row r="3311" spans="2:7">
      <c r="B3311" s="267"/>
      <c r="C3311" s="87" t="s">
        <v>659</v>
      </c>
      <c r="D3311" s="89">
        <f>VLOOKUP(C3311,基本字段定义!$B$3:$C$3008,2,FALSE)</f>
        <v>722</v>
      </c>
      <c r="E3311" s="88" t="s">
        <v>339</v>
      </c>
      <c r="F3311" s="89"/>
      <c r="G3311" s="90" t="s">
        <v>660</v>
      </c>
    </row>
    <row r="3312" spans="2:7">
      <c r="B3312" s="267"/>
      <c r="C3312" s="87" t="s">
        <v>361</v>
      </c>
      <c r="D3312" s="89">
        <f>VLOOKUP(C3312,基本字段定义!$B$3:$C$3008,2,FALSE)</f>
        <v>599</v>
      </c>
      <c r="E3312" s="88" t="s">
        <v>339</v>
      </c>
      <c r="F3312" s="89"/>
      <c r="G3312" s="90" t="s">
        <v>363</v>
      </c>
    </row>
    <row r="3313" spans="2:7">
      <c r="B3313" s="267"/>
      <c r="C3313" s="65" t="s">
        <v>1533</v>
      </c>
      <c r="D3313" s="65">
        <f>VLOOKUP(C3313,基本字段定义!$B$3:$C$3008,2,FALSE)</f>
        <v>3609</v>
      </c>
      <c r="E3313" s="92" t="s">
        <v>337</v>
      </c>
      <c r="F3313" s="65"/>
      <c r="G3313" s="160" t="s">
        <v>1534</v>
      </c>
    </row>
    <row r="3314" spans="2:7">
      <c r="B3314" s="267"/>
      <c r="C3314" s="65" t="s">
        <v>768</v>
      </c>
      <c r="D3314" s="65">
        <f>VLOOKUP(C3314,基本字段定义!$B$3:$C$3008,2,FALSE)</f>
        <v>1603</v>
      </c>
      <c r="E3314" s="92" t="s">
        <v>337</v>
      </c>
      <c r="F3314" s="65"/>
      <c r="G3314" s="160" t="s">
        <v>1576</v>
      </c>
    </row>
    <row r="3315" spans="2:7">
      <c r="B3315" s="268"/>
      <c r="C3315" s="71" t="s">
        <v>1577</v>
      </c>
      <c r="D3315" s="71">
        <f>VLOOKUP(C3315,基本字段定义!$B$3:$C$3008,2,FALSE)</f>
        <v>1271</v>
      </c>
      <c r="E3315" s="163" t="s">
        <v>337</v>
      </c>
      <c r="F3315" s="71"/>
      <c r="G3315" s="164" t="s">
        <v>1578</v>
      </c>
    </row>
    <row r="3317" spans="2:7">
      <c r="B3317" s="53" t="s">
        <v>146</v>
      </c>
      <c r="C3317" s="80">
        <v>204974</v>
      </c>
      <c r="D3317" s="81"/>
      <c r="E3317" s="82"/>
      <c r="F3317" s="54" t="s">
        <v>326</v>
      </c>
      <c r="G3317" s="55"/>
    </row>
    <row r="3318" spans="2:7">
      <c r="B3318" s="56" t="s">
        <v>327</v>
      </c>
      <c r="C3318" s="83" t="str">
        <f>VLOOKUP(C3317,功能索引!$C$3:$D$269,2,FALSE)</f>
        <v>查询融券白名单信息</v>
      </c>
      <c r="D3318" s="84"/>
      <c r="E3318" s="85"/>
      <c r="F3318" s="57" t="s">
        <v>371</v>
      </c>
      <c r="G3318" s="58" t="str">
        <f>VLOOKUP(C3317,功能索引!$C$3:$E3574,3,FALSE)</f>
        <v>Y</v>
      </c>
    </row>
    <row r="3319" spans="2:7">
      <c r="B3319" s="269" t="s">
        <v>328</v>
      </c>
      <c r="C3319" s="95"/>
      <c r="D3319" s="96"/>
      <c r="E3319" s="96"/>
      <c r="F3319" s="96"/>
      <c r="G3319" s="97"/>
    </row>
    <row r="3320" spans="2:7">
      <c r="B3320" s="270"/>
      <c r="C3320" s="98"/>
      <c r="D3320" s="99"/>
      <c r="E3320" s="99"/>
      <c r="F3320" s="99"/>
      <c r="G3320" s="100"/>
    </row>
    <row r="3321" spans="2:7">
      <c r="B3321" s="271" t="s">
        <v>329</v>
      </c>
      <c r="C3321" s="54" t="s">
        <v>330</v>
      </c>
      <c r="D3321" s="54" t="s">
        <v>331</v>
      </c>
      <c r="E3321" s="54" t="s">
        <v>332</v>
      </c>
      <c r="F3321" s="54" t="s">
        <v>333</v>
      </c>
      <c r="G3321" s="60" t="s">
        <v>334</v>
      </c>
    </row>
    <row r="3322" spans="2:7">
      <c r="B3322" s="269"/>
      <c r="C3322" s="61" t="s">
        <v>373</v>
      </c>
      <c r="D3322" s="62">
        <f>VLOOKUP(C3322,基本字段定义!$B$3:$C$3008,2,FALSE)</f>
        <v>697</v>
      </c>
      <c r="E3322" s="63" t="s">
        <v>339</v>
      </c>
      <c r="F3322" s="63"/>
      <c r="G3322" s="64" t="s">
        <v>374</v>
      </c>
    </row>
    <row r="3323" spans="2:7">
      <c r="B3323" s="269"/>
      <c r="C3323" s="61" t="s">
        <v>402</v>
      </c>
      <c r="D3323" s="62">
        <f>VLOOKUP(C3323,基本字段定义!$B$3:$C$3008,2,FALSE)</f>
        <v>605</v>
      </c>
      <c r="E3323" s="63" t="s">
        <v>403</v>
      </c>
      <c r="F3323" s="63"/>
      <c r="G3323" s="64" t="s">
        <v>404</v>
      </c>
    </row>
    <row r="3324" spans="2:7">
      <c r="B3324" s="269"/>
      <c r="C3324" s="61" t="s">
        <v>417</v>
      </c>
      <c r="D3324" s="62">
        <f>VLOOKUP(C3324,基本字段定义!$B$3:$C$3008,2,FALSE)</f>
        <v>610</v>
      </c>
      <c r="E3324" s="63" t="s">
        <v>362</v>
      </c>
      <c r="F3324" s="63"/>
      <c r="G3324" s="64" t="s">
        <v>852</v>
      </c>
    </row>
    <row r="3325" spans="2:7">
      <c r="B3325" s="269"/>
      <c r="C3325" s="61" t="s">
        <v>361</v>
      </c>
      <c r="D3325" s="62">
        <f>VLOOKUP(C3325,基本字段定义!$B$3:$C$3008,2,FALSE)</f>
        <v>599</v>
      </c>
      <c r="E3325" s="63" t="s">
        <v>362</v>
      </c>
      <c r="F3325" s="63"/>
      <c r="G3325" s="64" t="s">
        <v>363</v>
      </c>
    </row>
    <row r="3326" spans="2:7">
      <c r="B3326" s="269"/>
      <c r="C3326" s="61" t="s">
        <v>640</v>
      </c>
      <c r="D3326" s="62">
        <f>VLOOKUP(C3326,基本字段定义!$B$3:$C$3008,2,FALSE)</f>
        <v>719</v>
      </c>
      <c r="E3326" s="63" t="s">
        <v>480</v>
      </c>
      <c r="F3326" s="63"/>
      <c r="G3326" s="64" t="s">
        <v>657</v>
      </c>
    </row>
    <row r="3327" spans="2:7">
      <c r="B3327" s="269"/>
      <c r="C3327" s="61" t="s">
        <v>492</v>
      </c>
      <c r="D3327" s="62">
        <f>VLOOKUP(C3327,基本字段定义!$B$3:$C$3008,2,FALSE)</f>
        <v>981</v>
      </c>
      <c r="E3327" s="63" t="s">
        <v>1322</v>
      </c>
      <c r="F3327" s="63"/>
      <c r="G3327" s="86" t="s">
        <v>493</v>
      </c>
    </row>
    <row r="3328" spans="2:7">
      <c r="B3328" s="266" t="s">
        <v>335</v>
      </c>
      <c r="C3328" s="87" t="s">
        <v>373</v>
      </c>
      <c r="D3328" s="66">
        <f>VLOOKUP(C3328,基本字段定义!$B$3:$C$3008,2,FALSE)</f>
        <v>697</v>
      </c>
      <c r="E3328" s="88" t="s">
        <v>339</v>
      </c>
      <c r="F3328" s="89"/>
      <c r="G3328" s="90" t="s">
        <v>374</v>
      </c>
    </row>
    <row r="3329" spans="2:7">
      <c r="B3329" s="267"/>
      <c r="C3329" s="87" t="s">
        <v>402</v>
      </c>
      <c r="D3329" s="66">
        <f>VLOOKUP(C3329,基本字段定义!$B$3:$C$3008,2,FALSE)</f>
        <v>605</v>
      </c>
      <c r="E3329" s="88" t="s">
        <v>403</v>
      </c>
      <c r="F3329" s="66"/>
      <c r="G3329" s="90" t="s">
        <v>404</v>
      </c>
    </row>
    <row r="3330" spans="2:7">
      <c r="B3330" s="267"/>
      <c r="C3330" s="87" t="s">
        <v>417</v>
      </c>
      <c r="D3330" s="89">
        <f>VLOOKUP(C3330,基本字段定义!$B$3:$C$3008,2,FALSE)</f>
        <v>610</v>
      </c>
      <c r="E3330" s="88" t="s">
        <v>362</v>
      </c>
      <c r="F3330" s="89"/>
      <c r="G3330" s="90" t="s">
        <v>852</v>
      </c>
    </row>
    <row r="3331" spans="2:7">
      <c r="B3331" s="267"/>
      <c r="C3331" s="87" t="s">
        <v>361</v>
      </c>
      <c r="D3331" s="89">
        <f>VLOOKUP(C3331,基本字段定义!$B$3:$C$3008,2,FALSE)</f>
        <v>599</v>
      </c>
      <c r="E3331" s="88" t="s">
        <v>362</v>
      </c>
      <c r="F3331" s="89"/>
      <c r="G3331" s="90" t="s">
        <v>363</v>
      </c>
    </row>
    <row r="3332" spans="2:7">
      <c r="B3332" s="267"/>
      <c r="C3332" s="87" t="s">
        <v>640</v>
      </c>
      <c r="D3332" s="89">
        <f>VLOOKUP(C3332,基本字段定义!$B$3:$C$3008,2,FALSE)</f>
        <v>719</v>
      </c>
      <c r="E3332" s="88" t="s">
        <v>480</v>
      </c>
      <c r="F3332" s="89"/>
      <c r="G3332" s="90" t="s">
        <v>657</v>
      </c>
    </row>
    <row r="3333" spans="2:7">
      <c r="B3333" s="267"/>
      <c r="C3333" s="87" t="s">
        <v>492</v>
      </c>
      <c r="D3333" s="89">
        <f>VLOOKUP(C3333,基本字段定义!$B$3:$C$3008,2,FALSE)</f>
        <v>981</v>
      </c>
      <c r="E3333" s="88" t="s">
        <v>1322</v>
      </c>
      <c r="F3333" s="89"/>
      <c r="G3333" s="90" t="s">
        <v>493</v>
      </c>
    </row>
    <row r="3334" spans="2:7">
      <c r="B3334" s="268"/>
      <c r="C3334" s="65"/>
      <c r="D3334" s="65"/>
      <c r="E3334" s="92"/>
      <c r="F3334" s="65"/>
      <c r="G3334" s="65"/>
    </row>
    <row r="3336" spans="2:7">
      <c r="B3336" s="53" t="s">
        <v>146</v>
      </c>
      <c r="C3336" s="80">
        <v>302018</v>
      </c>
      <c r="D3336" s="81"/>
      <c r="E3336" s="82"/>
      <c r="F3336" s="54" t="s">
        <v>326</v>
      </c>
      <c r="G3336" s="55"/>
    </row>
    <row r="3337" spans="2:7">
      <c r="B3337" s="56" t="s">
        <v>327</v>
      </c>
      <c r="C3337" s="83" t="str">
        <f>VLOOKUP(C3336,功能索引!$C$3:$D$269,2,FALSE)</f>
        <v>客户资料变更明细查询</v>
      </c>
      <c r="D3337" s="84"/>
      <c r="E3337" s="85"/>
      <c r="F3337" s="57" t="s">
        <v>148</v>
      </c>
      <c r="G3337" s="58" t="str">
        <f>VLOOKUP(C3336,功能索引!$C$3:$E3628,3,FALSE)</f>
        <v>Y</v>
      </c>
    </row>
    <row r="3338" spans="2:7">
      <c r="B3338" s="269" t="s">
        <v>328</v>
      </c>
      <c r="C3338" s="95"/>
      <c r="D3338" s="96"/>
      <c r="E3338" s="96"/>
      <c r="F3338" s="96"/>
      <c r="G3338" s="97"/>
    </row>
    <row r="3339" spans="2:7">
      <c r="B3339" s="270"/>
      <c r="C3339" s="98"/>
      <c r="D3339" s="99"/>
      <c r="E3339" s="99"/>
      <c r="F3339" s="99"/>
      <c r="G3339" s="100"/>
    </row>
    <row r="3340" spans="2:7">
      <c r="B3340" s="271" t="s">
        <v>329</v>
      </c>
      <c r="C3340" s="54" t="s">
        <v>330</v>
      </c>
      <c r="D3340" s="54" t="s">
        <v>331</v>
      </c>
      <c r="E3340" s="54" t="s">
        <v>332</v>
      </c>
      <c r="F3340" s="54" t="s">
        <v>333</v>
      </c>
      <c r="G3340" s="60" t="s">
        <v>334</v>
      </c>
    </row>
    <row r="3341" spans="2:7">
      <c r="B3341" s="269"/>
      <c r="C3341" s="61" t="s">
        <v>402</v>
      </c>
      <c r="D3341" s="62">
        <f>VLOOKUP(C3341,基本字段定义!$B$3:$C$3008,2,FALSE)</f>
        <v>605</v>
      </c>
      <c r="E3341" s="63" t="s">
        <v>403</v>
      </c>
      <c r="F3341" s="63" t="s">
        <v>152</v>
      </c>
      <c r="G3341" s="64" t="s">
        <v>404</v>
      </c>
    </row>
    <row r="3342" spans="2:7" ht="25.5">
      <c r="B3342" s="269"/>
      <c r="C3342" s="61" t="s">
        <v>496</v>
      </c>
      <c r="D3342" s="62">
        <f>VLOOKUP(C3342,基本字段定义!$B$3:$C$3008,2,FALSE)</f>
        <v>694</v>
      </c>
      <c r="E3342" s="63" t="s">
        <v>339</v>
      </c>
      <c r="F3342" s="63"/>
      <c r="G3342" s="86" t="s">
        <v>1818</v>
      </c>
    </row>
    <row r="3343" spans="2:7">
      <c r="B3343" s="269"/>
      <c r="C3343" s="61" t="s">
        <v>1819</v>
      </c>
      <c r="D3343" s="62">
        <f>VLOOKUP(C3343,基本字段定义!$B$3:$C$3008,2,FALSE)</f>
        <v>970</v>
      </c>
      <c r="E3343" s="63" t="s">
        <v>406</v>
      </c>
      <c r="F3343" s="63"/>
      <c r="G3343" s="64" t="s">
        <v>1820</v>
      </c>
    </row>
    <row r="3344" spans="2:7">
      <c r="B3344" s="269"/>
      <c r="C3344" s="61" t="s">
        <v>484</v>
      </c>
      <c r="D3344" s="62">
        <f>VLOOKUP(C3344,基本字段定义!$B$3:$C$3008,2,FALSE)</f>
        <v>618</v>
      </c>
      <c r="E3344" s="63" t="s">
        <v>480</v>
      </c>
      <c r="F3344" s="63"/>
      <c r="G3344" s="64" t="s">
        <v>1101</v>
      </c>
    </row>
    <row r="3345" spans="2:7">
      <c r="B3345" s="269"/>
      <c r="C3345" s="61" t="s">
        <v>486</v>
      </c>
      <c r="D3345" s="62">
        <f>VLOOKUP(C3345,基本字段定义!$B$3:$C$3008,2,FALSE)</f>
        <v>590</v>
      </c>
      <c r="E3345" s="63" t="s">
        <v>337</v>
      </c>
      <c r="F3345" s="63"/>
      <c r="G3345" s="64" t="s">
        <v>1102</v>
      </c>
    </row>
    <row r="3346" spans="2:7">
      <c r="B3346" s="269"/>
      <c r="C3346" s="61" t="s">
        <v>586</v>
      </c>
      <c r="D3346" s="62">
        <f>VLOOKUP(C3346,基本字段定义!$B$3:$C$3008,2,FALSE)</f>
        <v>9109</v>
      </c>
      <c r="E3346" s="63" t="s">
        <v>337</v>
      </c>
      <c r="F3346" s="63"/>
      <c r="G3346" s="64" t="s">
        <v>587</v>
      </c>
    </row>
    <row r="3347" spans="2:7">
      <c r="B3347" s="269"/>
      <c r="C3347" s="61" t="s">
        <v>590</v>
      </c>
      <c r="D3347" s="62">
        <f>VLOOKUP(C3347,基本字段定义!$B$3:$C$3008,2,FALSE)</f>
        <v>9110</v>
      </c>
      <c r="E3347" s="63" t="s">
        <v>337</v>
      </c>
      <c r="F3347" s="63"/>
      <c r="G3347" s="64" t="s">
        <v>903</v>
      </c>
    </row>
    <row r="3348" spans="2:7">
      <c r="B3348" s="269"/>
      <c r="C3348" s="61" t="s">
        <v>588</v>
      </c>
      <c r="D3348" s="62">
        <f>VLOOKUP(C3348,基本字段定义!$B$3:$C$3008,2,FALSE)</f>
        <v>763</v>
      </c>
      <c r="E3348" s="63" t="s">
        <v>471</v>
      </c>
      <c r="F3348" s="63"/>
      <c r="G3348" s="64" t="s">
        <v>904</v>
      </c>
    </row>
    <row r="3349" spans="2:7">
      <c r="B3349" s="269" t="s">
        <v>335</v>
      </c>
      <c r="C3349" s="65" t="s">
        <v>588</v>
      </c>
      <c r="D3349" s="66">
        <f>VLOOKUP(C3349,基本字段定义!$B$3:$C$3008,2,FALSE)</f>
        <v>763</v>
      </c>
      <c r="E3349" s="67" t="s">
        <v>339</v>
      </c>
      <c r="F3349" s="67"/>
      <c r="G3349" s="69" t="s">
        <v>592</v>
      </c>
    </row>
    <row r="3350" spans="2:7">
      <c r="B3350" s="269"/>
      <c r="C3350" s="65" t="s">
        <v>1821</v>
      </c>
      <c r="D3350" s="66">
        <f>VLOOKUP(C3350,基本字段定义!$B$3:$C$3008,2,FALSE)</f>
        <v>569</v>
      </c>
      <c r="E3350" s="67" t="s">
        <v>339</v>
      </c>
      <c r="F3350" s="67"/>
      <c r="G3350" s="69" t="s">
        <v>374</v>
      </c>
    </row>
    <row r="3351" spans="2:7">
      <c r="B3351" s="269"/>
      <c r="C3351" s="65" t="s">
        <v>518</v>
      </c>
      <c r="D3351" s="66">
        <f>VLOOKUP(C3351,基本字段定义!$B$3:$C$3008,2,FALSE)</f>
        <v>1055</v>
      </c>
      <c r="E3351" s="67" t="s">
        <v>339</v>
      </c>
      <c r="F3351" s="67"/>
      <c r="G3351" s="69" t="s">
        <v>1822</v>
      </c>
    </row>
    <row r="3352" spans="2:7">
      <c r="B3352" s="269"/>
      <c r="C3352" s="65" t="s">
        <v>594</v>
      </c>
      <c r="D3352" s="66">
        <f>VLOOKUP(C3352,基本字段定义!$B$3:$C$3008,2,FALSE)</f>
        <v>865</v>
      </c>
      <c r="E3352" s="67" t="s">
        <v>337</v>
      </c>
      <c r="F3352" s="67"/>
      <c r="G3352" s="69" t="s">
        <v>595</v>
      </c>
    </row>
    <row r="3353" spans="2:7">
      <c r="B3353" s="269"/>
      <c r="C3353" s="65" t="s">
        <v>496</v>
      </c>
      <c r="D3353" s="66">
        <f>VLOOKUP(C3353,基本字段定义!$B$3:$C$3008,2,FALSE)</f>
        <v>694</v>
      </c>
      <c r="E3353" s="67" t="s">
        <v>337</v>
      </c>
      <c r="F3353" s="67"/>
      <c r="G3353" s="69" t="s">
        <v>1823</v>
      </c>
    </row>
    <row r="3354" spans="2:7">
      <c r="B3354" s="269"/>
      <c r="C3354" s="65" t="s">
        <v>470</v>
      </c>
      <c r="D3354" s="66">
        <f>VLOOKUP(C3354,基本字段定义!$B$3:$C$3008,2,FALSE)</f>
        <v>730</v>
      </c>
      <c r="E3354" s="67" t="s">
        <v>339</v>
      </c>
      <c r="F3354" s="67"/>
      <c r="G3354" s="69" t="s">
        <v>1492</v>
      </c>
    </row>
    <row r="3355" spans="2:7">
      <c r="B3355" s="269"/>
      <c r="C3355" s="65" t="s">
        <v>1824</v>
      </c>
      <c r="D3355" s="66">
        <f>VLOOKUP(C3355,基本字段定义!$B$3:$C$3008,2,FALSE)</f>
        <v>1984</v>
      </c>
      <c r="E3355" s="67" t="s">
        <v>339</v>
      </c>
      <c r="F3355" s="67"/>
      <c r="G3355" s="69" t="s">
        <v>1825</v>
      </c>
    </row>
    <row r="3356" spans="2:7">
      <c r="B3356" s="269"/>
      <c r="C3356" s="65" t="s">
        <v>575</v>
      </c>
      <c r="D3356" s="66">
        <f>VLOOKUP(C3356,基本字段定义!$B$3:$C$3008,2,FALSE)</f>
        <v>797</v>
      </c>
      <c r="E3356" s="67" t="s">
        <v>339</v>
      </c>
      <c r="F3356" s="67"/>
      <c r="G3356" s="69" t="s">
        <v>576</v>
      </c>
    </row>
    <row r="3357" spans="2:7">
      <c r="B3357" s="269"/>
      <c r="C3357" s="65" t="s">
        <v>367</v>
      </c>
      <c r="D3357" s="66">
        <f>VLOOKUP(C3357,基本字段定义!$B$3:$C$3008,2,FALSE)</f>
        <v>651</v>
      </c>
      <c r="E3357" s="67" t="s">
        <v>337</v>
      </c>
      <c r="F3357" s="67"/>
      <c r="G3357" s="69" t="s">
        <v>1463</v>
      </c>
    </row>
    <row r="3358" spans="2:7">
      <c r="B3358" s="269"/>
      <c r="C3358" s="65" t="s">
        <v>373</v>
      </c>
      <c r="D3358" s="66">
        <f>VLOOKUP(C3358,基本字段定义!$B$3:$C$3008,2,FALSE)</f>
        <v>697</v>
      </c>
      <c r="E3358" s="67" t="s">
        <v>339</v>
      </c>
      <c r="F3358" s="67"/>
      <c r="G3358" s="69" t="s">
        <v>374</v>
      </c>
    </row>
    <row r="3359" spans="2:7">
      <c r="B3359" s="270"/>
      <c r="C3359" s="71"/>
      <c r="D3359" s="79"/>
      <c r="E3359" s="73"/>
      <c r="F3359" s="73"/>
      <c r="G3359" s="74"/>
    </row>
    <row r="3361" spans="2:7">
      <c r="B3361" s="53" t="s">
        <v>146</v>
      </c>
      <c r="C3361" s="291">
        <v>303009</v>
      </c>
      <c r="D3361" s="291"/>
      <c r="E3361" s="291"/>
      <c r="F3361" s="54" t="s">
        <v>326</v>
      </c>
      <c r="G3361" s="55"/>
    </row>
    <row r="3362" spans="2:7">
      <c r="B3362" s="56" t="s">
        <v>327</v>
      </c>
      <c r="C3362" s="290" t="str">
        <f>VLOOKUP(C3361,功能索引!$C$3:$D$269,2,FALSE)</f>
        <v>查询客户资金冻结明细</v>
      </c>
      <c r="D3362" s="290"/>
      <c r="E3362" s="290"/>
      <c r="F3362" s="57" t="s">
        <v>148</v>
      </c>
      <c r="G3362" s="58" t="str">
        <f>VLOOKUP(C3361,功能索引!$C$3:$E3592,3,FALSE)</f>
        <v>Y</v>
      </c>
    </row>
    <row r="3363" spans="2:7">
      <c r="B3363" s="269" t="s">
        <v>328</v>
      </c>
      <c r="C3363" s="276"/>
      <c r="D3363" s="277"/>
      <c r="E3363" s="277"/>
      <c r="F3363" s="277"/>
      <c r="G3363" s="278"/>
    </row>
    <row r="3364" spans="2:7">
      <c r="B3364" s="270"/>
      <c r="C3364" s="279"/>
      <c r="D3364" s="280"/>
      <c r="E3364" s="280"/>
      <c r="F3364" s="280"/>
      <c r="G3364" s="281"/>
    </row>
    <row r="3365" spans="2:7">
      <c r="B3365" s="271" t="s">
        <v>329</v>
      </c>
      <c r="C3365" s="54" t="s">
        <v>330</v>
      </c>
      <c r="D3365" s="54" t="s">
        <v>331</v>
      </c>
      <c r="E3365" s="54" t="s">
        <v>332</v>
      </c>
      <c r="F3365" s="54" t="s">
        <v>333</v>
      </c>
      <c r="G3365" s="60" t="s">
        <v>334</v>
      </c>
    </row>
    <row r="3366" spans="2:7">
      <c r="B3366" s="286"/>
      <c r="C3366" s="165" t="s">
        <v>402</v>
      </c>
      <c r="D3366" s="102">
        <f>VLOOKUP(C3366,基本字段定义!$B$3:$C$3008,2,FALSE)</f>
        <v>605</v>
      </c>
      <c r="E3366" s="102"/>
      <c r="F3366" s="102" t="s">
        <v>152</v>
      </c>
      <c r="G3366" s="166" t="s">
        <v>404</v>
      </c>
    </row>
    <row r="3367" spans="2:7">
      <c r="B3367" s="286"/>
      <c r="C3367" s="165" t="s">
        <v>588</v>
      </c>
      <c r="D3367" s="102">
        <f>VLOOKUP(C3367,基本字段定义!$B$3:$C$3008,2,FALSE)</f>
        <v>763</v>
      </c>
      <c r="E3367" s="102" t="s">
        <v>339</v>
      </c>
      <c r="F3367" s="102"/>
      <c r="G3367" s="166" t="s">
        <v>589</v>
      </c>
    </row>
    <row r="3368" spans="2:7">
      <c r="B3368" s="286"/>
      <c r="C3368" s="165" t="s">
        <v>586</v>
      </c>
      <c r="D3368" s="102">
        <f>VLOOKUP(C3368,基本字段定义!$B$3:$C$3008,2,FALSE)</f>
        <v>9109</v>
      </c>
      <c r="E3368" s="102" t="s">
        <v>337</v>
      </c>
      <c r="F3368" s="102"/>
      <c r="G3368" s="166" t="s">
        <v>587</v>
      </c>
    </row>
    <row r="3369" spans="2:7">
      <c r="B3369" s="269"/>
      <c r="C3369" s="165" t="s">
        <v>590</v>
      </c>
      <c r="D3369" s="102">
        <f>VLOOKUP(C3369,基本字段定义!$B$3:$C$3008,2,FALSE)</f>
        <v>9110</v>
      </c>
      <c r="E3369" s="102" t="s">
        <v>337</v>
      </c>
      <c r="F3369" s="102"/>
      <c r="G3369" s="166" t="s">
        <v>1826</v>
      </c>
    </row>
    <row r="3370" spans="2:7">
      <c r="B3370" s="269"/>
      <c r="C3370" s="165" t="s">
        <v>484</v>
      </c>
      <c r="D3370" s="102">
        <f>VLOOKUP(C3370,基本字段定义!$B$3:$C$3008,2,FALSE)</f>
        <v>618</v>
      </c>
      <c r="E3370" s="102" t="s">
        <v>337</v>
      </c>
      <c r="F3370" s="102"/>
      <c r="G3370" s="166" t="s">
        <v>1101</v>
      </c>
    </row>
    <row r="3371" spans="2:7">
      <c r="B3371" s="269"/>
      <c r="C3371" s="165" t="s">
        <v>486</v>
      </c>
      <c r="D3371" s="102">
        <f>VLOOKUP(C3371,基本字段定义!$B$3:$C$3008,2,FALSE)</f>
        <v>590</v>
      </c>
      <c r="E3371" s="102" t="s">
        <v>337</v>
      </c>
      <c r="F3371" s="102"/>
      <c r="G3371" s="166" t="s">
        <v>1102</v>
      </c>
    </row>
    <row r="3372" spans="2:7">
      <c r="B3372" s="269" t="s">
        <v>335</v>
      </c>
      <c r="C3372" s="65" t="s">
        <v>588</v>
      </c>
      <c r="D3372" s="66">
        <f>VLOOKUP(C3372,基本字段定义!$B$3:$C$3008,2,FALSE)</f>
        <v>763</v>
      </c>
      <c r="E3372" s="67" t="s">
        <v>337</v>
      </c>
      <c r="F3372" s="67" t="s">
        <v>1827</v>
      </c>
      <c r="G3372" s="69"/>
    </row>
    <row r="3373" spans="2:7">
      <c r="B3373" s="269"/>
      <c r="C3373" s="65" t="s">
        <v>1828</v>
      </c>
      <c r="D3373" s="66">
        <f>VLOOKUP(C3373,基本字段定义!$B$3:$C$3008,2,FALSE)</f>
        <v>1465</v>
      </c>
      <c r="E3373" s="67" t="s">
        <v>345</v>
      </c>
      <c r="F3373" s="67" t="s">
        <v>1829</v>
      </c>
      <c r="G3373" s="69"/>
    </row>
    <row r="3374" spans="2:7">
      <c r="B3374" s="269"/>
      <c r="C3374" s="65" t="s">
        <v>1821</v>
      </c>
      <c r="D3374" s="66">
        <f>VLOOKUP(C3374,基本字段定义!$B$3:$C$3008,2,FALSE)</f>
        <v>569</v>
      </c>
      <c r="E3374" s="67" t="s">
        <v>345</v>
      </c>
      <c r="F3374" s="67" t="s">
        <v>1830</v>
      </c>
      <c r="G3374" s="69"/>
    </row>
    <row r="3375" spans="2:7">
      <c r="B3375" s="269"/>
      <c r="C3375" s="65" t="s">
        <v>594</v>
      </c>
      <c r="D3375" s="66">
        <f>VLOOKUP(C3375,基本字段定义!$B$3:$C$3008,2,FALSE)</f>
        <v>865</v>
      </c>
      <c r="E3375" s="67" t="s">
        <v>337</v>
      </c>
      <c r="F3375" s="67" t="s">
        <v>595</v>
      </c>
      <c r="G3375" s="69"/>
    </row>
    <row r="3376" spans="2:7">
      <c r="B3376" s="269"/>
      <c r="C3376" s="65" t="s">
        <v>1607</v>
      </c>
      <c r="D3376" s="66">
        <f>VLOOKUP(C3375,基本字段定义!$B$3:$C$3008,2,FALSE)</f>
        <v>865</v>
      </c>
      <c r="E3376" s="67" t="s">
        <v>345</v>
      </c>
      <c r="F3376" s="67" t="s">
        <v>1831</v>
      </c>
      <c r="G3376" s="69"/>
    </row>
    <row r="3377" spans="2:7">
      <c r="B3377" s="269"/>
      <c r="C3377" s="65" t="s">
        <v>417</v>
      </c>
      <c r="D3377" s="66">
        <f>VLOOKUP(C3376,基本字段定义!$B$3:$C$3008,2,FALSE)</f>
        <v>800</v>
      </c>
      <c r="E3377" s="67" t="s">
        <v>362</v>
      </c>
      <c r="F3377" s="67" t="s">
        <v>852</v>
      </c>
      <c r="G3377" s="69"/>
    </row>
    <row r="3378" spans="2:7">
      <c r="B3378" s="269"/>
      <c r="C3378" s="65" t="s">
        <v>402</v>
      </c>
      <c r="D3378" s="66">
        <f>VLOOKUP(C3377,基本字段定义!$B$3:$C$3008,2,FALSE)</f>
        <v>610</v>
      </c>
      <c r="E3378" s="67" t="s">
        <v>403</v>
      </c>
      <c r="F3378" s="67" t="s">
        <v>404</v>
      </c>
      <c r="G3378" s="69"/>
    </row>
    <row r="3379" spans="2:7">
      <c r="B3379" s="269"/>
      <c r="C3379" s="65" t="s">
        <v>373</v>
      </c>
      <c r="D3379" s="66">
        <f>VLOOKUP(C3378,基本字段定义!$B$3:$C$3008,2,FALSE)</f>
        <v>605</v>
      </c>
      <c r="E3379" s="67" t="s">
        <v>345</v>
      </c>
      <c r="F3379" s="67" t="s">
        <v>374</v>
      </c>
      <c r="G3379" s="69"/>
    </row>
    <row r="3380" spans="2:7">
      <c r="B3380" s="269"/>
      <c r="C3380" s="65" t="s">
        <v>524</v>
      </c>
      <c r="D3380" s="66">
        <f>VLOOKUP(C3379,基本字段定义!$B$3:$C$3008,2,FALSE)</f>
        <v>697</v>
      </c>
      <c r="E3380" s="67" t="s">
        <v>527</v>
      </c>
      <c r="F3380" s="67" t="s">
        <v>525</v>
      </c>
      <c r="G3380" s="69"/>
    </row>
    <row r="3381" spans="2:7">
      <c r="B3381" s="269"/>
      <c r="C3381" s="65" t="s">
        <v>420</v>
      </c>
      <c r="D3381" s="66">
        <f>VLOOKUP(C3380,基本字段定义!$B$3:$C$3008,2,FALSE)</f>
        <v>511</v>
      </c>
      <c r="E3381" s="67" t="s">
        <v>412</v>
      </c>
      <c r="F3381" s="67" t="s">
        <v>789</v>
      </c>
      <c r="G3381" s="69"/>
    </row>
    <row r="3382" spans="2:7">
      <c r="B3382" s="269"/>
      <c r="C3382" s="65" t="s">
        <v>522</v>
      </c>
      <c r="D3382" s="66">
        <f>VLOOKUP(C3381,基本字段定义!$B$3:$C$3008,2,FALSE)</f>
        <v>613</v>
      </c>
      <c r="E3382" s="67" t="s">
        <v>553</v>
      </c>
      <c r="F3382" s="67" t="s">
        <v>650</v>
      </c>
      <c r="G3382" s="69"/>
    </row>
    <row r="3383" spans="2:7">
      <c r="B3383" s="269"/>
      <c r="C3383" s="65" t="s">
        <v>470</v>
      </c>
      <c r="D3383" s="66">
        <f>VLOOKUP(C3383,基本字段定义!$B$3:$C$3008,2,FALSE)</f>
        <v>730</v>
      </c>
      <c r="E3383" s="67" t="s">
        <v>459</v>
      </c>
      <c r="F3383" s="67" t="s">
        <v>1492</v>
      </c>
      <c r="G3383" s="69"/>
    </row>
    <row r="3384" spans="2:7">
      <c r="B3384" s="269"/>
      <c r="C3384" s="65" t="s">
        <v>1832</v>
      </c>
      <c r="D3384" s="66">
        <f>VLOOKUP(C3384,基本字段定义!$B$3:$C$3008,2,FALSE)</f>
        <v>1140</v>
      </c>
      <c r="E3384" s="67" t="s">
        <v>337</v>
      </c>
      <c r="F3384" s="67" t="s">
        <v>1833</v>
      </c>
      <c r="G3384" s="69"/>
    </row>
    <row r="3385" spans="2:7">
      <c r="B3385" s="269"/>
      <c r="C3385" s="65" t="s">
        <v>1011</v>
      </c>
      <c r="D3385" s="66">
        <f>VLOOKUP(C3385,基本字段定义!$B$3:$C$3008,2,FALSE)</f>
        <v>9150</v>
      </c>
      <c r="E3385" s="67" t="s">
        <v>337</v>
      </c>
      <c r="F3385" s="67" t="s">
        <v>1834</v>
      </c>
      <c r="G3385" s="69"/>
    </row>
    <row r="3386" spans="2:7">
      <c r="B3386" s="269"/>
      <c r="C3386" s="65" t="s">
        <v>1824</v>
      </c>
      <c r="D3386" s="66">
        <f>VLOOKUP(C3386,基本字段定义!$B$3:$C$3008,2,FALSE)</f>
        <v>1984</v>
      </c>
      <c r="E3386" s="67" t="s">
        <v>337</v>
      </c>
      <c r="F3386" s="67" t="s">
        <v>1825</v>
      </c>
      <c r="G3386" s="69"/>
    </row>
    <row r="3387" spans="2:7">
      <c r="B3387" s="269"/>
      <c r="C3387" s="65" t="s">
        <v>575</v>
      </c>
      <c r="D3387" s="66">
        <f>VLOOKUP(C3387,基本字段定义!$B$3:$C$3008,2,FALSE)</f>
        <v>797</v>
      </c>
      <c r="E3387" s="67" t="s">
        <v>337</v>
      </c>
      <c r="F3387" s="67" t="s">
        <v>576</v>
      </c>
      <c r="G3387" s="69"/>
    </row>
    <row r="3388" spans="2:7">
      <c r="B3388" s="269"/>
      <c r="C3388" s="65" t="s">
        <v>367</v>
      </c>
      <c r="D3388" s="66">
        <f>VLOOKUP(C3388,基本字段定义!$B$3:$C$3008,2,FALSE)</f>
        <v>651</v>
      </c>
      <c r="E3388" s="67" t="s">
        <v>1322</v>
      </c>
      <c r="F3388" s="67" t="s">
        <v>593</v>
      </c>
      <c r="G3388" s="69"/>
    </row>
    <row r="3389" spans="2:7">
      <c r="B3389" s="269"/>
      <c r="C3389" s="65" t="s">
        <v>1835</v>
      </c>
      <c r="D3389" s="66">
        <f>VLOOKUP(C3389,基本字段定义!$B$3:$C$3008,2,FALSE)</f>
        <v>533</v>
      </c>
      <c r="E3389" s="67" t="s">
        <v>1836</v>
      </c>
      <c r="F3389" s="67" t="s">
        <v>1837</v>
      </c>
      <c r="G3389" s="69" t="s">
        <v>1838</v>
      </c>
    </row>
    <row r="3390" spans="2:7">
      <c r="B3390" s="269"/>
      <c r="C3390" s="65" t="s">
        <v>516</v>
      </c>
      <c r="D3390" s="66">
        <f>VLOOKUP(C3390,基本字段定义!$B$3:$C$3008,2,FALSE)</f>
        <v>756</v>
      </c>
      <c r="E3390" s="67" t="s">
        <v>1836</v>
      </c>
      <c r="F3390" s="67" t="s">
        <v>517</v>
      </c>
      <c r="G3390" s="69"/>
    </row>
    <row r="3391" spans="2:7">
      <c r="B3391" s="270"/>
      <c r="C3391" s="71" t="s">
        <v>582</v>
      </c>
      <c r="D3391" s="79">
        <f>VLOOKUP(C3391,基本字段定义!$B$3:$C$3008,2,FALSE)</f>
        <v>808</v>
      </c>
      <c r="E3391" s="73" t="s">
        <v>1561</v>
      </c>
      <c r="F3391" s="73" t="s">
        <v>1416</v>
      </c>
      <c r="G3391" s="74"/>
    </row>
    <row r="3393" spans="2:7">
      <c r="B3393" s="53" t="s">
        <v>146</v>
      </c>
      <c r="C3393" s="80">
        <v>204583</v>
      </c>
      <c r="D3393" s="81"/>
      <c r="E3393" s="82"/>
      <c r="F3393" s="54" t="s">
        <v>326</v>
      </c>
      <c r="G3393" s="55"/>
    </row>
    <row r="3394" spans="2:7">
      <c r="B3394" s="56" t="s">
        <v>327</v>
      </c>
      <c r="C3394" s="83" t="s">
        <v>254</v>
      </c>
      <c r="D3394" s="84"/>
      <c r="E3394" s="85"/>
      <c r="F3394" s="57" t="s">
        <v>148</v>
      </c>
      <c r="G3394" s="58">
        <v>0</v>
      </c>
    </row>
    <row r="3395" spans="2:7">
      <c r="B3395" s="269" t="s">
        <v>328</v>
      </c>
      <c r="C3395" s="95" t="s">
        <v>254</v>
      </c>
      <c r="D3395" s="96"/>
      <c r="E3395" s="96"/>
      <c r="F3395" s="96"/>
      <c r="G3395" s="97"/>
    </row>
    <row r="3396" spans="2:7">
      <c r="B3396" s="270"/>
      <c r="C3396" s="98"/>
      <c r="D3396" s="99"/>
      <c r="E3396" s="99"/>
      <c r="F3396" s="99"/>
      <c r="G3396" s="100"/>
    </row>
    <row r="3397" spans="2:7">
      <c r="B3397" s="271" t="s">
        <v>329</v>
      </c>
      <c r="C3397" s="54" t="s">
        <v>330</v>
      </c>
      <c r="D3397" s="54" t="s">
        <v>331</v>
      </c>
      <c r="E3397" s="54" t="s">
        <v>332</v>
      </c>
      <c r="F3397" s="54" t="s">
        <v>333</v>
      </c>
      <c r="G3397" s="167" t="s">
        <v>334</v>
      </c>
    </row>
    <row r="3398" spans="2:7">
      <c r="B3398" s="269"/>
      <c r="C3398" s="165" t="s">
        <v>1666</v>
      </c>
      <c r="D3398" s="102">
        <f>VLOOKUP(C3398,基本字段定义!$B$3:$C$3008,2,FALSE)</f>
        <v>889</v>
      </c>
      <c r="E3398" s="102" t="s">
        <v>337</v>
      </c>
      <c r="F3398" s="102" t="s">
        <v>152</v>
      </c>
      <c r="G3398" s="168" t="s">
        <v>1839</v>
      </c>
    </row>
    <row r="3399" spans="2:7">
      <c r="B3399" s="269"/>
      <c r="C3399" s="165" t="s">
        <v>1763</v>
      </c>
      <c r="D3399" s="102">
        <f>VLOOKUP(C3399,基本字段定义!$B$3:$C$3008,2,FALSE)</f>
        <v>4221</v>
      </c>
      <c r="E3399" s="102" t="s">
        <v>1322</v>
      </c>
      <c r="F3399" s="102" t="s">
        <v>152</v>
      </c>
      <c r="G3399" s="168" t="s">
        <v>1529</v>
      </c>
    </row>
    <row r="3400" spans="2:7">
      <c r="B3400" s="269"/>
      <c r="C3400" s="165" t="s">
        <v>402</v>
      </c>
      <c r="D3400" s="102">
        <f>VLOOKUP(C3400,基本字段定义!$B$3:$C$3008,2,FALSE)</f>
        <v>605</v>
      </c>
      <c r="E3400" s="102" t="s">
        <v>339</v>
      </c>
      <c r="F3400" s="102" t="s">
        <v>152</v>
      </c>
      <c r="G3400" s="168" t="s">
        <v>404</v>
      </c>
    </row>
    <row r="3401" spans="2:7">
      <c r="B3401" s="269"/>
      <c r="C3401" s="165" t="s">
        <v>361</v>
      </c>
      <c r="D3401" s="102">
        <f>VLOOKUP(C3401,基本字段定义!$B$3:$C$3008,2,FALSE)</f>
        <v>599</v>
      </c>
      <c r="E3401" s="102" t="s">
        <v>339</v>
      </c>
      <c r="F3401" s="102" t="s">
        <v>152</v>
      </c>
      <c r="G3401" s="168" t="s">
        <v>363</v>
      </c>
    </row>
    <row r="3402" spans="2:7">
      <c r="B3402" s="269"/>
      <c r="C3402" s="165" t="s">
        <v>405</v>
      </c>
      <c r="D3402" s="102">
        <f>VLOOKUP(C3402,基本字段定义!$B$3:$C$3008,2,FALSE)</f>
        <v>571</v>
      </c>
      <c r="E3402" s="102" t="s">
        <v>339</v>
      </c>
      <c r="F3402" s="102" t="s">
        <v>152</v>
      </c>
      <c r="G3402" s="168" t="s">
        <v>407</v>
      </c>
    </row>
    <row r="3403" spans="2:7">
      <c r="B3403" s="269"/>
      <c r="C3403" s="165" t="s">
        <v>1308</v>
      </c>
      <c r="D3403" s="102">
        <f>VLOOKUP(C3403,基本字段定义!$B$3:$C$3008,2,FALSE)</f>
        <v>1430</v>
      </c>
      <c r="E3403" s="102" t="s">
        <v>1561</v>
      </c>
      <c r="F3403" s="102" t="s">
        <v>152</v>
      </c>
      <c r="G3403" s="168" t="s">
        <v>1840</v>
      </c>
    </row>
    <row r="3404" spans="2:7">
      <c r="B3404" s="269"/>
      <c r="C3404" s="165" t="s">
        <v>1503</v>
      </c>
      <c r="D3404" s="102">
        <f>VLOOKUP(C3404,基本字段定义!$B$3:$C$3008,2,FALSE)</f>
        <v>1248</v>
      </c>
      <c r="E3404" s="102" t="s">
        <v>1561</v>
      </c>
      <c r="F3404" s="102" t="s">
        <v>152</v>
      </c>
      <c r="G3404" s="168" t="s">
        <v>1468</v>
      </c>
    </row>
    <row r="3405" spans="2:7" ht="15" customHeight="1">
      <c r="B3405" s="267" t="s">
        <v>335</v>
      </c>
      <c r="C3405" s="65" t="s">
        <v>336</v>
      </c>
      <c r="D3405" s="66">
        <f>VLOOKUP(C3405,基本字段定义!$B$3:$C$3008,2,FALSE)</f>
        <v>507</v>
      </c>
      <c r="E3405" s="67" t="s">
        <v>337</v>
      </c>
      <c r="F3405" s="67"/>
      <c r="G3405" s="69"/>
    </row>
    <row r="3406" spans="2:7" ht="14.25" customHeight="1">
      <c r="B3406" s="268"/>
      <c r="C3406" s="71" t="s">
        <v>338</v>
      </c>
      <c r="D3406" s="79">
        <f>VLOOKUP(C3406,基本字段定义!$B$3:$C$3008,2,FALSE)</f>
        <v>508</v>
      </c>
      <c r="E3406" s="73" t="s">
        <v>339</v>
      </c>
      <c r="F3406" s="73"/>
      <c r="G3406" s="169"/>
    </row>
    <row r="3408" spans="2:7">
      <c r="B3408" s="53" t="s">
        <v>146</v>
      </c>
      <c r="C3408" s="291">
        <v>204567</v>
      </c>
      <c r="D3408" s="291"/>
      <c r="E3408" s="291"/>
      <c r="F3408" s="54" t="s">
        <v>326</v>
      </c>
      <c r="G3408" s="55"/>
    </row>
    <row r="3409" spans="2:7">
      <c r="B3409" s="56" t="s">
        <v>327</v>
      </c>
      <c r="C3409" s="290" t="str">
        <f>VLOOKUP(C3408,功能索引!$C$3:$D$269,2,FALSE)</f>
        <v>约定购回合约信息查询</v>
      </c>
      <c r="D3409" s="290"/>
      <c r="E3409" s="290"/>
      <c r="F3409" s="57" t="s">
        <v>148</v>
      </c>
      <c r="G3409" s="58" t="str">
        <f>VLOOKUP(C3408,功能索引!$C$3:$E3640,3,FALSE)</f>
        <v>Y</v>
      </c>
    </row>
    <row r="3410" spans="2:7">
      <c r="B3410" s="269" t="s">
        <v>328</v>
      </c>
      <c r="C3410" s="276" t="s">
        <v>252</v>
      </c>
      <c r="D3410" s="277"/>
      <c r="E3410" s="277"/>
      <c r="F3410" s="277"/>
      <c r="G3410" s="278"/>
    </row>
    <row r="3411" spans="2:7">
      <c r="B3411" s="270"/>
      <c r="C3411" s="279"/>
      <c r="D3411" s="280"/>
      <c r="E3411" s="280"/>
      <c r="F3411" s="280"/>
      <c r="G3411" s="281"/>
    </row>
    <row r="3412" spans="2:7">
      <c r="B3412" s="271" t="s">
        <v>329</v>
      </c>
      <c r="C3412" s="54" t="s">
        <v>330</v>
      </c>
      <c r="D3412" s="54" t="s">
        <v>331</v>
      </c>
      <c r="E3412" s="54" t="s">
        <v>332</v>
      </c>
      <c r="F3412" s="54" t="s">
        <v>333</v>
      </c>
      <c r="G3412" s="60" t="s">
        <v>334</v>
      </c>
    </row>
    <row r="3413" spans="2:7">
      <c r="B3413" s="286"/>
      <c r="C3413" s="165" t="s">
        <v>402</v>
      </c>
      <c r="D3413" s="102">
        <f>VLOOKUP(C3413,基本字段定义!$B$3:$C$3008,2,FALSE)</f>
        <v>605</v>
      </c>
      <c r="E3413" s="102" t="s">
        <v>339</v>
      </c>
      <c r="F3413" s="102" t="s">
        <v>152</v>
      </c>
      <c r="G3413" s="166" t="s">
        <v>404</v>
      </c>
    </row>
    <row r="3414" spans="2:7">
      <c r="B3414" s="286"/>
      <c r="C3414" s="165" t="s">
        <v>405</v>
      </c>
      <c r="D3414" s="102">
        <f>VLOOKUP(C3414,基本字段定义!$B$3:$C$3008,2,FALSE)</f>
        <v>571</v>
      </c>
      <c r="E3414" s="102" t="s">
        <v>339</v>
      </c>
      <c r="F3414" s="102"/>
      <c r="G3414" s="166" t="s">
        <v>407</v>
      </c>
    </row>
    <row r="3415" spans="2:7">
      <c r="B3415" s="286"/>
      <c r="C3415" s="165" t="s">
        <v>869</v>
      </c>
      <c r="D3415" s="102">
        <f>VLOOKUP(C3415,基本字段定义!$B$3:$C$3008,2,FALSE)</f>
        <v>522</v>
      </c>
      <c r="E3415" s="102" t="s">
        <v>337</v>
      </c>
      <c r="F3415" s="102"/>
      <c r="G3415" s="166" t="s">
        <v>938</v>
      </c>
    </row>
    <row r="3416" spans="2:7">
      <c r="B3416" s="269"/>
      <c r="C3416" s="165" t="s">
        <v>1666</v>
      </c>
      <c r="D3416" s="102">
        <f>VLOOKUP(C3416,基本字段定义!$B$3:$C$3008,2,FALSE)</f>
        <v>889</v>
      </c>
      <c r="E3416" s="102" t="s">
        <v>337</v>
      </c>
      <c r="F3416" s="102"/>
      <c r="G3416" s="166" t="s">
        <v>1734</v>
      </c>
    </row>
    <row r="3417" spans="2:7">
      <c r="B3417" s="269"/>
      <c r="C3417" s="165" t="s">
        <v>1841</v>
      </c>
      <c r="D3417" s="102">
        <f>VLOOKUP(C3417,基本字段定义!$B$3:$C$3008,2,FALSE)</f>
        <v>4225</v>
      </c>
      <c r="E3417" s="102" t="s">
        <v>339</v>
      </c>
      <c r="F3417" s="102"/>
      <c r="G3417" s="166" t="s">
        <v>1842</v>
      </c>
    </row>
    <row r="3418" spans="2:7">
      <c r="B3418" s="269"/>
      <c r="C3418" s="165" t="s">
        <v>1092</v>
      </c>
      <c r="D3418" s="102">
        <f>VLOOKUP(C3418,基本字段定义!$B$3:$C$3008,2,FALSE)</f>
        <v>1077</v>
      </c>
      <c r="E3418" s="102" t="s">
        <v>337</v>
      </c>
      <c r="F3418" s="102"/>
      <c r="G3418" s="166" t="s">
        <v>1093</v>
      </c>
    </row>
    <row r="3419" spans="2:7">
      <c r="B3419" s="269"/>
      <c r="C3419" s="165" t="s">
        <v>373</v>
      </c>
      <c r="D3419" s="102">
        <f>VLOOKUP(C3419,基本字段定义!$B$3:$C$3008,2,FALSE)</f>
        <v>697</v>
      </c>
      <c r="E3419" s="102" t="s">
        <v>339</v>
      </c>
      <c r="F3419" s="102"/>
      <c r="G3419" s="166" t="s">
        <v>1843</v>
      </c>
    </row>
    <row r="3420" spans="2:7">
      <c r="B3420" s="269"/>
      <c r="C3420" s="165" t="s">
        <v>417</v>
      </c>
      <c r="D3420" s="102">
        <f>VLOOKUP(C3420,基本字段定义!$B$3:$C$3008,2,FALSE)</f>
        <v>610</v>
      </c>
      <c r="E3420" s="102" t="s">
        <v>339</v>
      </c>
      <c r="F3420" s="102"/>
      <c r="G3420" s="166" t="s">
        <v>1844</v>
      </c>
    </row>
    <row r="3421" spans="2:7">
      <c r="B3421" s="269"/>
      <c r="C3421" s="165" t="s">
        <v>772</v>
      </c>
      <c r="D3421" s="102">
        <f>VLOOKUP(C3421,基本字段定义!$B$3:$C$3008,2,FALSE)</f>
        <v>683</v>
      </c>
      <c r="E3421" s="102" t="s">
        <v>337</v>
      </c>
      <c r="F3421" s="102"/>
      <c r="G3421" s="166" t="s">
        <v>979</v>
      </c>
    </row>
    <row r="3422" spans="2:7">
      <c r="B3422" s="269"/>
      <c r="C3422" s="165" t="s">
        <v>733</v>
      </c>
      <c r="D3422" s="102">
        <f>VLOOKUP(C3422,基本字段定义!$B$3:$C$3008,2,FALSE)</f>
        <v>526</v>
      </c>
      <c r="E3422" s="102" t="s">
        <v>337</v>
      </c>
      <c r="F3422" s="102"/>
      <c r="G3422" s="166" t="s">
        <v>940</v>
      </c>
    </row>
    <row r="3423" spans="2:7">
      <c r="B3423" s="269"/>
      <c r="C3423" s="165" t="s">
        <v>640</v>
      </c>
      <c r="D3423" s="102">
        <f>VLOOKUP(C3423,基本字段定义!$B$3:$C$3008,2,FALSE)</f>
        <v>719</v>
      </c>
      <c r="E3423" s="102" t="s">
        <v>339</v>
      </c>
      <c r="F3423" s="102"/>
      <c r="G3423" s="166" t="s">
        <v>657</v>
      </c>
    </row>
    <row r="3424" spans="2:7">
      <c r="B3424" s="269"/>
      <c r="C3424" s="165" t="s">
        <v>484</v>
      </c>
      <c r="D3424" s="102">
        <f>VLOOKUP(C3424,基本字段定义!$B$3:$C$3008,2,FALSE)</f>
        <v>618</v>
      </c>
      <c r="E3424" s="102" t="s">
        <v>337</v>
      </c>
      <c r="F3424" s="102"/>
      <c r="G3424" s="166" t="s">
        <v>1101</v>
      </c>
    </row>
    <row r="3425" spans="2:7">
      <c r="B3425" s="269"/>
      <c r="C3425" s="165" t="s">
        <v>486</v>
      </c>
      <c r="D3425" s="102">
        <f>VLOOKUP(C3425,基本字段定义!$B$3:$C$3008,2,FALSE)</f>
        <v>590</v>
      </c>
      <c r="E3425" s="102" t="s">
        <v>337</v>
      </c>
      <c r="F3425" s="102"/>
      <c r="G3425" s="166" t="s">
        <v>1102</v>
      </c>
    </row>
    <row r="3426" spans="2:7" ht="54" customHeight="1">
      <c r="B3426" s="269"/>
      <c r="C3426" s="165" t="s">
        <v>559</v>
      </c>
      <c r="D3426" s="102">
        <f>VLOOKUP(C3426,基本字段定义!$B$3:$C$3008,2,FALSE)</f>
        <v>9020</v>
      </c>
      <c r="E3426" s="102" t="s">
        <v>339</v>
      </c>
      <c r="F3426" s="102"/>
      <c r="G3426" s="170" t="s">
        <v>1845</v>
      </c>
    </row>
    <row r="3427" spans="2:7">
      <c r="B3427" s="269"/>
      <c r="C3427" s="65" t="s">
        <v>1666</v>
      </c>
      <c r="D3427" s="66">
        <f>VLOOKUP(C3427,基本字段定义!$B$3:$C$3008,2,FALSE)</f>
        <v>889</v>
      </c>
      <c r="E3427" s="67" t="s">
        <v>337</v>
      </c>
      <c r="F3427" s="67"/>
      <c r="G3427" s="171" t="s">
        <v>1734</v>
      </c>
    </row>
    <row r="3428" spans="2:7">
      <c r="B3428" s="269"/>
      <c r="C3428" s="65" t="s">
        <v>1092</v>
      </c>
      <c r="D3428" s="66">
        <f>VLOOKUP(C3428,基本字段定义!$B$3:$C$3008,2,FALSE)</f>
        <v>1077</v>
      </c>
      <c r="E3428" s="67" t="s">
        <v>337</v>
      </c>
      <c r="F3428" s="67"/>
      <c r="G3428" s="171" t="s">
        <v>1093</v>
      </c>
    </row>
    <row r="3429" spans="2:7">
      <c r="B3429" s="269"/>
      <c r="C3429" s="65" t="s">
        <v>402</v>
      </c>
      <c r="D3429" s="66">
        <f>VLOOKUP(C3429,基本字段定义!$B$3:$C$3008,2,FALSE)</f>
        <v>605</v>
      </c>
      <c r="E3429" s="67" t="s">
        <v>337</v>
      </c>
      <c r="F3429" s="67"/>
      <c r="G3429" s="171" t="s">
        <v>595</v>
      </c>
    </row>
    <row r="3430" spans="2:7">
      <c r="B3430" s="269"/>
      <c r="C3430" s="65" t="s">
        <v>420</v>
      </c>
      <c r="D3430" s="66">
        <f>VLOOKUP(C3430,基本字段定义!$B$3:$C$3008,2,FALSE)</f>
        <v>613</v>
      </c>
      <c r="E3430" s="67" t="s">
        <v>339</v>
      </c>
      <c r="F3430" s="67"/>
      <c r="G3430" s="171" t="s">
        <v>852</v>
      </c>
    </row>
    <row r="3431" spans="2:7">
      <c r="B3431" s="269"/>
      <c r="C3431" s="65" t="s">
        <v>402</v>
      </c>
      <c r="D3431" s="66">
        <f>VLOOKUP(C3431,基本字段定义!$B$3:$C$3008,2,FALSE)</f>
        <v>605</v>
      </c>
      <c r="E3431" s="67" t="s">
        <v>403</v>
      </c>
      <c r="F3431" s="67"/>
      <c r="G3431" s="171" t="s">
        <v>404</v>
      </c>
    </row>
    <row r="3432" spans="2:7">
      <c r="B3432" s="269"/>
      <c r="C3432" s="65" t="s">
        <v>373</v>
      </c>
      <c r="D3432" s="66">
        <f>VLOOKUP(C3432,基本字段定义!$B$3:$C$3008,2,FALSE)</f>
        <v>697</v>
      </c>
      <c r="E3432" s="67" t="s">
        <v>339</v>
      </c>
      <c r="F3432" s="67"/>
      <c r="G3432" s="171" t="s">
        <v>374</v>
      </c>
    </row>
    <row r="3433" spans="2:7">
      <c r="B3433" s="269"/>
      <c r="C3433" s="65" t="s">
        <v>417</v>
      </c>
      <c r="D3433" s="66">
        <f>VLOOKUP(C3433,基本字段定义!$B$3:$C$3008,2,FALSE)</f>
        <v>610</v>
      </c>
      <c r="E3433" s="67" t="s">
        <v>339</v>
      </c>
      <c r="F3433" s="67"/>
      <c r="G3433" s="171" t="s">
        <v>852</v>
      </c>
    </row>
    <row r="3434" spans="2:7">
      <c r="B3434" s="269"/>
      <c r="C3434" s="65" t="s">
        <v>361</v>
      </c>
      <c r="D3434" s="66">
        <f>VLOOKUP(C3434,基本字段定义!$B$3:$C$3008,2,FALSE)</f>
        <v>599</v>
      </c>
      <c r="E3434" s="67" t="s">
        <v>339</v>
      </c>
      <c r="F3434" s="67"/>
      <c r="G3434" s="171" t="s">
        <v>363</v>
      </c>
    </row>
    <row r="3435" spans="2:7">
      <c r="B3435" s="269"/>
      <c r="C3435" s="65" t="s">
        <v>405</v>
      </c>
      <c r="D3435" s="66">
        <f>VLOOKUP(C3435,基本字段定义!$B$3:$C$3008,2,FALSE)</f>
        <v>571</v>
      </c>
      <c r="E3435" s="67" t="s">
        <v>339</v>
      </c>
      <c r="F3435" s="67"/>
      <c r="G3435" s="171" t="s">
        <v>407</v>
      </c>
    </row>
    <row r="3436" spans="2:7">
      <c r="B3436" s="269"/>
      <c r="C3436" s="65" t="s">
        <v>640</v>
      </c>
      <c r="D3436" s="66">
        <f>VLOOKUP(C3436,基本字段定义!$B$3:$C$3008,2,FALSE)</f>
        <v>719</v>
      </c>
      <c r="E3436" s="67" t="s">
        <v>339</v>
      </c>
      <c r="F3436" s="67"/>
      <c r="G3436" s="171" t="s">
        <v>657</v>
      </c>
    </row>
    <row r="3437" spans="2:7">
      <c r="B3437" s="269"/>
      <c r="C3437" s="65" t="s">
        <v>659</v>
      </c>
      <c r="D3437" s="66">
        <f>VLOOKUP(C3437,基本字段定义!$B$3:$C$3008,2,FALSE)</f>
        <v>722</v>
      </c>
      <c r="E3437" s="67" t="s">
        <v>339</v>
      </c>
      <c r="F3437" s="67"/>
      <c r="G3437" s="171" t="s">
        <v>660</v>
      </c>
    </row>
    <row r="3438" spans="2:7">
      <c r="B3438" s="269"/>
      <c r="C3438" s="65" t="s">
        <v>681</v>
      </c>
      <c r="D3438" s="66">
        <f>VLOOKUP(C3438,基本字段定义!$B$3:$C$3008,2,FALSE)</f>
        <v>528</v>
      </c>
      <c r="E3438" s="67" t="s">
        <v>337</v>
      </c>
      <c r="F3438" s="67"/>
      <c r="G3438" s="171" t="s">
        <v>916</v>
      </c>
    </row>
    <row r="3439" spans="2:7">
      <c r="B3439" s="269"/>
      <c r="C3439" s="65" t="s">
        <v>683</v>
      </c>
      <c r="D3439" s="66">
        <f>VLOOKUP(C3439,基本字段定义!$B$3:$C$3008,2,FALSE)</f>
        <v>524</v>
      </c>
      <c r="E3439" s="67" t="s">
        <v>1561</v>
      </c>
      <c r="F3439" s="67"/>
      <c r="G3439" s="171" t="s">
        <v>1846</v>
      </c>
    </row>
    <row r="3440" spans="2:7">
      <c r="B3440" s="269"/>
      <c r="C3440" s="65" t="s">
        <v>1308</v>
      </c>
      <c r="D3440" s="66">
        <f>VLOOKUP(C3440,基本字段定义!$B$3:$C$3008,2,FALSE)</f>
        <v>1430</v>
      </c>
      <c r="E3440" s="67" t="s">
        <v>1561</v>
      </c>
      <c r="F3440" s="67"/>
      <c r="G3440" s="171" t="s">
        <v>1840</v>
      </c>
    </row>
    <row r="3441" spans="2:7">
      <c r="B3441" s="269"/>
      <c r="C3441" s="65" t="s">
        <v>1758</v>
      </c>
      <c r="D3441" s="66">
        <f>VLOOKUP(C3441,基本字段定义!$B$3:$C$3008,2,FALSE)</f>
        <v>4219</v>
      </c>
      <c r="E3441" s="67" t="s">
        <v>1561</v>
      </c>
      <c r="F3441" s="67"/>
      <c r="G3441" s="171" t="s">
        <v>1847</v>
      </c>
    </row>
    <row r="3442" spans="2:7">
      <c r="B3442" s="269"/>
      <c r="C3442" s="65" t="s">
        <v>733</v>
      </c>
      <c r="D3442" s="66">
        <f>VLOOKUP(C3442,基本字段定义!$B$3:$C$3008,2,FALSE)</f>
        <v>526</v>
      </c>
      <c r="E3442" s="67" t="s">
        <v>337</v>
      </c>
      <c r="F3442" s="67"/>
      <c r="G3442" s="171" t="s">
        <v>940</v>
      </c>
    </row>
    <row r="3443" spans="2:7">
      <c r="B3443" s="269"/>
      <c r="C3443" s="65" t="s">
        <v>1761</v>
      </c>
      <c r="D3443" s="66">
        <f>VLOOKUP(C3443,基本字段定义!$B$3:$C$3008,2,FALSE)</f>
        <v>4136</v>
      </c>
      <c r="E3443" s="67" t="s">
        <v>337</v>
      </c>
      <c r="F3443" s="67"/>
      <c r="G3443" s="171" t="s">
        <v>1762</v>
      </c>
    </row>
    <row r="3444" spans="2:7">
      <c r="B3444" s="269"/>
      <c r="C3444" s="65" t="s">
        <v>1548</v>
      </c>
      <c r="D3444" s="66">
        <f>VLOOKUP(C3444,基本字段定义!$B$3:$C$3008,2,FALSE)</f>
        <v>4220</v>
      </c>
      <c r="E3444" s="67" t="s">
        <v>1561</v>
      </c>
      <c r="F3444" s="67"/>
      <c r="G3444" s="171" t="s">
        <v>1549</v>
      </c>
    </row>
    <row r="3445" spans="2:7">
      <c r="B3445" s="269"/>
      <c r="C3445" s="172" t="s">
        <v>882</v>
      </c>
      <c r="D3445" s="66">
        <f>VLOOKUP(C3445,基本字段定义!$B$3:$C$3008,2,FALSE)</f>
        <v>681</v>
      </c>
      <c r="E3445" s="67" t="s">
        <v>337</v>
      </c>
      <c r="F3445" s="67"/>
      <c r="G3445" s="171" t="s">
        <v>884</v>
      </c>
    </row>
    <row r="3446" spans="2:7">
      <c r="B3446" s="269"/>
      <c r="C3446" s="172" t="s">
        <v>925</v>
      </c>
      <c r="D3446" s="66">
        <f>VLOOKUP(C3446,基本字段定义!$B$3:$C$3008,2,FALSE)</f>
        <v>1011</v>
      </c>
      <c r="E3446" s="67" t="s">
        <v>339</v>
      </c>
      <c r="F3446" s="67"/>
      <c r="G3446" s="171" t="s">
        <v>929</v>
      </c>
    </row>
    <row r="3447" spans="2:7">
      <c r="B3447" s="269"/>
      <c r="C3447" s="172" t="s">
        <v>869</v>
      </c>
      <c r="D3447" s="66">
        <f>VLOOKUP(C3447,基本字段定义!$B$3:$C$3008,2,FALSE)</f>
        <v>522</v>
      </c>
      <c r="E3447" s="67" t="s">
        <v>339</v>
      </c>
      <c r="F3447" s="67"/>
      <c r="G3447" s="171" t="s">
        <v>938</v>
      </c>
    </row>
    <row r="3448" spans="2:7">
      <c r="B3448" s="269"/>
      <c r="C3448" s="172" t="s">
        <v>1763</v>
      </c>
      <c r="D3448" s="66">
        <f>VLOOKUP(C3448,基本字段定义!$B$3:$C$3008,2,FALSE)</f>
        <v>4221</v>
      </c>
      <c r="E3448" s="67" t="s">
        <v>337</v>
      </c>
      <c r="F3448" s="67"/>
      <c r="G3448" s="171" t="s">
        <v>1529</v>
      </c>
    </row>
    <row r="3449" spans="2:7">
      <c r="B3449" s="269"/>
      <c r="C3449" s="172" t="s">
        <v>1528</v>
      </c>
      <c r="D3449" s="66">
        <f>VLOOKUP(C3449,基本字段定义!$B$3:$C$3008,2,FALSE)</f>
        <v>1252</v>
      </c>
      <c r="E3449" s="67" t="s">
        <v>337</v>
      </c>
      <c r="F3449" s="67"/>
      <c r="G3449" s="171" t="s">
        <v>1848</v>
      </c>
    </row>
    <row r="3450" spans="2:7">
      <c r="B3450" s="269"/>
      <c r="C3450" s="172" t="s">
        <v>486</v>
      </c>
      <c r="D3450" s="66">
        <f>VLOOKUP(C3450,基本字段定义!$B$3:$C$3008,2,FALSE)</f>
        <v>590</v>
      </c>
      <c r="E3450" s="67" t="s">
        <v>337</v>
      </c>
      <c r="F3450" s="67"/>
      <c r="G3450" s="171" t="s">
        <v>1441</v>
      </c>
    </row>
    <row r="3451" spans="2:7">
      <c r="B3451" s="269"/>
      <c r="C3451" s="172" t="s">
        <v>1740</v>
      </c>
      <c r="D3451" s="66">
        <f>VLOOKUP(C3451,基本字段定义!$B$3:$C$3008,2,FALSE)</f>
        <v>4099</v>
      </c>
      <c r="E3451" s="67" t="s">
        <v>337</v>
      </c>
      <c r="F3451" s="67"/>
      <c r="G3451" s="171" t="s">
        <v>1849</v>
      </c>
    </row>
    <row r="3452" spans="2:7">
      <c r="B3452" s="269"/>
      <c r="C3452" s="65" t="s">
        <v>1503</v>
      </c>
      <c r="D3452" s="66">
        <f>VLOOKUP(C3452,基本字段定义!$B$3:$C$3008,2,FALSE)</f>
        <v>1248</v>
      </c>
      <c r="E3452" s="67" t="s">
        <v>1561</v>
      </c>
      <c r="F3452" s="67"/>
      <c r="G3452" s="171" t="s">
        <v>1850</v>
      </c>
    </row>
    <row r="3453" spans="2:7">
      <c r="B3453" s="266"/>
      <c r="C3453" s="87" t="s">
        <v>772</v>
      </c>
      <c r="D3453" s="89">
        <f>VLOOKUP(C3453,基本字段定义!$B$3:$C$3008,2,FALSE)</f>
        <v>683</v>
      </c>
      <c r="E3453" s="88" t="s">
        <v>337</v>
      </c>
      <c r="F3453" s="88"/>
      <c r="G3453" s="173" t="s">
        <v>979</v>
      </c>
    </row>
    <row r="3454" spans="2:7">
      <c r="B3454" s="266"/>
      <c r="C3454" s="87" t="s">
        <v>1841</v>
      </c>
      <c r="D3454" s="89">
        <f>VLOOKUP(C3454,基本字段定义!$B$3:$C$3008,2,FALSE)</f>
        <v>4225</v>
      </c>
      <c r="E3454" s="88" t="s">
        <v>337</v>
      </c>
      <c r="F3454" s="88"/>
      <c r="G3454" s="173" t="s">
        <v>1842</v>
      </c>
    </row>
    <row r="3455" spans="2:7">
      <c r="B3455" s="266"/>
      <c r="C3455" s="87" t="s">
        <v>1851</v>
      </c>
      <c r="D3455" s="89">
        <f>VLOOKUP(C3455,基本字段定义!$B$3:$C$3008,2,FALSE)</f>
        <v>2061</v>
      </c>
      <c r="E3455" s="88" t="s">
        <v>337</v>
      </c>
      <c r="F3455" s="88"/>
      <c r="G3455" s="173" t="s">
        <v>1852</v>
      </c>
    </row>
    <row r="3456" spans="2:7">
      <c r="B3456" s="266"/>
      <c r="C3456" s="87" t="s">
        <v>1853</v>
      </c>
      <c r="D3456" s="89">
        <f>VLOOKUP(C3456,基本字段定义!$B$3:$C$3008,2,FALSE)</f>
        <v>9151</v>
      </c>
      <c r="E3456" s="88" t="s">
        <v>339</v>
      </c>
      <c r="F3456" s="88"/>
      <c r="G3456" s="173" t="s">
        <v>1854</v>
      </c>
    </row>
    <row r="3457" spans="2:7">
      <c r="B3457" s="266"/>
      <c r="C3457" s="87" t="s">
        <v>1742</v>
      </c>
      <c r="D3457" s="89">
        <f>VLOOKUP(C3457,基本字段定义!$B$3:$C$3008,2,FALSE)</f>
        <v>1445</v>
      </c>
      <c r="E3457" s="88" t="s">
        <v>337</v>
      </c>
      <c r="F3457" s="88"/>
      <c r="G3457" s="173" t="s">
        <v>1743</v>
      </c>
    </row>
    <row r="3458" spans="2:7">
      <c r="B3458" s="270"/>
      <c r="C3458" s="71" t="s">
        <v>588</v>
      </c>
      <c r="D3458" s="79">
        <f>VLOOKUP(C3458,基本字段定义!$B$3:$C$3008,2,FALSE)</f>
        <v>763</v>
      </c>
      <c r="E3458" s="73" t="s">
        <v>337</v>
      </c>
      <c r="F3458" s="73"/>
      <c r="G3458" s="174"/>
    </row>
    <row r="3460" spans="2:7">
      <c r="B3460" s="53" t="s">
        <v>146</v>
      </c>
      <c r="C3460" s="80">
        <v>204629</v>
      </c>
      <c r="D3460" s="81"/>
      <c r="E3460" s="82"/>
      <c r="F3460" s="54" t="s">
        <v>326</v>
      </c>
      <c r="G3460" s="55"/>
    </row>
    <row r="3461" spans="2:7">
      <c r="B3461" s="56" t="s">
        <v>327</v>
      </c>
      <c r="C3461" s="83" t="str">
        <f>VLOOKUP(C3460,功能索引!$C$3:$D$269,2,FALSE)</f>
        <v>约定购回顺延明细查询</v>
      </c>
      <c r="D3461" s="84"/>
      <c r="E3461" s="85"/>
      <c r="F3461" s="57" t="s">
        <v>148</v>
      </c>
      <c r="G3461" s="58" t="str">
        <f>VLOOKUP(C3460,功能索引!$C$3:$E3753,3,FALSE)</f>
        <v>Y</v>
      </c>
    </row>
    <row r="3462" spans="2:7">
      <c r="B3462" s="269" t="s">
        <v>328</v>
      </c>
      <c r="C3462" s="95"/>
      <c r="D3462" s="96"/>
      <c r="E3462" s="96"/>
      <c r="F3462" s="96"/>
      <c r="G3462" s="97"/>
    </row>
    <row r="3463" spans="2:7">
      <c r="B3463" s="270"/>
      <c r="C3463" s="98"/>
      <c r="D3463" s="99"/>
      <c r="E3463" s="99"/>
      <c r="F3463" s="99"/>
      <c r="G3463" s="100"/>
    </row>
    <row r="3464" spans="2:7">
      <c r="B3464" s="271" t="s">
        <v>329</v>
      </c>
      <c r="C3464" s="54" t="s">
        <v>330</v>
      </c>
      <c r="D3464" s="54" t="s">
        <v>331</v>
      </c>
      <c r="E3464" s="54" t="s">
        <v>332</v>
      </c>
      <c r="F3464" s="54" t="s">
        <v>333</v>
      </c>
      <c r="G3464" s="60" t="s">
        <v>334</v>
      </c>
    </row>
    <row r="3465" spans="2:7">
      <c r="B3465" s="269"/>
      <c r="C3465" s="61" t="s">
        <v>402</v>
      </c>
      <c r="D3465" s="62">
        <f>VLOOKUP(C3465,基本字段定义!$B$3:$C$3008,2,FALSE)</f>
        <v>605</v>
      </c>
      <c r="E3465" s="63" t="s">
        <v>403</v>
      </c>
      <c r="F3465" s="63" t="s">
        <v>152</v>
      </c>
      <c r="G3465" s="64" t="s">
        <v>404</v>
      </c>
    </row>
    <row r="3466" spans="2:7">
      <c r="B3466" s="269"/>
      <c r="C3466" s="61" t="s">
        <v>361</v>
      </c>
      <c r="D3466" s="62">
        <f>VLOOKUP(C3466,基本字段定义!$B$3:$C$3008,2,FALSE)</f>
        <v>599</v>
      </c>
      <c r="E3466" s="63" t="s">
        <v>339</v>
      </c>
      <c r="F3466" s="63"/>
      <c r="G3466" s="64" t="s">
        <v>363</v>
      </c>
    </row>
    <row r="3467" spans="2:7">
      <c r="B3467" s="269"/>
      <c r="C3467" s="61" t="s">
        <v>373</v>
      </c>
      <c r="D3467" s="62">
        <f>VLOOKUP(C3467,基本字段定义!$B$3:$C$3008,2,FALSE)</f>
        <v>697</v>
      </c>
      <c r="E3467" s="63" t="s">
        <v>339</v>
      </c>
      <c r="F3467" s="63"/>
      <c r="G3467" s="64" t="s">
        <v>374</v>
      </c>
    </row>
    <row r="3468" spans="2:7">
      <c r="B3468" s="269"/>
      <c r="C3468" s="61" t="s">
        <v>484</v>
      </c>
      <c r="D3468" s="62">
        <f>VLOOKUP(C3468,基本字段定义!$B$3:$C$3008,2,FALSE)</f>
        <v>618</v>
      </c>
      <c r="E3468" s="63" t="s">
        <v>337</v>
      </c>
      <c r="F3468" s="63"/>
      <c r="G3468" s="64" t="s">
        <v>1101</v>
      </c>
    </row>
    <row r="3469" spans="2:7">
      <c r="B3469" s="269"/>
      <c r="C3469" s="61" t="s">
        <v>1666</v>
      </c>
      <c r="D3469" s="62">
        <f>VLOOKUP(C3469,基本字段定义!$B$3:$C$3008,2,FALSE)</f>
        <v>889</v>
      </c>
      <c r="E3469" s="63" t="s">
        <v>337</v>
      </c>
      <c r="F3469" s="63" t="s">
        <v>152</v>
      </c>
      <c r="G3469" s="64" t="s">
        <v>1855</v>
      </c>
    </row>
    <row r="3470" spans="2:7">
      <c r="B3470" s="269" t="s">
        <v>335</v>
      </c>
      <c r="C3470" s="65" t="s">
        <v>1666</v>
      </c>
      <c r="D3470" s="66">
        <f>VLOOKUP(C3470,基本字段定义!$B$3:$C$3008,2,FALSE)</f>
        <v>889</v>
      </c>
      <c r="E3470" s="67" t="s">
        <v>339</v>
      </c>
      <c r="F3470" s="67"/>
      <c r="G3470" s="69" t="s">
        <v>1855</v>
      </c>
    </row>
    <row r="3471" spans="2:7">
      <c r="B3471" s="269"/>
      <c r="C3471" s="65" t="s">
        <v>1092</v>
      </c>
      <c r="D3471" s="66">
        <f>VLOOKUP(C3471,基本字段定义!$B$3:$C$3008,2,FALSE)</f>
        <v>1077</v>
      </c>
      <c r="E3471" s="67" t="s">
        <v>339</v>
      </c>
      <c r="F3471" s="67"/>
      <c r="G3471" s="69" t="s">
        <v>1093</v>
      </c>
    </row>
    <row r="3472" spans="2:7">
      <c r="B3472" s="269"/>
      <c r="C3472" s="65" t="s">
        <v>402</v>
      </c>
      <c r="D3472" s="66">
        <f>VLOOKUP(C3472,基本字段定义!$B$3:$C$3008,2,FALSE)</f>
        <v>605</v>
      </c>
      <c r="E3472" s="67" t="s">
        <v>339</v>
      </c>
      <c r="F3472" s="67"/>
      <c r="G3472" s="69" t="s">
        <v>404</v>
      </c>
    </row>
    <row r="3473" spans="2:7">
      <c r="B3473" s="269"/>
      <c r="C3473" s="65" t="s">
        <v>420</v>
      </c>
      <c r="D3473" s="66">
        <f>VLOOKUP(C3473,基本字段定义!$B$3:$C$3008,2,FALSE)</f>
        <v>613</v>
      </c>
      <c r="E3473" s="67" t="s">
        <v>337</v>
      </c>
      <c r="F3473" s="67"/>
      <c r="G3473" s="69" t="s">
        <v>789</v>
      </c>
    </row>
    <row r="3474" spans="2:7">
      <c r="B3474" s="269"/>
      <c r="C3474" s="65" t="s">
        <v>373</v>
      </c>
      <c r="D3474" s="66">
        <f>VLOOKUP(C3474,基本字段定义!$B$3:$C$3008,2,FALSE)</f>
        <v>697</v>
      </c>
      <c r="E3474" s="67" t="s">
        <v>337</v>
      </c>
      <c r="F3474" s="67"/>
      <c r="G3474" s="69" t="s">
        <v>374</v>
      </c>
    </row>
    <row r="3475" spans="2:7">
      <c r="B3475" s="269"/>
      <c r="C3475" s="65" t="s">
        <v>361</v>
      </c>
      <c r="D3475" s="66">
        <f>VLOOKUP(C3475,基本字段定义!$B$3:$C$3008,2,FALSE)</f>
        <v>599</v>
      </c>
      <c r="E3475" s="67" t="s">
        <v>339</v>
      </c>
      <c r="F3475" s="67"/>
      <c r="G3475" s="69" t="s">
        <v>363</v>
      </c>
    </row>
    <row r="3476" spans="2:7">
      <c r="B3476" s="269"/>
      <c r="C3476" s="65" t="s">
        <v>405</v>
      </c>
      <c r="D3476" s="66">
        <f>VLOOKUP(C3476,基本字段定义!$B$3:$C$3008,2,FALSE)</f>
        <v>571</v>
      </c>
      <c r="E3476" s="67" t="s">
        <v>339</v>
      </c>
      <c r="F3476" s="67"/>
      <c r="G3476" s="69" t="s">
        <v>407</v>
      </c>
    </row>
    <row r="3477" spans="2:7">
      <c r="B3477" s="269"/>
      <c r="C3477" s="65" t="s">
        <v>484</v>
      </c>
      <c r="D3477" s="66">
        <f>VLOOKUP(C3477,基本字段定义!$B$3:$C$3008,2,FALSE)</f>
        <v>618</v>
      </c>
      <c r="E3477" s="67" t="s">
        <v>339</v>
      </c>
      <c r="F3477" s="67"/>
      <c r="G3477" s="69" t="s">
        <v>1101</v>
      </c>
    </row>
    <row r="3478" spans="2:7">
      <c r="B3478" s="269"/>
      <c r="C3478" s="65" t="s">
        <v>486</v>
      </c>
      <c r="D3478" s="66">
        <f>VLOOKUP(C3478,基本字段定义!$B$3:$C$3008,2,FALSE)</f>
        <v>590</v>
      </c>
      <c r="E3478" s="67" t="s">
        <v>337</v>
      </c>
      <c r="F3478" s="67"/>
      <c r="G3478" s="69" t="s">
        <v>1102</v>
      </c>
    </row>
    <row r="3479" spans="2:7">
      <c r="B3479" s="269"/>
      <c r="C3479" s="65" t="s">
        <v>1763</v>
      </c>
      <c r="D3479" s="66">
        <f>VLOOKUP(C3479,基本字段定义!$B$3:$C$3008,2,FALSE)</f>
        <v>4221</v>
      </c>
      <c r="E3479" s="67" t="s">
        <v>339</v>
      </c>
      <c r="F3479" s="67"/>
      <c r="G3479" s="69" t="s">
        <v>1529</v>
      </c>
    </row>
    <row r="3480" spans="2:7">
      <c r="B3480" s="266"/>
      <c r="C3480" s="87" t="s">
        <v>1503</v>
      </c>
      <c r="D3480" s="89">
        <f>VLOOKUP(C3480,基本字段定义!$B$3:$C$3008,2,FALSE)</f>
        <v>1248</v>
      </c>
      <c r="E3480" s="88" t="s">
        <v>1561</v>
      </c>
      <c r="F3480" s="88"/>
      <c r="G3480" s="90" t="s">
        <v>1856</v>
      </c>
    </row>
    <row r="3481" spans="2:7">
      <c r="B3481" s="266"/>
      <c r="C3481" s="87" t="s">
        <v>1308</v>
      </c>
      <c r="D3481" s="89">
        <f>VLOOKUP(C3481,基本字段定义!$B$3:$C$3008,2,FALSE)</f>
        <v>1430</v>
      </c>
      <c r="E3481" s="88" t="s">
        <v>1561</v>
      </c>
      <c r="F3481" s="88"/>
      <c r="G3481" s="90" t="s">
        <v>1840</v>
      </c>
    </row>
    <row r="3482" spans="2:7">
      <c r="B3482" s="270"/>
      <c r="C3482" s="71" t="s">
        <v>1548</v>
      </c>
      <c r="D3482" s="79">
        <f>VLOOKUP(C3482,基本字段定义!$B$3:$C$3008,2,FALSE)</f>
        <v>4220</v>
      </c>
      <c r="E3482" s="73" t="s">
        <v>1561</v>
      </c>
      <c r="F3482" s="73"/>
      <c r="G3482" s="74" t="s">
        <v>1549</v>
      </c>
    </row>
    <row r="3484" spans="2:7">
      <c r="B3484" s="53" t="s">
        <v>146</v>
      </c>
      <c r="C3484" s="80">
        <v>204972</v>
      </c>
      <c r="D3484" s="81"/>
      <c r="E3484" s="82"/>
      <c r="F3484" s="54" t="s">
        <v>326</v>
      </c>
      <c r="G3484" s="55"/>
    </row>
    <row r="3485" spans="2:7">
      <c r="B3485" s="56" t="s">
        <v>327</v>
      </c>
      <c r="C3485" s="83" t="s">
        <v>309</v>
      </c>
      <c r="D3485" s="84"/>
      <c r="E3485" s="85"/>
      <c r="F3485" s="57" t="s">
        <v>371</v>
      </c>
      <c r="G3485" s="58">
        <f>VLOOKUP(C3484,$C$3:$E3777,3,FALSE)</f>
        <v>0</v>
      </c>
    </row>
    <row r="3486" spans="2:7">
      <c r="B3486" s="269" t="s">
        <v>328</v>
      </c>
      <c r="C3486" s="95"/>
      <c r="D3486" s="96"/>
      <c r="E3486" s="96"/>
      <c r="F3486" s="96"/>
      <c r="G3486" s="97"/>
    </row>
    <row r="3487" spans="2:7">
      <c r="B3487" s="270"/>
      <c r="C3487" s="98"/>
      <c r="D3487" s="99"/>
      <c r="E3487" s="99"/>
      <c r="F3487" s="99"/>
      <c r="G3487" s="100"/>
    </row>
    <row r="3488" spans="2:7">
      <c r="B3488" s="271" t="s">
        <v>329</v>
      </c>
      <c r="C3488" s="54" t="s">
        <v>330</v>
      </c>
      <c r="D3488" s="54" t="s">
        <v>331</v>
      </c>
      <c r="E3488" s="54" t="s">
        <v>332</v>
      </c>
      <c r="F3488" s="54" t="s">
        <v>333</v>
      </c>
      <c r="G3488" s="60" t="s">
        <v>334</v>
      </c>
    </row>
    <row r="3489" spans="2:7">
      <c r="B3489" s="269"/>
      <c r="C3489" s="61" t="s">
        <v>402</v>
      </c>
      <c r="D3489" s="62">
        <f>VLOOKUP(C3489,基本字段定义!$B$3:$C$3008,2,FALSE)</f>
        <v>605</v>
      </c>
      <c r="E3489" s="63" t="s">
        <v>403</v>
      </c>
      <c r="F3489" s="63"/>
      <c r="G3489" s="64" t="s">
        <v>404</v>
      </c>
    </row>
    <row r="3490" spans="2:7">
      <c r="B3490" s="269"/>
      <c r="C3490" s="61" t="s">
        <v>405</v>
      </c>
      <c r="D3490" s="62">
        <f>VLOOKUP(C3490,基本字段定义!$B$3:$C$3008,2,FALSE)</f>
        <v>571</v>
      </c>
      <c r="E3490" s="63" t="s">
        <v>362</v>
      </c>
      <c r="F3490" s="63"/>
      <c r="G3490" s="64" t="s">
        <v>407</v>
      </c>
    </row>
    <row r="3491" spans="2:7">
      <c r="B3491" s="269"/>
      <c r="C3491" s="61" t="s">
        <v>361</v>
      </c>
      <c r="D3491" s="62">
        <f>VLOOKUP(C3491,基本字段定义!$B$3:$C$3008,2,FALSE)</f>
        <v>599</v>
      </c>
      <c r="E3491" s="63" t="s">
        <v>362</v>
      </c>
      <c r="F3491" s="63"/>
      <c r="G3491" s="64" t="s">
        <v>363</v>
      </c>
    </row>
    <row r="3492" spans="2:7">
      <c r="B3492" s="269"/>
      <c r="C3492" s="61" t="s">
        <v>640</v>
      </c>
      <c r="D3492" s="62">
        <f>VLOOKUP(C3492,基本字段定义!$B$3:$C$3008,2,FALSE)</f>
        <v>719</v>
      </c>
      <c r="E3492" s="63" t="s">
        <v>480</v>
      </c>
      <c r="F3492" s="63"/>
      <c r="G3492" s="64" t="s">
        <v>657</v>
      </c>
    </row>
    <row r="3493" spans="2:7">
      <c r="B3493" s="266" t="s">
        <v>335</v>
      </c>
      <c r="C3493" s="87" t="s">
        <v>373</v>
      </c>
      <c r="D3493" s="66">
        <f>VLOOKUP(C3493,基本字段定义!$B$3:$C$3008,2,FALSE)</f>
        <v>697</v>
      </c>
      <c r="E3493" s="88" t="s">
        <v>339</v>
      </c>
      <c r="F3493" s="89"/>
      <c r="G3493" s="90" t="s">
        <v>374</v>
      </c>
    </row>
    <row r="3494" spans="2:7">
      <c r="B3494" s="267"/>
      <c r="C3494" s="87" t="s">
        <v>402</v>
      </c>
      <c r="D3494" s="66">
        <f>VLOOKUP(C3494,基本字段定义!$B$3:$C$3008,2,FALSE)</f>
        <v>605</v>
      </c>
      <c r="E3494" s="88" t="s">
        <v>403</v>
      </c>
      <c r="F3494" s="66"/>
      <c r="G3494" s="90" t="s">
        <v>404</v>
      </c>
    </row>
    <row r="3495" spans="2:7">
      <c r="B3495" s="267"/>
      <c r="C3495" s="87" t="s">
        <v>405</v>
      </c>
      <c r="D3495" s="89">
        <f>VLOOKUP(C3495,基本字段定义!$B$3:$C$3008,2,FALSE)</f>
        <v>571</v>
      </c>
      <c r="E3495" s="88" t="s">
        <v>362</v>
      </c>
      <c r="F3495" s="89"/>
      <c r="G3495" s="90" t="s">
        <v>407</v>
      </c>
    </row>
    <row r="3496" spans="2:7">
      <c r="B3496" s="267"/>
      <c r="C3496" s="87" t="s">
        <v>361</v>
      </c>
      <c r="D3496" s="89">
        <f>VLOOKUP(C3496,基本字段定义!$B$3:$C$3008,2,FALSE)</f>
        <v>599</v>
      </c>
      <c r="E3496" s="88" t="s">
        <v>362</v>
      </c>
      <c r="F3496" s="89"/>
      <c r="G3496" s="90" t="s">
        <v>363</v>
      </c>
    </row>
    <row r="3497" spans="2:7">
      <c r="B3497" s="267"/>
      <c r="C3497" s="87" t="s">
        <v>640</v>
      </c>
      <c r="D3497" s="89">
        <f>VLOOKUP(C3497,基本字段定义!$B$3:$C$3008,2,FALSE)</f>
        <v>719</v>
      </c>
      <c r="E3497" s="88" t="s">
        <v>480</v>
      </c>
      <c r="F3497" s="89"/>
      <c r="G3497" s="90" t="s">
        <v>657</v>
      </c>
    </row>
    <row r="3498" spans="2:7">
      <c r="B3498" s="267"/>
      <c r="C3498" s="87" t="s">
        <v>1098</v>
      </c>
      <c r="D3498" s="89">
        <f>VLOOKUP(C3498,基本字段定义!$B$3:$C$3008,2,FALSE)</f>
        <v>9254</v>
      </c>
      <c r="E3498" s="88"/>
      <c r="F3498" s="89"/>
      <c r="G3498" s="171" t="s">
        <v>1857</v>
      </c>
    </row>
    <row r="3499" spans="2:7">
      <c r="B3499" s="267"/>
      <c r="C3499" s="87" t="s">
        <v>1349</v>
      </c>
      <c r="D3499" s="89">
        <f>VLOOKUP(C3499,基本字段定义!$B$3:$C$3008,2,FALSE)</f>
        <v>1834</v>
      </c>
      <c r="E3499" s="88"/>
      <c r="F3499" s="89"/>
      <c r="G3499" s="171" t="s">
        <v>1858</v>
      </c>
    </row>
    <row r="3500" spans="2:7">
      <c r="B3500" s="267"/>
      <c r="C3500" s="87" t="s">
        <v>539</v>
      </c>
      <c r="D3500" s="89">
        <f>VLOOKUP(C3500,基本字段定义!$B$3:$C$3008,2,FALSE)</f>
        <v>826</v>
      </c>
      <c r="E3500" s="88"/>
      <c r="F3500" s="89"/>
      <c r="G3500" s="171" t="s">
        <v>1859</v>
      </c>
    </row>
    <row r="3501" spans="2:7">
      <c r="B3501" s="268"/>
      <c r="C3501" s="71" t="s">
        <v>934</v>
      </c>
      <c r="D3501" s="79">
        <f>VLOOKUP(C3501,基本字段定义!$B$3:$C$3008,2,FALSE)</f>
        <v>646</v>
      </c>
      <c r="E3501" s="163"/>
      <c r="F3501" s="71"/>
      <c r="G3501" s="164" t="s">
        <v>1860</v>
      </c>
    </row>
    <row r="3503" spans="2:7">
      <c r="B3503" s="53" t="s">
        <v>146</v>
      </c>
      <c r="C3503" s="80">
        <v>204979</v>
      </c>
      <c r="D3503" s="81"/>
      <c r="E3503" s="82"/>
      <c r="F3503" s="54" t="s">
        <v>326</v>
      </c>
      <c r="G3503" s="55"/>
    </row>
    <row r="3504" spans="2:7">
      <c r="B3504" s="56" t="s">
        <v>327</v>
      </c>
      <c r="C3504" s="83" t="s">
        <v>310</v>
      </c>
      <c r="D3504" s="84"/>
      <c r="E3504" s="85"/>
      <c r="F3504" s="57" t="s">
        <v>371</v>
      </c>
      <c r="G3504" s="58">
        <f>VLOOKUP(C3503,$C$3:$E3796,3,FALSE)</f>
        <v>0</v>
      </c>
    </row>
    <row r="3505" spans="2:7">
      <c r="B3505" s="269" t="s">
        <v>328</v>
      </c>
      <c r="C3505" s="95"/>
      <c r="D3505" s="96"/>
      <c r="E3505" s="96"/>
      <c r="F3505" s="96"/>
      <c r="G3505" s="97"/>
    </row>
    <row r="3506" spans="2:7">
      <c r="B3506" s="270"/>
      <c r="C3506" s="98"/>
      <c r="D3506" s="99"/>
      <c r="E3506" s="99"/>
      <c r="F3506" s="99"/>
      <c r="G3506" s="100"/>
    </row>
    <row r="3507" spans="2:7">
      <c r="B3507" s="271" t="s">
        <v>329</v>
      </c>
      <c r="C3507" s="54" t="s">
        <v>330</v>
      </c>
      <c r="D3507" s="54" t="s">
        <v>331</v>
      </c>
      <c r="E3507" s="54" t="s">
        <v>332</v>
      </c>
      <c r="F3507" s="54" t="s">
        <v>333</v>
      </c>
      <c r="G3507" s="60" t="s">
        <v>334</v>
      </c>
    </row>
    <row r="3508" spans="2:7">
      <c r="B3508" s="269"/>
      <c r="C3508" s="61" t="s">
        <v>402</v>
      </c>
      <c r="D3508" s="62">
        <f>VLOOKUP(C3508,基本字段定义!$B$3:$C$3008,2,FALSE)</f>
        <v>605</v>
      </c>
      <c r="E3508" s="63" t="s">
        <v>403</v>
      </c>
      <c r="F3508" s="63" t="s">
        <v>152</v>
      </c>
      <c r="G3508" s="64" t="s">
        <v>404</v>
      </c>
    </row>
    <row r="3509" spans="2:7">
      <c r="B3509" s="269"/>
      <c r="C3509" s="61" t="s">
        <v>524</v>
      </c>
      <c r="D3509" s="62">
        <f>VLOOKUP(C3509,基本字段定义!$B$3:$C$3008,2,FALSE)</f>
        <v>511</v>
      </c>
      <c r="E3509" s="63" t="s">
        <v>362</v>
      </c>
      <c r="F3509" s="63"/>
      <c r="G3509" s="64" t="s">
        <v>1861</v>
      </c>
    </row>
    <row r="3510" spans="2:7">
      <c r="B3510" s="266" t="s">
        <v>335</v>
      </c>
      <c r="C3510" s="87" t="s">
        <v>551</v>
      </c>
      <c r="D3510" s="89">
        <f>VLOOKUP(C3510,基本字段定义!$B$3:$C$3008,2,FALSE)</f>
        <v>1255</v>
      </c>
      <c r="E3510" s="88" t="s">
        <v>339</v>
      </c>
      <c r="F3510" s="89"/>
      <c r="G3510" s="90" t="s">
        <v>1682</v>
      </c>
    </row>
    <row r="3511" spans="2:7">
      <c r="B3511" s="267"/>
      <c r="C3511" s="87" t="s">
        <v>1640</v>
      </c>
      <c r="D3511" s="89">
        <f>VLOOKUP(C3511,基本字段定义!$B$3:$C$3008,2,FALSE)</f>
        <v>1201</v>
      </c>
      <c r="E3511" s="88" t="s">
        <v>403</v>
      </c>
      <c r="F3511" s="66"/>
      <c r="G3511" s="90" t="s">
        <v>1862</v>
      </c>
    </row>
    <row r="3512" spans="2:7">
      <c r="B3512" s="267"/>
      <c r="C3512" s="87" t="s">
        <v>1863</v>
      </c>
      <c r="D3512" s="89">
        <f>VLOOKUP(C3512,基本字段定义!$B$3:$C$3008,2,FALSE)</f>
        <v>1472</v>
      </c>
      <c r="E3512" s="88" t="s">
        <v>362</v>
      </c>
      <c r="F3512" s="89"/>
      <c r="G3512" s="90" t="s">
        <v>1864</v>
      </c>
    </row>
    <row r="3513" spans="2:7">
      <c r="B3513" s="268"/>
      <c r="C3513" s="71"/>
      <c r="D3513" s="79"/>
      <c r="E3513" s="163"/>
      <c r="F3513" s="71"/>
      <c r="G3513" s="71"/>
    </row>
    <row r="3515" spans="2:7">
      <c r="B3515" s="53" t="s">
        <v>146</v>
      </c>
      <c r="C3515" s="80">
        <v>204544</v>
      </c>
      <c r="D3515" s="81"/>
      <c r="E3515" s="82"/>
      <c r="F3515" s="54" t="s">
        <v>326</v>
      </c>
      <c r="G3515" s="55"/>
    </row>
    <row r="3516" spans="2:7">
      <c r="B3516" s="56" t="s">
        <v>327</v>
      </c>
      <c r="C3516" s="292" t="s">
        <v>1865</v>
      </c>
      <c r="D3516" s="293"/>
      <c r="E3516" s="294"/>
      <c r="F3516" s="57" t="s">
        <v>371</v>
      </c>
      <c r="G3516" s="58">
        <f>VLOOKUP(C3515,$C$3:$E3808,3,FALSE)</f>
        <v>0</v>
      </c>
    </row>
    <row r="3517" spans="2:7">
      <c r="B3517" s="269" t="s">
        <v>328</v>
      </c>
      <c r="C3517" s="95"/>
      <c r="D3517" s="96"/>
      <c r="E3517" s="96"/>
      <c r="F3517" s="96"/>
      <c r="G3517" s="97"/>
    </row>
    <row r="3518" spans="2:7">
      <c r="B3518" s="270"/>
      <c r="C3518" s="98"/>
      <c r="D3518" s="99"/>
      <c r="E3518" s="99"/>
      <c r="F3518" s="99"/>
      <c r="G3518" s="100"/>
    </row>
    <row r="3519" spans="2:7">
      <c r="B3519" s="271" t="s">
        <v>329</v>
      </c>
      <c r="C3519" s="54" t="s">
        <v>330</v>
      </c>
      <c r="D3519" s="54" t="s">
        <v>331</v>
      </c>
      <c r="E3519" s="54" t="s">
        <v>332</v>
      </c>
      <c r="F3519" s="54" t="s">
        <v>333</v>
      </c>
      <c r="G3519" s="60" t="s">
        <v>334</v>
      </c>
    </row>
    <row r="3520" spans="2:7">
      <c r="B3520" s="269"/>
      <c r="C3520" s="61" t="s">
        <v>402</v>
      </c>
      <c r="D3520" s="62">
        <f>VLOOKUP(C3520,基本字段定义!$B$3:$C$3008,2,FALSE)</f>
        <v>605</v>
      </c>
      <c r="E3520" s="63" t="s">
        <v>403</v>
      </c>
      <c r="F3520" s="63" t="s">
        <v>152</v>
      </c>
      <c r="G3520" s="64" t="s">
        <v>404</v>
      </c>
    </row>
    <row r="3521" spans="2:7">
      <c r="B3521" s="269"/>
      <c r="C3521" s="61" t="s">
        <v>522</v>
      </c>
      <c r="D3521" s="62">
        <f>VLOOKUP(C3521,基本字段定义!$B$3:$C$3008,2,FALSE)</f>
        <v>716</v>
      </c>
      <c r="E3521" s="63" t="s">
        <v>553</v>
      </c>
      <c r="F3521" s="63" t="s">
        <v>152</v>
      </c>
      <c r="G3521" s="64" t="s">
        <v>1866</v>
      </c>
    </row>
    <row r="3522" spans="2:7">
      <c r="B3522" s="266" t="s">
        <v>335</v>
      </c>
      <c r="C3522" s="87" t="s">
        <v>541</v>
      </c>
      <c r="D3522" s="89">
        <f>VLOOKUP(C3522,基本字段定义!$B$3:$C$3008,2,FALSE)</f>
        <v>619</v>
      </c>
      <c r="E3522" s="88" t="s">
        <v>1561</v>
      </c>
      <c r="F3522" s="89"/>
      <c r="G3522" s="90" t="s">
        <v>1216</v>
      </c>
    </row>
    <row r="3523" spans="2:7">
      <c r="B3523" s="267"/>
      <c r="C3523" s="87" t="s">
        <v>336</v>
      </c>
      <c r="D3523" s="89">
        <f>VLOOKUP(C3523,基本字段定义!$B$3:$C$3008,2,FALSE)</f>
        <v>507</v>
      </c>
      <c r="E3523" s="88" t="s">
        <v>403</v>
      </c>
      <c r="F3523" s="66"/>
      <c r="G3523" s="90" t="s">
        <v>1867</v>
      </c>
    </row>
    <row r="3524" spans="2:7">
      <c r="B3524" s="267"/>
      <c r="C3524" s="87" t="s">
        <v>338</v>
      </c>
      <c r="D3524" s="89">
        <f>VLOOKUP(C3524,基本字段定义!$B$3:$C$3008,2,FALSE)</f>
        <v>508</v>
      </c>
      <c r="E3524" s="88" t="s">
        <v>362</v>
      </c>
      <c r="F3524" s="89"/>
      <c r="G3524" s="90" t="s">
        <v>1868</v>
      </c>
    </row>
    <row r="3525" spans="2:7">
      <c r="B3525" s="268"/>
      <c r="C3525" s="71"/>
      <c r="D3525" s="79"/>
      <c r="E3525" s="163"/>
      <c r="F3525" s="71"/>
      <c r="G3525" s="71"/>
    </row>
    <row r="3527" spans="2:7">
      <c r="B3527" s="53" t="s">
        <v>146</v>
      </c>
      <c r="C3527" s="80">
        <v>303008</v>
      </c>
      <c r="D3527" s="81"/>
      <c r="E3527" s="82"/>
      <c r="F3527" s="54" t="s">
        <v>326</v>
      </c>
      <c r="G3527" s="55"/>
    </row>
    <row r="3528" spans="2:7">
      <c r="B3528" s="56" t="s">
        <v>327</v>
      </c>
      <c r="C3528" s="292" t="s">
        <v>1869</v>
      </c>
      <c r="D3528" s="293"/>
      <c r="E3528" s="294"/>
      <c r="F3528" s="57" t="s">
        <v>371</v>
      </c>
      <c r="G3528" s="58">
        <f>VLOOKUP(C3527,$C$3:$E3820,3,FALSE)</f>
        <v>0</v>
      </c>
    </row>
    <row r="3529" spans="2:7">
      <c r="B3529" s="269" t="s">
        <v>328</v>
      </c>
      <c r="C3529" s="95"/>
      <c r="D3529" s="96"/>
      <c r="E3529" s="96"/>
      <c r="F3529" s="96"/>
      <c r="G3529" s="97"/>
    </row>
    <row r="3530" spans="2:7">
      <c r="B3530" s="270"/>
      <c r="C3530" s="98"/>
      <c r="D3530" s="99"/>
      <c r="E3530" s="99"/>
      <c r="F3530" s="99"/>
      <c r="G3530" s="100"/>
    </row>
    <row r="3531" spans="2:7">
      <c r="B3531" s="271" t="s">
        <v>329</v>
      </c>
      <c r="C3531" s="54" t="s">
        <v>330</v>
      </c>
      <c r="D3531" s="54" t="s">
        <v>331</v>
      </c>
      <c r="E3531" s="54" t="s">
        <v>332</v>
      </c>
      <c r="F3531" s="54" t="s">
        <v>333</v>
      </c>
      <c r="G3531" s="60" t="s">
        <v>334</v>
      </c>
    </row>
    <row r="3532" spans="2:7">
      <c r="B3532" s="269"/>
      <c r="C3532" s="61" t="s">
        <v>402</v>
      </c>
      <c r="D3532" s="62">
        <f>VLOOKUP(C3532,基本字段定义!$B$3:$C$3008,2,FALSE)</f>
        <v>605</v>
      </c>
      <c r="E3532" s="63" t="s">
        <v>403</v>
      </c>
      <c r="F3532" s="63" t="s">
        <v>152</v>
      </c>
      <c r="G3532" s="64" t="s">
        <v>404</v>
      </c>
    </row>
    <row r="3533" spans="2:7">
      <c r="B3533" s="269"/>
      <c r="C3533" s="61" t="s">
        <v>522</v>
      </c>
      <c r="D3533" s="62">
        <f>VLOOKUP(C3533,基本字段定义!$B$3:$C$3008,2,FALSE)</f>
        <v>716</v>
      </c>
      <c r="E3533" s="63" t="s">
        <v>553</v>
      </c>
      <c r="F3533" s="63" t="s">
        <v>152</v>
      </c>
      <c r="G3533" s="64" t="s">
        <v>1866</v>
      </c>
    </row>
    <row r="3534" spans="2:7">
      <c r="B3534" s="269"/>
      <c r="C3534" s="61" t="s">
        <v>361</v>
      </c>
      <c r="D3534" s="62">
        <f>VLOOKUP(C3534,基本字段定义!$B$3:$C$3008,2,FALSE)</f>
        <v>599</v>
      </c>
      <c r="E3534" s="63" t="s">
        <v>362</v>
      </c>
      <c r="F3534" s="63" t="s">
        <v>152</v>
      </c>
      <c r="G3534" s="64" t="s">
        <v>363</v>
      </c>
    </row>
    <row r="3535" spans="2:7">
      <c r="B3535" s="266" t="s">
        <v>335</v>
      </c>
      <c r="C3535" s="87" t="s">
        <v>541</v>
      </c>
      <c r="D3535" s="89">
        <f>VLOOKUP(C3535,基本字段定义!$B$3:$C$3008,2,FALSE)</f>
        <v>619</v>
      </c>
      <c r="E3535" s="88" t="s">
        <v>1561</v>
      </c>
      <c r="F3535" s="89"/>
      <c r="G3535" s="90" t="s">
        <v>1216</v>
      </c>
    </row>
    <row r="3536" spans="2:7">
      <c r="B3536" s="267"/>
      <c r="C3536" s="87" t="s">
        <v>336</v>
      </c>
      <c r="D3536" s="89">
        <f>VLOOKUP(C3536,基本字段定义!$B$3:$C$3008,2,FALSE)</f>
        <v>507</v>
      </c>
      <c r="E3536" s="88" t="s">
        <v>403</v>
      </c>
      <c r="F3536" s="66"/>
      <c r="G3536" s="90" t="s">
        <v>1867</v>
      </c>
    </row>
    <row r="3537" spans="2:7">
      <c r="B3537" s="267"/>
      <c r="C3537" s="87" t="s">
        <v>338</v>
      </c>
      <c r="D3537" s="89">
        <f>VLOOKUP(C3537,基本字段定义!$B$3:$C$3008,2,FALSE)</f>
        <v>508</v>
      </c>
      <c r="E3537" s="88" t="s">
        <v>362</v>
      </c>
      <c r="F3537" s="89"/>
      <c r="G3537" s="90" t="s">
        <v>1868</v>
      </c>
    </row>
    <row r="3538" spans="2:7">
      <c r="B3538" s="268"/>
      <c r="C3538" s="71"/>
      <c r="D3538" s="79"/>
      <c r="E3538" s="163"/>
      <c r="F3538" s="71"/>
      <c r="G3538" s="71"/>
    </row>
    <row r="3540" spans="2:7">
      <c r="B3540" s="53" t="s">
        <v>146</v>
      </c>
      <c r="C3540" s="80">
        <v>204594</v>
      </c>
      <c r="D3540" s="81"/>
      <c r="E3540" s="82"/>
      <c r="F3540" s="54" t="s">
        <v>326</v>
      </c>
      <c r="G3540" s="55"/>
    </row>
    <row r="3541" spans="2:7">
      <c r="B3541" s="56" t="s">
        <v>327</v>
      </c>
      <c r="C3541" s="292" t="s">
        <v>257</v>
      </c>
      <c r="D3541" s="293"/>
      <c r="E3541" s="294"/>
      <c r="F3541" s="57" t="s">
        <v>148</v>
      </c>
      <c r="G3541" s="58">
        <f>VLOOKUP(C3540,$C$3:$E3835,3,FALSE)</f>
        <v>0</v>
      </c>
    </row>
    <row r="3542" spans="2:7">
      <c r="B3542" s="269" t="s">
        <v>328</v>
      </c>
      <c r="C3542" s="95"/>
      <c r="D3542" s="96"/>
      <c r="E3542" s="96"/>
      <c r="F3542" s="96"/>
      <c r="G3542" s="97"/>
    </row>
    <row r="3543" spans="2:7">
      <c r="B3543" s="270"/>
      <c r="C3543" s="98"/>
      <c r="D3543" s="99"/>
      <c r="E3543" s="99"/>
      <c r="F3543" s="99"/>
      <c r="G3543" s="100"/>
    </row>
    <row r="3544" spans="2:7">
      <c r="B3544" s="271" t="s">
        <v>329</v>
      </c>
      <c r="C3544" s="54" t="s">
        <v>330</v>
      </c>
      <c r="D3544" s="54" t="s">
        <v>331</v>
      </c>
      <c r="E3544" s="54" t="s">
        <v>332</v>
      </c>
      <c r="F3544" s="54" t="s">
        <v>333</v>
      </c>
      <c r="G3544" s="60" t="s">
        <v>334</v>
      </c>
    </row>
    <row r="3545" spans="2:7">
      <c r="B3545" s="269"/>
      <c r="C3545" s="61" t="s">
        <v>373</v>
      </c>
      <c r="D3545" s="62">
        <f>VLOOKUP(C3545,基本字段定义!$B$3:$C$3008,2,FALSE)</f>
        <v>697</v>
      </c>
      <c r="E3545" s="63" t="s">
        <v>345</v>
      </c>
      <c r="F3545" s="63" t="s">
        <v>152</v>
      </c>
      <c r="G3545" s="64" t="s">
        <v>374</v>
      </c>
    </row>
    <row r="3546" spans="2:7">
      <c r="B3546" s="269"/>
      <c r="C3546" s="61" t="s">
        <v>402</v>
      </c>
      <c r="D3546" s="62">
        <f>VLOOKUP(C3546,基本字段定义!$B$3:$C$3008,2,FALSE)</f>
        <v>605</v>
      </c>
      <c r="E3546" s="63" t="s">
        <v>403</v>
      </c>
      <c r="F3546" s="63" t="s">
        <v>152</v>
      </c>
      <c r="G3546" s="64" t="s">
        <v>404</v>
      </c>
    </row>
    <row r="3547" spans="2:7">
      <c r="B3547" s="269"/>
      <c r="C3547" s="61" t="s">
        <v>503</v>
      </c>
      <c r="D3547" s="62">
        <f>VLOOKUP(C3547,基本字段定义!$B$3:$C$3008,2,FALSE)</f>
        <v>1332</v>
      </c>
      <c r="E3547" s="63" t="s">
        <v>398</v>
      </c>
      <c r="F3547" s="63"/>
      <c r="G3547" s="64" t="s">
        <v>1870</v>
      </c>
    </row>
    <row r="3548" spans="2:7">
      <c r="B3548" s="269"/>
      <c r="C3548" s="61" t="s">
        <v>1533</v>
      </c>
      <c r="D3548" s="62">
        <f>VLOOKUP(C3548,基本字段定义!$B$3:$C$3008,2,FALSE)</f>
        <v>3609</v>
      </c>
      <c r="E3548" s="63" t="s">
        <v>398</v>
      </c>
      <c r="F3548" s="63"/>
      <c r="G3548" s="64" t="s">
        <v>1534</v>
      </c>
    </row>
    <row r="3549" spans="2:7">
      <c r="B3549" s="266" t="s">
        <v>335</v>
      </c>
      <c r="C3549" s="87" t="s">
        <v>373</v>
      </c>
      <c r="D3549" s="89">
        <f>VLOOKUP(C3549,基本字段定义!$B$3:$C$3008,2,FALSE)</f>
        <v>697</v>
      </c>
      <c r="E3549" s="88" t="s">
        <v>345</v>
      </c>
      <c r="F3549" s="89"/>
      <c r="G3549" s="90" t="s">
        <v>374</v>
      </c>
    </row>
    <row r="3550" spans="2:7">
      <c r="B3550" s="267"/>
      <c r="C3550" s="87" t="s">
        <v>402</v>
      </c>
      <c r="D3550" s="89">
        <f>VLOOKUP(C3550,基本字段定义!$B$3:$C$3008,2,FALSE)</f>
        <v>605</v>
      </c>
      <c r="E3550" s="88" t="s">
        <v>403</v>
      </c>
      <c r="F3550" s="89"/>
      <c r="G3550" s="90" t="s">
        <v>404</v>
      </c>
    </row>
    <row r="3551" spans="2:7">
      <c r="B3551" s="267"/>
      <c r="C3551" s="87" t="s">
        <v>420</v>
      </c>
      <c r="D3551" s="89">
        <f>VLOOKUP(C3551,基本字段定义!$B$3:$C$3008,2,FALSE)</f>
        <v>613</v>
      </c>
      <c r="E3551" s="88" t="s">
        <v>412</v>
      </c>
      <c r="F3551" s="89"/>
      <c r="G3551" s="90" t="s">
        <v>789</v>
      </c>
    </row>
    <row r="3552" spans="2:7">
      <c r="B3552" s="267"/>
      <c r="C3552" s="87" t="s">
        <v>1871</v>
      </c>
      <c r="D3552" s="89">
        <f>VLOOKUP(C3552,基本字段定义!$B$3:$C$3008,2,FALSE)</f>
        <v>1858</v>
      </c>
      <c r="E3552" s="88" t="s">
        <v>1561</v>
      </c>
      <c r="F3552" s="89"/>
      <c r="G3552" s="90" t="s">
        <v>1872</v>
      </c>
    </row>
    <row r="3553" spans="2:7">
      <c r="B3553" s="267"/>
      <c r="C3553" s="87" t="s">
        <v>1563</v>
      </c>
      <c r="D3553" s="89">
        <f>VLOOKUP(C3553,基本字段定义!$B$3:$C$3008,2,FALSE)</f>
        <v>2305</v>
      </c>
      <c r="E3553" s="88" t="s">
        <v>1561</v>
      </c>
      <c r="F3553" s="89"/>
      <c r="G3553" s="90" t="s">
        <v>1873</v>
      </c>
    </row>
    <row r="3554" spans="2:7">
      <c r="B3554" s="267"/>
      <c r="C3554" s="87" t="s">
        <v>507</v>
      </c>
      <c r="D3554" s="89">
        <f>VLOOKUP(C3554,基本字段定义!$B$3:$C$3008,2,FALSE)</f>
        <v>812</v>
      </c>
      <c r="E3554" s="88" t="s">
        <v>398</v>
      </c>
      <c r="F3554" s="89"/>
      <c r="G3554" s="90" t="s">
        <v>1764</v>
      </c>
    </row>
    <row r="3555" spans="2:7">
      <c r="B3555" s="267"/>
      <c r="C3555" s="87" t="s">
        <v>397</v>
      </c>
      <c r="D3555" s="89">
        <f>VLOOKUP(C3555,基本字段定义!$B$3:$C$3008,2,FALSE)</f>
        <v>815</v>
      </c>
      <c r="E3555" s="88" t="s">
        <v>398</v>
      </c>
      <c r="F3555" s="66"/>
      <c r="G3555" s="90" t="s">
        <v>1441</v>
      </c>
    </row>
    <row r="3556" spans="2:7">
      <c r="B3556" s="267"/>
      <c r="C3556" s="87" t="s">
        <v>503</v>
      </c>
      <c r="D3556" s="89">
        <f>VLOOKUP(C3556,基本字段定义!$B$3:$C$3008,2,FALSE)</f>
        <v>1332</v>
      </c>
      <c r="E3556" s="88" t="s">
        <v>398</v>
      </c>
      <c r="F3556" s="89"/>
      <c r="G3556" s="90" t="s">
        <v>1870</v>
      </c>
    </row>
    <row r="3557" spans="2:7">
      <c r="B3557" s="268"/>
      <c r="C3557" s="71" t="s">
        <v>1533</v>
      </c>
      <c r="D3557" s="79">
        <f>VLOOKUP(C3557,基本字段定义!$B$3:$C$3008,2,FALSE)</f>
        <v>3609</v>
      </c>
      <c r="E3557" s="73" t="s">
        <v>398</v>
      </c>
      <c r="F3557" s="79"/>
      <c r="G3557" s="74" t="s">
        <v>1534</v>
      </c>
    </row>
    <row r="3558" spans="2:7" ht="14.25" thickBot="1"/>
    <row r="3559" spans="2:7">
      <c r="C3559" s="215">
        <v>299025</v>
      </c>
      <c r="D3559" s="216"/>
      <c r="E3559" s="217"/>
      <c r="F3559" s="54" t="s">
        <v>326</v>
      </c>
      <c r="G3559" s="55">
        <v>20140806</v>
      </c>
    </row>
    <row r="3560" spans="2:7">
      <c r="C3560" s="292" t="s">
        <v>3955</v>
      </c>
      <c r="D3560" s="293"/>
      <c r="E3560" s="294"/>
      <c r="F3560" s="57" t="s">
        <v>148</v>
      </c>
      <c r="G3560" s="58" t="s">
        <v>3956</v>
      </c>
    </row>
    <row r="3561" spans="2:7">
      <c r="C3561" s="219"/>
      <c r="D3561" s="220"/>
      <c r="E3561" s="220"/>
      <c r="F3561" s="220"/>
      <c r="G3561" s="221"/>
    </row>
    <row r="3562" spans="2:7" ht="14.25" thickBot="1">
      <c r="C3562" s="222"/>
      <c r="D3562" s="223"/>
      <c r="E3562" s="223"/>
      <c r="F3562" s="223"/>
      <c r="G3562" s="224"/>
    </row>
    <row r="3563" spans="2:7">
      <c r="C3563" s="54" t="s">
        <v>330</v>
      </c>
      <c r="D3563" s="54" t="s">
        <v>331</v>
      </c>
      <c r="E3563" s="54" t="s">
        <v>332</v>
      </c>
      <c r="F3563" s="54" t="s">
        <v>333</v>
      </c>
      <c r="G3563" s="60" t="s">
        <v>334</v>
      </c>
    </row>
    <row r="3564" spans="2:7">
      <c r="C3564" s="61" t="s">
        <v>3957</v>
      </c>
      <c r="D3564" s="62">
        <f>VLOOKUP(C3564,基本字段定义!$B$3:$C$3008,2,FALSE)</f>
        <v>599</v>
      </c>
      <c r="E3564" s="218" t="s">
        <v>3958</v>
      </c>
      <c r="F3564" s="218"/>
      <c r="G3564" s="64" t="s">
        <v>3966</v>
      </c>
    </row>
    <row r="3565" spans="2:7">
      <c r="C3565" s="61" t="s">
        <v>3959</v>
      </c>
      <c r="D3565" s="62">
        <f>VLOOKUP(C3565,基本字段定义!$B$3:$C$3008,2,FALSE)</f>
        <v>720</v>
      </c>
      <c r="E3565" s="218" t="s">
        <v>3958</v>
      </c>
      <c r="F3565" s="218"/>
      <c r="G3565" s="64" t="s">
        <v>3960</v>
      </c>
    </row>
    <row r="3566" spans="2:7">
      <c r="C3566" s="61" t="s">
        <v>3961</v>
      </c>
      <c r="D3566" s="62">
        <f>VLOOKUP(C3566,基本字段定义!$B$3:$C$3008,2,FALSE)</f>
        <v>651</v>
      </c>
      <c r="E3566" s="218" t="s">
        <v>3962</v>
      </c>
      <c r="F3566" s="218"/>
      <c r="G3566" s="64" t="s">
        <v>3963</v>
      </c>
    </row>
    <row r="3567" spans="2:7">
      <c r="C3567" s="87" t="s">
        <v>3957</v>
      </c>
      <c r="D3567" s="89">
        <f>VLOOKUP(C3567,基本字段定义!$B$3:$C$3008,2,FALSE)</f>
        <v>599</v>
      </c>
      <c r="E3567" s="88" t="s">
        <v>3958</v>
      </c>
      <c r="F3567" s="89"/>
      <c r="G3567" s="90" t="s">
        <v>3966</v>
      </c>
    </row>
    <row r="3568" spans="2:7">
      <c r="C3568" s="87" t="s">
        <v>3959</v>
      </c>
      <c r="D3568" s="89">
        <f>VLOOKUP(C3568,基本字段定义!$B$3:$C$3008,2,FALSE)</f>
        <v>720</v>
      </c>
      <c r="E3568" s="88" t="s">
        <v>3958</v>
      </c>
      <c r="F3568" s="89"/>
      <c r="G3568" s="90" t="s">
        <v>3960</v>
      </c>
    </row>
    <row r="3569" spans="3:7">
      <c r="C3569" s="87" t="s">
        <v>3964</v>
      </c>
      <c r="D3569" s="89">
        <f>VLOOKUP(C3569,基本字段定义!$B$3:$C$3008,2,FALSE)</f>
        <v>704</v>
      </c>
      <c r="E3569" s="88" t="s">
        <v>3970</v>
      </c>
      <c r="F3569" s="89"/>
      <c r="G3569" s="90" t="s">
        <v>3967</v>
      </c>
    </row>
    <row r="3570" spans="3:7">
      <c r="C3570" s="87" t="s">
        <v>3965</v>
      </c>
      <c r="D3570" s="89">
        <f>VLOOKUP(C3570,基本字段定义!$B$3:$C$3008,2,FALSE)</f>
        <v>707</v>
      </c>
      <c r="E3570" s="88" t="s">
        <v>3970</v>
      </c>
      <c r="F3570" s="89"/>
      <c r="G3570" s="90" t="s">
        <v>3968</v>
      </c>
    </row>
    <row r="3571" spans="3:7">
      <c r="C3571" s="87" t="s">
        <v>3969</v>
      </c>
      <c r="D3571" s="89">
        <f>VLOOKUP(C3571,基本字段定义!$B$3:$C$3008,2,FALSE)</f>
        <v>594</v>
      </c>
      <c r="E3571" s="88" t="s">
        <v>3971</v>
      </c>
      <c r="F3571" s="89"/>
      <c r="G3571" s="90" t="s">
        <v>3972</v>
      </c>
    </row>
    <row r="3572" spans="3:7" ht="14.25" thickBot="1">
      <c r="C3572" s="71" t="s">
        <v>3961</v>
      </c>
      <c r="D3572" s="79">
        <f>VLOOKUP(C3572,基本字段定义!$B$3:$C$3008,2,FALSE)</f>
        <v>651</v>
      </c>
      <c r="E3572" s="73" t="s">
        <v>3962</v>
      </c>
      <c r="F3572" s="79"/>
      <c r="G3572" s="74" t="s">
        <v>3963</v>
      </c>
    </row>
  </sheetData>
  <mergeCells count="607">
    <mergeCell ref="C3560:E3560"/>
    <mergeCell ref="C2:E2"/>
    <mergeCell ref="C3:E3"/>
    <mergeCell ref="C14:E14"/>
    <mergeCell ref="C15:E15"/>
    <mergeCell ref="C25:E25"/>
    <mergeCell ref="C26:E26"/>
    <mergeCell ref="C35:E35"/>
    <mergeCell ref="C36:E36"/>
    <mergeCell ref="C46:E46"/>
    <mergeCell ref="C4:G5"/>
    <mergeCell ref="C16:G17"/>
    <mergeCell ref="C27:G28"/>
    <mergeCell ref="C37:G38"/>
    <mergeCell ref="C47:E47"/>
    <mergeCell ref="C57:E57"/>
    <mergeCell ref="C58:E58"/>
    <mergeCell ref="C68:E68"/>
    <mergeCell ref="C69:E69"/>
    <mergeCell ref="C108:E108"/>
    <mergeCell ref="C109:E109"/>
    <mergeCell ref="C132:E132"/>
    <mergeCell ref="C133:E133"/>
    <mergeCell ref="C81:G82"/>
    <mergeCell ref="C110:G111"/>
    <mergeCell ref="C48:G49"/>
    <mergeCell ref="C70:G71"/>
    <mergeCell ref="C59:G60"/>
    <mergeCell ref="C93:G94"/>
    <mergeCell ref="C144:E144"/>
    <mergeCell ref="C145:E145"/>
    <mergeCell ref="C157:E157"/>
    <mergeCell ref="C158:E158"/>
    <mergeCell ref="C170:E170"/>
    <mergeCell ref="C171:E171"/>
    <mergeCell ref="C196:E196"/>
    <mergeCell ref="C197:E197"/>
    <mergeCell ref="C216:E216"/>
    <mergeCell ref="C217:E217"/>
    <mergeCell ref="C229:E229"/>
    <mergeCell ref="C230:E230"/>
    <mergeCell ref="C240:E240"/>
    <mergeCell ref="C241:E241"/>
    <mergeCell ref="C258:E258"/>
    <mergeCell ref="C259:E259"/>
    <mergeCell ref="C273:E273"/>
    <mergeCell ref="C274:E274"/>
    <mergeCell ref="C242:G243"/>
    <mergeCell ref="C218:G219"/>
    <mergeCell ref="C284:E284"/>
    <mergeCell ref="C285:E285"/>
    <mergeCell ref="C296:E296"/>
    <mergeCell ref="C297:E297"/>
    <mergeCell ref="C309:E309"/>
    <mergeCell ref="C310:E310"/>
    <mergeCell ref="C323:E323"/>
    <mergeCell ref="C324:E324"/>
    <mergeCell ref="C336:E336"/>
    <mergeCell ref="C337:E337"/>
    <mergeCell ref="C349:E349"/>
    <mergeCell ref="C350:E350"/>
    <mergeCell ref="C360:E360"/>
    <mergeCell ref="C361:E361"/>
    <mergeCell ref="C372:E372"/>
    <mergeCell ref="C373:E373"/>
    <mergeCell ref="C387:E387"/>
    <mergeCell ref="C388:E388"/>
    <mergeCell ref="C338:G339"/>
    <mergeCell ref="C362:G363"/>
    <mergeCell ref="C351:G352"/>
    <mergeCell ref="C400:E400"/>
    <mergeCell ref="C401:E401"/>
    <mergeCell ref="C423:E423"/>
    <mergeCell ref="C424:E424"/>
    <mergeCell ref="C446:E446"/>
    <mergeCell ref="C447:E447"/>
    <mergeCell ref="C462:E462"/>
    <mergeCell ref="C463:E463"/>
    <mergeCell ref="C3361:E3361"/>
    <mergeCell ref="C1720:G1721"/>
    <mergeCell ref="C425:G426"/>
    <mergeCell ref="C402:G403"/>
    <mergeCell ref="C3362:E3362"/>
    <mergeCell ref="C3408:E3408"/>
    <mergeCell ref="C3409:E3409"/>
    <mergeCell ref="C3516:E3516"/>
    <mergeCell ref="C3528:E3528"/>
    <mergeCell ref="C3541:E3541"/>
    <mergeCell ref="B4:B5"/>
    <mergeCell ref="B6:B7"/>
    <mergeCell ref="B8:B12"/>
    <mergeCell ref="B16:B17"/>
    <mergeCell ref="B18:B19"/>
    <mergeCell ref="B20:B23"/>
    <mergeCell ref="B27:B28"/>
    <mergeCell ref="B29:B30"/>
    <mergeCell ref="B31:B33"/>
    <mergeCell ref="B37:B38"/>
    <mergeCell ref="B39:B40"/>
    <mergeCell ref="B41:B44"/>
    <mergeCell ref="B48:B49"/>
    <mergeCell ref="B50:B51"/>
    <mergeCell ref="B52:B55"/>
    <mergeCell ref="B59:B60"/>
    <mergeCell ref="B61:B62"/>
    <mergeCell ref="B63:B66"/>
    <mergeCell ref="B70:B71"/>
    <mergeCell ref="B72:B73"/>
    <mergeCell ref="B74:B77"/>
    <mergeCell ref="B81:B82"/>
    <mergeCell ref="B83:B85"/>
    <mergeCell ref="B86:B89"/>
    <mergeCell ref="B93:B94"/>
    <mergeCell ref="B95:B97"/>
    <mergeCell ref="B98:B106"/>
    <mergeCell ref="B110:B111"/>
    <mergeCell ref="B112:B118"/>
    <mergeCell ref="B119:B130"/>
    <mergeCell ref="B134:B135"/>
    <mergeCell ref="B136:B139"/>
    <mergeCell ref="B140:B142"/>
    <mergeCell ref="B146:B147"/>
    <mergeCell ref="B148:B152"/>
    <mergeCell ref="B153:B155"/>
    <mergeCell ref="B159:B160"/>
    <mergeCell ref="B161:B165"/>
    <mergeCell ref="B166:B168"/>
    <mergeCell ref="B172:B173"/>
    <mergeCell ref="B174:B176"/>
    <mergeCell ref="B177:B194"/>
    <mergeCell ref="B198:B199"/>
    <mergeCell ref="B200:B211"/>
    <mergeCell ref="B212:B214"/>
    <mergeCell ref="B218:B219"/>
    <mergeCell ref="B220:B224"/>
    <mergeCell ref="B225:B227"/>
    <mergeCell ref="B231:B232"/>
    <mergeCell ref="B233:B234"/>
    <mergeCell ref="B235:B238"/>
    <mergeCell ref="B242:B243"/>
    <mergeCell ref="B244:B253"/>
    <mergeCell ref="B254:B256"/>
    <mergeCell ref="B260:B261"/>
    <mergeCell ref="B262:B268"/>
    <mergeCell ref="B269:B271"/>
    <mergeCell ref="B275:B276"/>
    <mergeCell ref="B277:B279"/>
    <mergeCell ref="B280:B282"/>
    <mergeCell ref="B286:B287"/>
    <mergeCell ref="B288:B290"/>
    <mergeCell ref="B291:B294"/>
    <mergeCell ref="B298:B299"/>
    <mergeCell ref="B300:B304"/>
    <mergeCell ref="B305:B307"/>
    <mergeCell ref="B311:B312"/>
    <mergeCell ref="B313:B318"/>
    <mergeCell ref="B319:B321"/>
    <mergeCell ref="B325:B326"/>
    <mergeCell ref="B327:B331"/>
    <mergeCell ref="B332:B334"/>
    <mergeCell ref="B338:B339"/>
    <mergeCell ref="B340:B344"/>
    <mergeCell ref="B345:B347"/>
    <mergeCell ref="B351:B352"/>
    <mergeCell ref="B353:B355"/>
    <mergeCell ref="B356:B358"/>
    <mergeCell ref="B362:B363"/>
    <mergeCell ref="B364:B366"/>
    <mergeCell ref="B367:B370"/>
    <mergeCell ref="B374:B375"/>
    <mergeCell ref="B376:B382"/>
    <mergeCell ref="B383:B385"/>
    <mergeCell ref="B389:B390"/>
    <mergeCell ref="B391:B395"/>
    <mergeCell ref="B396:B398"/>
    <mergeCell ref="B402:B403"/>
    <mergeCell ref="B404:B407"/>
    <mergeCell ref="B408:B421"/>
    <mergeCell ref="B425:B426"/>
    <mergeCell ref="B427:B429"/>
    <mergeCell ref="B430:B444"/>
    <mergeCell ref="B448:B449"/>
    <mergeCell ref="B450:B456"/>
    <mergeCell ref="B457:B460"/>
    <mergeCell ref="B464:B465"/>
    <mergeCell ref="B466:B474"/>
    <mergeCell ref="B475:B478"/>
    <mergeCell ref="B482:B483"/>
    <mergeCell ref="B484:B492"/>
    <mergeCell ref="B493:B495"/>
    <mergeCell ref="B499:B500"/>
    <mergeCell ref="B501:B506"/>
    <mergeCell ref="B507:B519"/>
    <mergeCell ref="B523:B524"/>
    <mergeCell ref="B525:B528"/>
    <mergeCell ref="B529:B533"/>
    <mergeCell ref="B537:B538"/>
    <mergeCell ref="B539:B547"/>
    <mergeCell ref="B548:B551"/>
    <mergeCell ref="B555:B556"/>
    <mergeCell ref="B557:B565"/>
    <mergeCell ref="B566:B569"/>
    <mergeCell ref="B573:B574"/>
    <mergeCell ref="B575:B582"/>
    <mergeCell ref="B583:B586"/>
    <mergeCell ref="B590:B591"/>
    <mergeCell ref="B592:B601"/>
    <mergeCell ref="B602:B604"/>
    <mergeCell ref="B608:B609"/>
    <mergeCell ref="B610:B618"/>
    <mergeCell ref="B619:B621"/>
    <mergeCell ref="B625:B626"/>
    <mergeCell ref="B627:B629"/>
    <mergeCell ref="B630:B642"/>
    <mergeCell ref="B646:B647"/>
    <mergeCell ref="B660:B661"/>
    <mergeCell ref="B662:B666"/>
    <mergeCell ref="B667:B674"/>
    <mergeCell ref="B678:B679"/>
    <mergeCell ref="B680:B682"/>
    <mergeCell ref="B683:B720"/>
    <mergeCell ref="B724:B725"/>
    <mergeCell ref="B726:B728"/>
    <mergeCell ref="B729:B735"/>
    <mergeCell ref="B739:B740"/>
    <mergeCell ref="B741:B744"/>
    <mergeCell ref="B745:B754"/>
    <mergeCell ref="B758:B759"/>
    <mergeCell ref="B760:B763"/>
    <mergeCell ref="B764:B775"/>
    <mergeCell ref="B779:B780"/>
    <mergeCell ref="B781:B782"/>
    <mergeCell ref="B783:B791"/>
    <mergeCell ref="B795:B796"/>
    <mergeCell ref="B797:B800"/>
    <mergeCell ref="B801:B811"/>
    <mergeCell ref="B815:B816"/>
    <mergeCell ref="B817:B822"/>
    <mergeCell ref="B823:B825"/>
    <mergeCell ref="B829:B830"/>
    <mergeCell ref="B831:B833"/>
    <mergeCell ref="B834:B839"/>
    <mergeCell ref="B843:B844"/>
    <mergeCell ref="B845:B847"/>
    <mergeCell ref="B848:B854"/>
    <mergeCell ref="B858:B859"/>
    <mergeCell ref="B860:B862"/>
    <mergeCell ref="B863:B869"/>
    <mergeCell ref="B873:B874"/>
    <mergeCell ref="B875:B880"/>
    <mergeCell ref="B881:B910"/>
    <mergeCell ref="B914:B915"/>
    <mergeCell ref="B916:B922"/>
    <mergeCell ref="B923:B927"/>
    <mergeCell ref="B931:B932"/>
    <mergeCell ref="B933:B939"/>
    <mergeCell ref="B940:B942"/>
    <mergeCell ref="B946:B947"/>
    <mergeCell ref="B948:B951"/>
    <mergeCell ref="B952:B954"/>
    <mergeCell ref="B958:B959"/>
    <mergeCell ref="B960:B967"/>
    <mergeCell ref="B968:B971"/>
    <mergeCell ref="B975:B976"/>
    <mergeCell ref="B977:B996"/>
    <mergeCell ref="B997:B1000"/>
    <mergeCell ref="B1004:B1005"/>
    <mergeCell ref="B1006:B1010"/>
    <mergeCell ref="B1011:B1013"/>
    <mergeCell ref="B1017:B1018"/>
    <mergeCell ref="B1019:B1025"/>
    <mergeCell ref="B1026:B1031"/>
    <mergeCell ref="B1035:B1036"/>
    <mergeCell ref="B1037:B1043"/>
    <mergeCell ref="B1044:B1047"/>
    <mergeCell ref="B1051:B1052"/>
    <mergeCell ref="B1053:B1064"/>
    <mergeCell ref="B1065:B1088"/>
    <mergeCell ref="B1092:B1093"/>
    <mergeCell ref="B1094:B1098"/>
    <mergeCell ref="B1099:B1125"/>
    <mergeCell ref="B1129:B1130"/>
    <mergeCell ref="B1131:B1138"/>
    <mergeCell ref="B1139:B1151"/>
    <mergeCell ref="B1155:B1156"/>
    <mergeCell ref="B1157:B1161"/>
    <mergeCell ref="B1162:B1178"/>
    <mergeCell ref="B1182:B1183"/>
    <mergeCell ref="B1184:B1189"/>
    <mergeCell ref="B1190:B1197"/>
    <mergeCell ref="B1201:B1202"/>
    <mergeCell ref="B1203:B1204"/>
    <mergeCell ref="B1205:B1219"/>
    <mergeCell ref="B1223:B1224"/>
    <mergeCell ref="B1225:B1230"/>
    <mergeCell ref="B1231:B1233"/>
    <mergeCell ref="B1237:B1238"/>
    <mergeCell ref="B1239:B1246"/>
    <mergeCell ref="B1247:B1250"/>
    <mergeCell ref="B1254:B1255"/>
    <mergeCell ref="B1256:B1260"/>
    <mergeCell ref="B1261:B1263"/>
    <mergeCell ref="B1267:B1268"/>
    <mergeCell ref="B1269:B1274"/>
    <mergeCell ref="B1275:B1289"/>
    <mergeCell ref="B1293:B1294"/>
    <mergeCell ref="B1295:B1300"/>
    <mergeCell ref="B1301:B1315"/>
    <mergeCell ref="B1319:B1320"/>
    <mergeCell ref="B1321:B1326"/>
    <mergeCell ref="B1327:B1346"/>
    <mergeCell ref="B1350:B1351"/>
    <mergeCell ref="B1352:B1355"/>
    <mergeCell ref="B1356:B1365"/>
    <mergeCell ref="B1369:B1370"/>
    <mergeCell ref="B1371:B1373"/>
    <mergeCell ref="B1374:B1381"/>
    <mergeCell ref="B1385:B1386"/>
    <mergeCell ref="B1387:B1388"/>
    <mergeCell ref="B1389:B1395"/>
    <mergeCell ref="B1399:B1400"/>
    <mergeCell ref="B1401:B1404"/>
    <mergeCell ref="B1405:B1418"/>
    <mergeCell ref="B1422:B1425"/>
    <mergeCell ref="B1426:B1436"/>
    <mergeCell ref="B1437:B1440"/>
    <mergeCell ref="B1444:B1445"/>
    <mergeCell ref="B1446:B1447"/>
    <mergeCell ref="B1448:B1451"/>
    <mergeCell ref="B1455:B1456"/>
    <mergeCell ref="B1457:B1460"/>
    <mergeCell ref="B1461:B1472"/>
    <mergeCell ref="B1476:B1477"/>
    <mergeCell ref="B1478:B1479"/>
    <mergeCell ref="B1480:B1483"/>
    <mergeCell ref="B1487:B1488"/>
    <mergeCell ref="B1489:B1492"/>
    <mergeCell ref="B1493:B1496"/>
    <mergeCell ref="B1500:B1501"/>
    <mergeCell ref="B1502:B1505"/>
    <mergeCell ref="B1506:B1508"/>
    <mergeCell ref="B1512:B1513"/>
    <mergeCell ref="B1514:B1516"/>
    <mergeCell ref="B1517:B1519"/>
    <mergeCell ref="B1523:B1524"/>
    <mergeCell ref="B1525:B1527"/>
    <mergeCell ref="B1528:B1538"/>
    <mergeCell ref="B1542:B1543"/>
    <mergeCell ref="B1544:B1552"/>
    <mergeCell ref="B1553:B1556"/>
    <mergeCell ref="B1560:B1561"/>
    <mergeCell ref="B1562:B1568"/>
    <mergeCell ref="B1569:B1572"/>
    <mergeCell ref="B1576:B1577"/>
    <mergeCell ref="B1578:B1587"/>
    <mergeCell ref="B1588:B1591"/>
    <mergeCell ref="B1595:B1596"/>
    <mergeCell ref="B1597:B1599"/>
    <mergeCell ref="B1600:B1602"/>
    <mergeCell ref="B1606:B1607"/>
    <mergeCell ref="B1608:B1611"/>
    <mergeCell ref="B1612:B1629"/>
    <mergeCell ref="B1633:B1634"/>
    <mergeCell ref="B1635:B1636"/>
    <mergeCell ref="B1637:B1641"/>
    <mergeCell ref="B1645:B1646"/>
    <mergeCell ref="B1647:B1651"/>
    <mergeCell ref="B1652:B1662"/>
    <mergeCell ref="B1666:B1667"/>
    <mergeCell ref="B1668:B1677"/>
    <mergeCell ref="B1678:B1680"/>
    <mergeCell ref="B1684:B1685"/>
    <mergeCell ref="B1686:B1689"/>
    <mergeCell ref="B1690:B1692"/>
    <mergeCell ref="B1696:B1697"/>
    <mergeCell ref="B1698:B1701"/>
    <mergeCell ref="B1702:B1716"/>
    <mergeCell ref="B1720:B1721"/>
    <mergeCell ref="B1722:B1737"/>
    <mergeCell ref="B1738:B1740"/>
    <mergeCell ref="B1744:B1745"/>
    <mergeCell ref="B1746:B1748"/>
    <mergeCell ref="B1749:B1751"/>
    <mergeCell ref="B1755:B1756"/>
    <mergeCell ref="B1757:B1758"/>
    <mergeCell ref="B1759:B1761"/>
    <mergeCell ref="B1765:B1766"/>
    <mergeCell ref="B1767:B1768"/>
    <mergeCell ref="B1769:B1775"/>
    <mergeCell ref="B1779:B1780"/>
    <mergeCell ref="B1781:B1782"/>
    <mergeCell ref="B1783:B1795"/>
    <mergeCell ref="B1799:B1800"/>
    <mergeCell ref="B1801:B1807"/>
    <mergeCell ref="B1808:B1810"/>
    <mergeCell ref="B1814:B1815"/>
    <mergeCell ref="B1816:B1819"/>
    <mergeCell ref="B1820:B1822"/>
    <mergeCell ref="B1826:B1827"/>
    <mergeCell ref="B1828:B1829"/>
    <mergeCell ref="B1830:B1836"/>
    <mergeCell ref="B1840:B1841"/>
    <mergeCell ref="B1842:B1848"/>
    <mergeCell ref="B1849:B1867"/>
    <mergeCell ref="B1871:B1872"/>
    <mergeCell ref="B1873:B1880"/>
    <mergeCell ref="B1881:B1888"/>
    <mergeCell ref="B1892:B1893"/>
    <mergeCell ref="B1894:B1896"/>
    <mergeCell ref="B1897:B1952"/>
    <mergeCell ref="B1956:B1957"/>
    <mergeCell ref="B1958:B1967"/>
    <mergeCell ref="B1968:B1971"/>
    <mergeCell ref="B1975:B1976"/>
    <mergeCell ref="B1977:B1984"/>
    <mergeCell ref="B1985:B1988"/>
    <mergeCell ref="B1992:B1993"/>
    <mergeCell ref="B1994:B2000"/>
    <mergeCell ref="B2001:B2004"/>
    <mergeCell ref="B2008:B2009"/>
    <mergeCell ref="B2010:B2016"/>
    <mergeCell ref="B2017:B2020"/>
    <mergeCell ref="B2024:B2025"/>
    <mergeCell ref="B2026:B2030"/>
    <mergeCell ref="B2031:B2033"/>
    <mergeCell ref="B2037:B2038"/>
    <mergeCell ref="B2039:B2046"/>
    <mergeCell ref="B2047:B2049"/>
    <mergeCell ref="B2053:B2054"/>
    <mergeCell ref="B2055:B2064"/>
    <mergeCell ref="B2065:B2068"/>
    <mergeCell ref="B2072:B2073"/>
    <mergeCell ref="B2074:B2082"/>
    <mergeCell ref="B2083:B2086"/>
    <mergeCell ref="B2090:B2091"/>
    <mergeCell ref="B2092:B2096"/>
    <mergeCell ref="B2097:B2099"/>
    <mergeCell ref="B2103:B2104"/>
    <mergeCell ref="B2105:B2122"/>
    <mergeCell ref="B2123:B2178"/>
    <mergeCell ref="B2182:B2183"/>
    <mergeCell ref="B2184:B2188"/>
    <mergeCell ref="B2189:B2229"/>
    <mergeCell ref="B2233:B2234"/>
    <mergeCell ref="B2235:B2237"/>
    <mergeCell ref="B2238:B2245"/>
    <mergeCell ref="B2249:B2250"/>
    <mergeCell ref="B2251:B2254"/>
    <mergeCell ref="B2255:B2269"/>
    <mergeCell ref="B2273:B2274"/>
    <mergeCell ref="B2275:B2277"/>
    <mergeCell ref="B2278:B2282"/>
    <mergeCell ref="B2286:B2287"/>
    <mergeCell ref="B2288:B2293"/>
    <mergeCell ref="B2294:B2323"/>
    <mergeCell ref="B2327:B2328"/>
    <mergeCell ref="B2329:B2335"/>
    <mergeCell ref="B2336:B2338"/>
    <mergeCell ref="B2342:B2343"/>
    <mergeCell ref="B2344:B2352"/>
    <mergeCell ref="B2353:B2377"/>
    <mergeCell ref="B2381:B2382"/>
    <mergeCell ref="B2383:B2393"/>
    <mergeCell ref="B2394:B2421"/>
    <mergeCell ref="B2425:B2426"/>
    <mergeCell ref="B2427:B2434"/>
    <mergeCell ref="B2435:B2453"/>
    <mergeCell ref="B2457:B2458"/>
    <mergeCell ref="B2459:B2467"/>
    <mergeCell ref="B2468:B2486"/>
    <mergeCell ref="B2490:B2491"/>
    <mergeCell ref="B2492:B2499"/>
    <mergeCell ref="B2500:B2509"/>
    <mergeCell ref="B2513:B2514"/>
    <mergeCell ref="B2515:B2522"/>
    <mergeCell ref="B2523:B2537"/>
    <mergeCell ref="B2541:B2542"/>
    <mergeCell ref="B2543:B2549"/>
    <mergeCell ref="B2550:B2564"/>
    <mergeCell ref="B2568:B2569"/>
    <mergeCell ref="B2570:B2576"/>
    <mergeCell ref="B2577:B2589"/>
    <mergeCell ref="B2593:B2594"/>
    <mergeCell ref="B2595:B2610"/>
    <mergeCell ref="B2611:B2663"/>
    <mergeCell ref="B2667:B2668"/>
    <mergeCell ref="B2669:B2676"/>
    <mergeCell ref="B2677:B2693"/>
    <mergeCell ref="B2697:B2698"/>
    <mergeCell ref="B2699:B2705"/>
    <mergeCell ref="B2706:B2709"/>
    <mergeCell ref="B2713:B2714"/>
    <mergeCell ref="B2715:B2718"/>
    <mergeCell ref="B2719:B2722"/>
    <mergeCell ref="B2726:B2727"/>
    <mergeCell ref="B2728:B2742"/>
    <mergeCell ref="B2743:B2746"/>
    <mergeCell ref="B2750:B2751"/>
    <mergeCell ref="B2752:B2756"/>
    <mergeCell ref="B2757:B2759"/>
    <mergeCell ref="B2763:B2764"/>
    <mergeCell ref="B2765:B2771"/>
    <mergeCell ref="B2772:B2775"/>
    <mergeCell ref="B2779:B2780"/>
    <mergeCell ref="B2781:B2791"/>
    <mergeCell ref="B2792:B2812"/>
    <mergeCell ref="B2816:B2817"/>
    <mergeCell ref="B2818:B2828"/>
    <mergeCell ref="B2829:B2836"/>
    <mergeCell ref="B2840:B2841"/>
    <mergeCell ref="B2842:B2845"/>
    <mergeCell ref="B2846:B2865"/>
    <mergeCell ref="B2869:B2870"/>
    <mergeCell ref="B2871:B2879"/>
    <mergeCell ref="B2880:B2888"/>
    <mergeCell ref="B2892:B2893"/>
    <mergeCell ref="B2894:B2902"/>
    <mergeCell ref="B2903:B2922"/>
    <mergeCell ref="B2926:B2927"/>
    <mergeCell ref="B2928:B2933"/>
    <mergeCell ref="B2934:B2944"/>
    <mergeCell ref="B2948:B2949"/>
    <mergeCell ref="B2950:B2963"/>
    <mergeCell ref="B2964:B2967"/>
    <mergeCell ref="B2971:B2972"/>
    <mergeCell ref="B2973:B2977"/>
    <mergeCell ref="B2978:B2995"/>
    <mergeCell ref="B2999:B3000"/>
    <mergeCell ref="B3001:B3004"/>
    <mergeCell ref="B3005:B3011"/>
    <mergeCell ref="B3015:B3016"/>
    <mergeCell ref="B3017:B3018"/>
    <mergeCell ref="B3019:B3040"/>
    <mergeCell ref="B3044:B3045"/>
    <mergeCell ref="B3046:B3055"/>
    <mergeCell ref="B3056:B3106"/>
    <mergeCell ref="B3110:B3111"/>
    <mergeCell ref="B3112:B3119"/>
    <mergeCell ref="B3120:B3131"/>
    <mergeCell ref="B3135:B3136"/>
    <mergeCell ref="B3137:B3151"/>
    <mergeCell ref="B3152:B3160"/>
    <mergeCell ref="B3164:B3165"/>
    <mergeCell ref="B3166:B3194"/>
    <mergeCell ref="B3195:B3251"/>
    <mergeCell ref="B3255:B3256"/>
    <mergeCell ref="B3257:B3263"/>
    <mergeCell ref="B3264:B3275"/>
    <mergeCell ref="B3279:B3280"/>
    <mergeCell ref="B3281:B3283"/>
    <mergeCell ref="B3284:B3291"/>
    <mergeCell ref="B3295:B3296"/>
    <mergeCell ref="B3297:B3302"/>
    <mergeCell ref="B3303:B3315"/>
    <mergeCell ref="B3319:B3320"/>
    <mergeCell ref="B3321:B3327"/>
    <mergeCell ref="B3328:B3334"/>
    <mergeCell ref="B3338:B3339"/>
    <mergeCell ref="B3340:B3348"/>
    <mergeCell ref="B3349:B3359"/>
    <mergeCell ref="B3363:B3364"/>
    <mergeCell ref="B3365:B3371"/>
    <mergeCell ref="B3372:B3391"/>
    <mergeCell ref="B3395:B3396"/>
    <mergeCell ref="B3397:B3404"/>
    <mergeCell ref="B3405:B3406"/>
    <mergeCell ref="B3410:B3411"/>
    <mergeCell ref="B3412:B3426"/>
    <mergeCell ref="B3427:B3458"/>
    <mergeCell ref="B3462:B3463"/>
    <mergeCell ref="B3464:B3469"/>
    <mergeCell ref="B3470:B3482"/>
    <mergeCell ref="B3486:B3487"/>
    <mergeCell ref="B3488:B3492"/>
    <mergeCell ref="B3493:B3501"/>
    <mergeCell ref="B3505:B3506"/>
    <mergeCell ref="B3507:B3509"/>
    <mergeCell ref="B3510:B3513"/>
    <mergeCell ref="B3517:B3518"/>
    <mergeCell ref="B3519:B3521"/>
    <mergeCell ref="B3522:B3525"/>
    <mergeCell ref="B3529:B3530"/>
    <mergeCell ref="B3531:B3534"/>
    <mergeCell ref="B3535:B3538"/>
    <mergeCell ref="B3542:B3543"/>
    <mergeCell ref="B3544:B3548"/>
    <mergeCell ref="B3549:B3557"/>
    <mergeCell ref="F113:F116"/>
    <mergeCell ref="F204:F210"/>
    <mergeCell ref="C3363:G3364"/>
    <mergeCell ref="C3410:G3411"/>
    <mergeCell ref="C275:G276"/>
    <mergeCell ref="C260:G261"/>
    <mergeCell ref="C231:G232"/>
    <mergeCell ref="C298:G299"/>
    <mergeCell ref="C374:G375"/>
    <mergeCell ref="C286:G287"/>
    <mergeCell ref="C325:G326"/>
    <mergeCell ref="C389:G390"/>
    <mergeCell ref="C464:G465"/>
    <mergeCell ref="C448:G449"/>
    <mergeCell ref="C311:G312"/>
    <mergeCell ref="C198:G199"/>
    <mergeCell ref="C172:G173"/>
    <mergeCell ref="C159:G160"/>
    <mergeCell ref="C146:G147"/>
    <mergeCell ref="C134:G135"/>
  </mergeCells>
  <phoneticPr fontId="19" type="noConversion"/>
  <pageMargins left="0.69930555555555596" right="0.69930555555555596" top="0.75" bottom="0.75" header="0.3" footer="0.3"/>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5"/>
  <dimension ref="B1:D2334"/>
  <sheetViews>
    <sheetView workbookViewId="0">
      <pane ySplit="2" topLeftCell="A2241" activePane="bottomLeft" state="frozen"/>
      <selection pane="bottomLeft" activeCell="B2332" sqref="B2332"/>
    </sheetView>
  </sheetViews>
  <sheetFormatPr defaultColWidth="9" defaultRowHeight="13.5"/>
  <cols>
    <col min="1" max="1" width="1" style="1" customWidth="1"/>
    <col min="2" max="2" width="21.875" style="1" customWidth="1"/>
    <col min="3" max="3" width="17.625" style="1" customWidth="1"/>
    <col min="4" max="4" width="21.875" style="1" customWidth="1"/>
    <col min="5" max="16384" width="9" style="1"/>
  </cols>
  <sheetData>
    <row r="1" spans="2:4" ht="6.75" customHeight="1"/>
    <row r="2" spans="2:4">
      <c r="B2" s="40" t="s">
        <v>1874</v>
      </c>
      <c r="C2" s="41" t="s">
        <v>1875</v>
      </c>
      <c r="D2" s="42" t="s">
        <v>1876</v>
      </c>
    </row>
    <row r="3" spans="2:4">
      <c r="B3" s="43" t="s">
        <v>601</v>
      </c>
      <c r="C3" s="44">
        <v>501</v>
      </c>
      <c r="D3" s="45" t="s">
        <v>339</v>
      </c>
    </row>
    <row r="4" spans="2:4">
      <c r="B4" s="43" t="s">
        <v>1877</v>
      </c>
      <c r="C4" s="44">
        <v>502</v>
      </c>
      <c r="D4" s="45" t="s">
        <v>339</v>
      </c>
    </row>
    <row r="5" spans="2:4">
      <c r="B5" s="43" t="s">
        <v>1878</v>
      </c>
      <c r="C5" s="44">
        <v>503</v>
      </c>
      <c r="D5" s="45" t="s">
        <v>339</v>
      </c>
    </row>
    <row r="6" spans="2:4">
      <c r="B6" s="43" t="s">
        <v>1879</v>
      </c>
      <c r="C6" s="44">
        <v>504</v>
      </c>
      <c r="D6" s="45" t="s">
        <v>339</v>
      </c>
    </row>
    <row r="7" spans="2:4">
      <c r="B7" s="43" t="s">
        <v>1880</v>
      </c>
      <c r="C7" s="44">
        <v>505</v>
      </c>
      <c r="D7" s="45" t="s">
        <v>339</v>
      </c>
    </row>
    <row r="8" spans="2:4">
      <c r="B8" s="43" t="s">
        <v>1881</v>
      </c>
      <c r="C8" s="44">
        <v>506</v>
      </c>
      <c r="D8" s="45" t="s">
        <v>339</v>
      </c>
    </row>
    <row r="9" spans="2:4">
      <c r="B9" s="43" t="s">
        <v>336</v>
      </c>
      <c r="C9" s="44">
        <v>507</v>
      </c>
      <c r="D9" s="45" t="s">
        <v>339</v>
      </c>
    </row>
    <row r="10" spans="2:4">
      <c r="B10" s="43" t="s">
        <v>338</v>
      </c>
      <c r="C10" s="44">
        <v>508</v>
      </c>
      <c r="D10" s="45" t="s">
        <v>339</v>
      </c>
    </row>
    <row r="11" spans="2:4">
      <c r="B11" s="43" t="s">
        <v>1882</v>
      </c>
      <c r="C11" s="44">
        <v>509</v>
      </c>
      <c r="D11" s="45" t="s">
        <v>339</v>
      </c>
    </row>
    <row r="12" spans="2:4">
      <c r="B12" s="43" t="s">
        <v>1883</v>
      </c>
      <c r="C12" s="44">
        <v>510</v>
      </c>
      <c r="D12" s="45" t="s">
        <v>339</v>
      </c>
    </row>
    <row r="13" spans="2:4">
      <c r="B13" s="43" t="s">
        <v>524</v>
      </c>
      <c r="C13" s="44">
        <v>511</v>
      </c>
      <c r="D13" s="45" t="s">
        <v>339</v>
      </c>
    </row>
    <row r="14" spans="2:4">
      <c r="B14" s="43" t="s">
        <v>1884</v>
      </c>
      <c r="C14" s="44">
        <v>512</v>
      </c>
      <c r="D14" s="45" t="s">
        <v>339</v>
      </c>
    </row>
    <row r="15" spans="2:4">
      <c r="B15" s="43" t="s">
        <v>1885</v>
      </c>
      <c r="C15" s="44">
        <v>513</v>
      </c>
      <c r="D15" s="45" t="s">
        <v>339</v>
      </c>
    </row>
    <row r="16" spans="2:4">
      <c r="B16" s="43" t="s">
        <v>1886</v>
      </c>
      <c r="C16" s="44">
        <v>514</v>
      </c>
      <c r="D16" s="45" t="s">
        <v>339</v>
      </c>
    </row>
    <row r="17" spans="2:4">
      <c r="B17" s="43" t="s">
        <v>1397</v>
      </c>
      <c r="C17" s="44">
        <v>515</v>
      </c>
      <c r="D17" s="45" t="s">
        <v>339</v>
      </c>
    </row>
    <row r="18" spans="2:4">
      <c r="B18" s="43" t="s">
        <v>1887</v>
      </c>
      <c r="C18" s="44">
        <v>516</v>
      </c>
      <c r="D18" s="45" t="s">
        <v>339</v>
      </c>
    </row>
    <row r="19" spans="2:4">
      <c r="B19" s="43" t="s">
        <v>1238</v>
      </c>
      <c r="C19" s="44">
        <v>517</v>
      </c>
      <c r="D19" s="45" t="s">
        <v>339</v>
      </c>
    </row>
    <row r="20" spans="2:4">
      <c r="B20" s="43" t="s">
        <v>1888</v>
      </c>
      <c r="C20" s="44">
        <v>518</v>
      </c>
      <c r="D20" s="45" t="s">
        <v>339</v>
      </c>
    </row>
    <row r="21" spans="2:4">
      <c r="B21" s="43" t="s">
        <v>1889</v>
      </c>
      <c r="C21" s="44">
        <v>519</v>
      </c>
      <c r="D21" s="45" t="s">
        <v>339</v>
      </c>
    </row>
    <row r="22" spans="2:4">
      <c r="B22" s="43" t="s">
        <v>1890</v>
      </c>
      <c r="C22" s="44">
        <v>520</v>
      </c>
      <c r="D22" s="45" t="s">
        <v>339</v>
      </c>
    </row>
    <row r="23" spans="2:4">
      <c r="B23" s="43" t="s">
        <v>1891</v>
      </c>
      <c r="C23" s="44">
        <v>521</v>
      </c>
      <c r="D23" s="45" t="s">
        <v>339</v>
      </c>
    </row>
    <row r="24" spans="2:4">
      <c r="B24" s="43" t="s">
        <v>869</v>
      </c>
      <c r="C24" s="44">
        <v>522</v>
      </c>
      <c r="D24" s="45" t="s">
        <v>339</v>
      </c>
    </row>
    <row r="25" spans="2:4">
      <c r="B25" s="43" t="s">
        <v>1892</v>
      </c>
      <c r="C25" s="44">
        <v>523</v>
      </c>
      <c r="D25" s="45" t="s">
        <v>339</v>
      </c>
    </row>
    <row r="26" spans="2:4">
      <c r="B26" s="43" t="s">
        <v>683</v>
      </c>
      <c r="C26" s="44">
        <v>524</v>
      </c>
      <c r="D26" s="45" t="s">
        <v>339</v>
      </c>
    </row>
    <row r="27" spans="2:4">
      <c r="B27" s="43" t="s">
        <v>918</v>
      </c>
      <c r="C27" s="44">
        <v>525</v>
      </c>
      <c r="D27" s="45" t="s">
        <v>339</v>
      </c>
    </row>
    <row r="28" spans="2:4">
      <c r="B28" s="43" t="s">
        <v>733</v>
      </c>
      <c r="C28" s="44">
        <v>526</v>
      </c>
      <c r="D28" s="45" t="s">
        <v>339</v>
      </c>
    </row>
    <row r="29" spans="2:4">
      <c r="B29" s="43" t="s">
        <v>936</v>
      </c>
      <c r="C29" s="44">
        <v>527</v>
      </c>
      <c r="D29" s="45" t="s">
        <v>339</v>
      </c>
    </row>
    <row r="30" spans="2:4">
      <c r="B30" s="43" t="s">
        <v>681</v>
      </c>
      <c r="C30" s="44">
        <v>528</v>
      </c>
      <c r="D30" s="45" t="s">
        <v>339</v>
      </c>
    </row>
    <row r="31" spans="2:4">
      <c r="B31" s="43" t="s">
        <v>1893</v>
      </c>
      <c r="C31" s="44">
        <v>529</v>
      </c>
      <c r="D31" s="45" t="s">
        <v>339</v>
      </c>
    </row>
    <row r="32" spans="2:4">
      <c r="B32" s="43" t="s">
        <v>1894</v>
      </c>
      <c r="C32" s="44">
        <v>530</v>
      </c>
      <c r="D32" s="45" t="s">
        <v>339</v>
      </c>
    </row>
    <row r="33" spans="2:4">
      <c r="B33" s="43" t="s">
        <v>379</v>
      </c>
      <c r="C33" s="44">
        <v>531</v>
      </c>
      <c r="D33" s="45" t="s">
        <v>339</v>
      </c>
    </row>
    <row r="34" spans="2:4">
      <c r="B34" s="43" t="s">
        <v>448</v>
      </c>
      <c r="C34" s="44">
        <v>532</v>
      </c>
      <c r="D34" s="45" t="s">
        <v>339</v>
      </c>
    </row>
    <row r="35" spans="2:4">
      <c r="B35" s="43" t="s">
        <v>1835</v>
      </c>
      <c r="C35" s="44">
        <v>533</v>
      </c>
      <c r="D35" s="45" t="s">
        <v>339</v>
      </c>
    </row>
    <row r="36" spans="2:4">
      <c r="B36" s="43" t="s">
        <v>1895</v>
      </c>
      <c r="C36" s="44">
        <v>534</v>
      </c>
      <c r="D36" s="45" t="s">
        <v>339</v>
      </c>
    </row>
    <row r="37" spans="2:4">
      <c r="B37" s="43" t="s">
        <v>1896</v>
      </c>
      <c r="C37" s="44">
        <v>535</v>
      </c>
      <c r="D37" s="45" t="s">
        <v>339</v>
      </c>
    </row>
    <row r="38" spans="2:4">
      <c r="B38" s="43" t="s">
        <v>1897</v>
      </c>
      <c r="C38" s="44">
        <v>536</v>
      </c>
      <c r="D38" s="45" t="s">
        <v>339</v>
      </c>
    </row>
    <row r="39" spans="2:4">
      <c r="B39" s="43" t="s">
        <v>1898</v>
      </c>
      <c r="C39" s="44">
        <v>537</v>
      </c>
      <c r="D39" s="45" t="s">
        <v>339</v>
      </c>
    </row>
    <row r="40" spans="2:4">
      <c r="B40" s="43" t="s">
        <v>1899</v>
      </c>
      <c r="C40" s="44">
        <v>538</v>
      </c>
      <c r="D40" s="45" t="s">
        <v>339</v>
      </c>
    </row>
    <row r="41" spans="2:4">
      <c r="B41" s="43" t="s">
        <v>1900</v>
      </c>
      <c r="C41" s="44">
        <v>539</v>
      </c>
      <c r="D41" s="45" t="s">
        <v>339</v>
      </c>
    </row>
    <row r="42" spans="2:4">
      <c r="B42" s="43" t="s">
        <v>1358</v>
      </c>
      <c r="C42" s="44">
        <v>540</v>
      </c>
      <c r="D42" s="45" t="s">
        <v>339</v>
      </c>
    </row>
    <row r="43" spans="2:4">
      <c r="B43" s="43" t="s">
        <v>799</v>
      </c>
      <c r="C43" s="44">
        <v>541</v>
      </c>
      <c r="D43" s="45" t="s">
        <v>339</v>
      </c>
    </row>
    <row r="44" spans="2:4">
      <c r="B44" s="43" t="s">
        <v>1901</v>
      </c>
      <c r="C44" s="44">
        <v>542</v>
      </c>
      <c r="D44" s="45" t="s">
        <v>339</v>
      </c>
    </row>
    <row r="45" spans="2:4">
      <c r="B45" s="43" t="s">
        <v>795</v>
      </c>
      <c r="C45" s="44">
        <v>543</v>
      </c>
      <c r="D45" s="45" t="s">
        <v>339</v>
      </c>
    </row>
    <row r="46" spans="2:4">
      <c r="B46" s="43" t="s">
        <v>1902</v>
      </c>
      <c r="C46" s="44">
        <v>544</v>
      </c>
      <c r="D46" s="45" t="s">
        <v>339</v>
      </c>
    </row>
    <row r="47" spans="2:4">
      <c r="B47" s="43" t="s">
        <v>797</v>
      </c>
      <c r="C47" s="44">
        <v>545</v>
      </c>
      <c r="D47" s="45" t="s">
        <v>339</v>
      </c>
    </row>
    <row r="48" spans="2:4">
      <c r="B48" s="43" t="s">
        <v>1903</v>
      </c>
      <c r="C48" s="44">
        <v>546</v>
      </c>
      <c r="D48" s="45" t="s">
        <v>339</v>
      </c>
    </row>
    <row r="49" spans="2:4">
      <c r="B49" s="43" t="s">
        <v>1904</v>
      </c>
      <c r="C49" s="44">
        <v>547</v>
      </c>
      <c r="D49" s="45" t="s">
        <v>339</v>
      </c>
    </row>
    <row r="50" spans="2:4">
      <c r="B50" s="43" t="s">
        <v>1905</v>
      </c>
      <c r="C50" s="44">
        <v>548</v>
      </c>
      <c r="D50" s="45" t="s">
        <v>339</v>
      </c>
    </row>
    <row r="51" spans="2:4">
      <c r="B51" s="43" t="s">
        <v>1906</v>
      </c>
      <c r="C51" s="44">
        <v>549</v>
      </c>
      <c r="D51" s="45" t="s">
        <v>339</v>
      </c>
    </row>
    <row r="52" spans="2:4">
      <c r="B52" s="43" t="s">
        <v>446</v>
      </c>
      <c r="C52" s="44">
        <v>550</v>
      </c>
      <c r="D52" s="45" t="s">
        <v>339</v>
      </c>
    </row>
    <row r="53" spans="2:4">
      <c r="B53" s="43" t="s">
        <v>1399</v>
      </c>
      <c r="C53" s="44">
        <v>551</v>
      </c>
      <c r="D53" s="45" t="s">
        <v>339</v>
      </c>
    </row>
    <row r="54" spans="2:4">
      <c r="B54" s="43" t="s">
        <v>452</v>
      </c>
      <c r="C54" s="44">
        <v>552</v>
      </c>
      <c r="D54" s="45" t="s">
        <v>339</v>
      </c>
    </row>
    <row r="55" spans="2:4">
      <c r="B55" s="43" t="s">
        <v>1907</v>
      </c>
      <c r="C55" s="44">
        <v>553</v>
      </c>
      <c r="D55" s="45" t="s">
        <v>339</v>
      </c>
    </row>
    <row r="56" spans="2:4">
      <c r="B56" s="43" t="s">
        <v>1908</v>
      </c>
      <c r="C56" s="44">
        <v>554</v>
      </c>
      <c r="D56" s="45" t="s">
        <v>339</v>
      </c>
    </row>
    <row r="57" spans="2:4">
      <c r="B57" s="43" t="s">
        <v>1909</v>
      </c>
      <c r="C57" s="44">
        <v>555</v>
      </c>
      <c r="D57" s="45" t="s">
        <v>339</v>
      </c>
    </row>
    <row r="58" spans="2:4">
      <c r="B58" s="43" t="s">
        <v>1320</v>
      </c>
      <c r="C58" s="44">
        <v>556</v>
      </c>
      <c r="D58" s="45" t="s">
        <v>339</v>
      </c>
    </row>
    <row r="59" spans="2:4">
      <c r="B59" s="43" t="s">
        <v>1318</v>
      </c>
      <c r="C59" s="44">
        <v>557</v>
      </c>
      <c r="D59" s="45" t="s">
        <v>339</v>
      </c>
    </row>
    <row r="60" spans="2:4">
      <c r="B60" s="43" t="s">
        <v>1709</v>
      </c>
      <c r="C60" s="44">
        <v>558</v>
      </c>
      <c r="D60" s="45" t="s">
        <v>339</v>
      </c>
    </row>
    <row r="61" spans="2:4">
      <c r="B61" s="43" t="s">
        <v>1910</v>
      </c>
      <c r="C61" s="44">
        <v>559</v>
      </c>
      <c r="D61" s="45" t="s">
        <v>339</v>
      </c>
    </row>
    <row r="62" spans="2:4">
      <c r="B62" s="43" t="s">
        <v>1911</v>
      </c>
      <c r="C62" s="44">
        <v>560</v>
      </c>
      <c r="D62" s="45" t="s">
        <v>339</v>
      </c>
    </row>
    <row r="63" spans="2:4">
      <c r="B63" s="43" t="s">
        <v>1912</v>
      </c>
      <c r="C63" s="44">
        <v>561</v>
      </c>
      <c r="D63" s="45" t="s">
        <v>339</v>
      </c>
    </row>
    <row r="64" spans="2:4">
      <c r="B64" s="43" t="s">
        <v>1913</v>
      </c>
      <c r="C64" s="44">
        <v>562</v>
      </c>
      <c r="D64" s="45" t="s">
        <v>339</v>
      </c>
    </row>
    <row r="65" spans="2:4">
      <c r="B65" s="43" t="s">
        <v>1914</v>
      </c>
      <c r="C65" s="44">
        <v>563</v>
      </c>
      <c r="D65" s="45" t="s">
        <v>339</v>
      </c>
    </row>
    <row r="66" spans="2:4">
      <c r="B66" s="43" t="s">
        <v>1720</v>
      </c>
      <c r="C66" s="44">
        <v>564</v>
      </c>
      <c r="D66" s="45" t="s">
        <v>339</v>
      </c>
    </row>
    <row r="67" spans="2:4">
      <c r="B67" s="43" t="s">
        <v>1915</v>
      </c>
      <c r="C67" s="44">
        <v>565</v>
      </c>
      <c r="D67" s="45" t="s">
        <v>339</v>
      </c>
    </row>
    <row r="68" spans="2:4">
      <c r="B68" s="43" t="s">
        <v>344</v>
      </c>
      <c r="C68" s="44">
        <v>566</v>
      </c>
      <c r="D68" s="45" t="s">
        <v>339</v>
      </c>
    </row>
    <row r="69" spans="2:4">
      <c r="B69" s="43" t="s">
        <v>1916</v>
      </c>
      <c r="C69" s="44">
        <v>567</v>
      </c>
      <c r="D69" s="45" t="s">
        <v>339</v>
      </c>
    </row>
    <row r="70" spans="2:4">
      <c r="B70" s="43" t="s">
        <v>809</v>
      </c>
      <c r="C70" s="44">
        <v>568</v>
      </c>
      <c r="D70" s="45" t="s">
        <v>339</v>
      </c>
    </row>
    <row r="71" spans="2:4">
      <c r="B71" s="43" t="s">
        <v>1821</v>
      </c>
      <c r="C71" s="44">
        <v>569</v>
      </c>
      <c r="D71" s="45" t="s">
        <v>339</v>
      </c>
    </row>
    <row r="72" spans="2:4">
      <c r="B72" s="43" t="s">
        <v>435</v>
      </c>
      <c r="C72" s="44">
        <v>570</v>
      </c>
      <c r="D72" s="45" t="s">
        <v>339</v>
      </c>
    </row>
    <row r="73" spans="2:4">
      <c r="B73" s="43" t="s">
        <v>405</v>
      </c>
      <c r="C73" s="44">
        <v>571</v>
      </c>
      <c r="D73" s="45" t="s">
        <v>339</v>
      </c>
    </row>
    <row r="74" spans="2:4">
      <c r="B74" s="43" t="s">
        <v>1917</v>
      </c>
      <c r="C74" s="44">
        <v>572</v>
      </c>
      <c r="D74" s="45" t="s">
        <v>339</v>
      </c>
    </row>
    <row r="75" spans="2:4">
      <c r="B75" s="43" t="s">
        <v>1918</v>
      </c>
      <c r="C75" s="44">
        <v>573</v>
      </c>
      <c r="D75" s="45" t="s">
        <v>339</v>
      </c>
    </row>
    <row r="76" spans="2:4">
      <c r="B76" s="43" t="s">
        <v>1919</v>
      </c>
      <c r="C76" s="44">
        <v>574</v>
      </c>
      <c r="D76" s="45" t="s">
        <v>339</v>
      </c>
    </row>
    <row r="77" spans="2:4">
      <c r="B77" s="43" t="s">
        <v>790</v>
      </c>
      <c r="C77" s="44">
        <v>575</v>
      </c>
      <c r="D77" s="45" t="s">
        <v>339</v>
      </c>
    </row>
    <row r="78" spans="2:4">
      <c r="B78" s="43" t="s">
        <v>1920</v>
      </c>
      <c r="C78" s="44">
        <v>576</v>
      </c>
      <c r="D78" s="45" t="s">
        <v>339</v>
      </c>
    </row>
    <row r="79" spans="2:4">
      <c r="B79" s="43" t="s">
        <v>1921</v>
      </c>
      <c r="C79" s="44">
        <v>577</v>
      </c>
      <c r="D79" s="45" t="s">
        <v>339</v>
      </c>
    </row>
    <row r="80" spans="2:4">
      <c r="B80" s="43" t="s">
        <v>1922</v>
      </c>
      <c r="C80" s="44">
        <v>578</v>
      </c>
      <c r="D80" s="45" t="s">
        <v>339</v>
      </c>
    </row>
    <row r="81" spans="2:4">
      <c r="B81" s="43" t="s">
        <v>1923</v>
      </c>
      <c r="C81" s="44">
        <v>579</v>
      </c>
      <c r="D81" s="45" t="s">
        <v>339</v>
      </c>
    </row>
    <row r="82" spans="2:4">
      <c r="B82" s="43" t="s">
        <v>1924</v>
      </c>
      <c r="C82" s="44">
        <v>580</v>
      </c>
      <c r="D82" s="45" t="s">
        <v>339</v>
      </c>
    </row>
    <row r="83" spans="2:4">
      <c r="B83" s="43" t="s">
        <v>1925</v>
      </c>
      <c r="C83" s="44">
        <v>581</v>
      </c>
      <c r="D83" s="45" t="s">
        <v>339</v>
      </c>
    </row>
    <row r="84" spans="2:4">
      <c r="B84" s="43" t="s">
        <v>1926</v>
      </c>
      <c r="C84" s="44">
        <v>582</v>
      </c>
      <c r="D84" s="45" t="s">
        <v>339</v>
      </c>
    </row>
    <row r="85" spans="2:4">
      <c r="B85" s="43" t="s">
        <v>1927</v>
      </c>
      <c r="C85" s="44">
        <v>583</v>
      </c>
      <c r="D85" s="45" t="s">
        <v>339</v>
      </c>
    </row>
    <row r="86" spans="2:4">
      <c r="B86" s="43" t="s">
        <v>1928</v>
      </c>
      <c r="C86" s="44">
        <v>584</v>
      </c>
      <c r="D86" s="45" t="s">
        <v>339</v>
      </c>
    </row>
    <row r="87" spans="2:4">
      <c r="B87" s="43" t="s">
        <v>1929</v>
      </c>
      <c r="C87" s="44">
        <v>585</v>
      </c>
      <c r="D87" s="45" t="s">
        <v>339</v>
      </c>
    </row>
    <row r="88" spans="2:4">
      <c r="B88" s="43" t="s">
        <v>1930</v>
      </c>
      <c r="C88" s="44">
        <v>586</v>
      </c>
      <c r="D88" s="45" t="s">
        <v>339</v>
      </c>
    </row>
    <row r="89" spans="2:4">
      <c r="B89" s="43" t="s">
        <v>669</v>
      </c>
      <c r="C89" s="44">
        <v>587</v>
      </c>
      <c r="D89" s="45" t="s">
        <v>339</v>
      </c>
    </row>
    <row r="90" spans="2:4">
      <c r="B90" s="43" t="s">
        <v>1931</v>
      </c>
      <c r="C90" s="44">
        <v>588</v>
      </c>
      <c r="D90" s="45" t="s">
        <v>339</v>
      </c>
    </row>
    <row r="91" spans="2:4">
      <c r="B91" s="43" t="s">
        <v>1932</v>
      </c>
      <c r="C91" s="44">
        <v>589</v>
      </c>
      <c r="D91" s="45" t="s">
        <v>339</v>
      </c>
    </row>
    <row r="92" spans="2:4">
      <c r="B92" s="43" t="s">
        <v>486</v>
      </c>
      <c r="C92" s="44">
        <v>590</v>
      </c>
      <c r="D92" s="45" t="s">
        <v>339</v>
      </c>
    </row>
    <row r="93" spans="2:4">
      <c r="B93" s="43" t="s">
        <v>661</v>
      </c>
      <c r="C93" s="44">
        <v>591</v>
      </c>
      <c r="D93" s="45" t="s">
        <v>339</v>
      </c>
    </row>
    <row r="94" spans="2:4">
      <c r="B94" s="43" t="s">
        <v>1933</v>
      </c>
      <c r="C94" s="44">
        <v>592</v>
      </c>
      <c r="D94" s="45" t="s">
        <v>339</v>
      </c>
    </row>
    <row r="95" spans="2:4">
      <c r="B95" s="43" t="s">
        <v>1934</v>
      </c>
      <c r="C95" s="44">
        <v>593</v>
      </c>
      <c r="D95" s="45" t="s">
        <v>339</v>
      </c>
    </row>
    <row r="96" spans="2:4">
      <c r="B96" s="43" t="s">
        <v>671</v>
      </c>
      <c r="C96" s="44">
        <v>594</v>
      </c>
      <c r="D96" s="45" t="s">
        <v>339</v>
      </c>
    </row>
    <row r="97" spans="2:4">
      <c r="B97" s="43" t="s">
        <v>841</v>
      </c>
      <c r="C97" s="44">
        <v>595</v>
      </c>
      <c r="D97" s="45" t="s">
        <v>339</v>
      </c>
    </row>
    <row r="98" spans="2:4">
      <c r="B98" s="43" t="s">
        <v>1935</v>
      </c>
      <c r="C98" s="44">
        <v>596</v>
      </c>
      <c r="D98" s="45" t="s">
        <v>339</v>
      </c>
    </row>
    <row r="99" spans="2:4">
      <c r="B99" s="43" t="s">
        <v>1936</v>
      </c>
      <c r="C99" s="44">
        <v>597</v>
      </c>
      <c r="D99" s="45" t="s">
        <v>339</v>
      </c>
    </row>
    <row r="100" spans="2:4">
      <c r="B100" s="43" t="s">
        <v>411</v>
      </c>
      <c r="C100" s="44">
        <v>598</v>
      </c>
      <c r="D100" s="45" t="s">
        <v>339</v>
      </c>
    </row>
    <row r="101" spans="2:4">
      <c r="B101" s="43" t="s">
        <v>361</v>
      </c>
      <c r="C101" s="44">
        <v>599</v>
      </c>
      <c r="D101" s="45" t="s">
        <v>339</v>
      </c>
    </row>
    <row r="102" spans="2:4">
      <c r="B102" s="43" t="s">
        <v>1937</v>
      </c>
      <c r="C102" s="44">
        <v>600</v>
      </c>
      <c r="D102" s="45" t="s">
        <v>339</v>
      </c>
    </row>
    <row r="103" spans="2:4">
      <c r="B103" s="43" t="s">
        <v>1938</v>
      </c>
      <c r="C103" s="44">
        <v>601</v>
      </c>
      <c r="D103" s="45" t="s">
        <v>339</v>
      </c>
    </row>
    <row r="104" spans="2:4">
      <c r="B104" s="43" t="s">
        <v>1939</v>
      </c>
      <c r="C104" s="44">
        <v>602</v>
      </c>
      <c r="D104" s="45" t="s">
        <v>339</v>
      </c>
    </row>
    <row r="105" spans="2:4">
      <c r="B105" s="43" t="s">
        <v>815</v>
      </c>
      <c r="C105" s="44">
        <v>603</v>
      </c>
      <c r="D105" s="45" t="s">
        <v>339</v>
      </c>
    </row>
    <row r="106" spans="2:4">
      <c r="B106" s="43" t="s">
        <v>1940</v>
      </c>
      <c r="C106" s="44">
        <v>604</v>
      </c>
      <c r="D106" s="45" t="s">
        <v>339</v>
      </c>
    </row>
    <row r="107" spans="2:4">
      <c r="B107" s="43" t="s">
        <v>402</v>
      </c>
      <c r="C107" s="44">
        <v>605</v>
      </c>
      <c r="D107" s="45" t="s">
        <v>339</v>
      </c>
    </row>
    <row r="108" spans="2:4">
      <c r="B108" s="43" t="s">
        <v>1941</v>
      </c>
      <c r="C108" s="44">
        <v>606</v>
      </c>
      <c r="D108" s="45" t="s">
        <v>339</v>
      </c>
    </row>
    <row r="109" spans="2:4">
      <c r="B109" s="43" t="s">
        <v>1942</v>
      </c>
      <c r="C109" s="44">
        <v>607</v>
      </c>
      <c r="D109" s="45" t="s">
        <v>339</v>
      </c>
    </row>
    <row r="110" spans="2:4">
      <c r="B110" s="43" t="s">
        <v>1943</v>
      </c>
      <c r="C110" s="44">
        <v>608</v>
      </c>
      <c r="D110" s="45" t="s">
        <v>339</v>
      </c>
    </row>
    <row r="111" spans="2:4">
      <c r="B111" s="43" t="s">
        <v>1944</v>
      </c>
      <c r="C111" s="44">
        <v>609</v>
      </c>
      <c r="D111" s="45" t="s">
        <v>339</v>
      </c>
    </row>
    <row r="112" spans="2:4">
      <c r="B112" s="43" t="s">
        <v>417</v>
      </c>
      <c r="C112" s="44">
        <v>610</v>
      </c>
      <c r="D112" s="45" t="s">
        <v>339</v>
      </c>
    </row>
    <row r="113" spans="2:4">
      <c r="B113" s="43" t="s">
        <v>735</v>
      </c>
      <c r="C113" s="44">
        <v>611</v>
      </c>
      <c r="D113" s="45" t="s">
        <v>339</v>
      </c>
    </row>
    <row r="114" spans="2:4">
      <c r="B114" s="43" t="s">
        <v>1945</v>
      </c>
      <c r="C114" s="44">
        <v>612</v>
      </c>
      <c r="D114" s="45" t="s">
        <v>339</v>
      </c>
    </row>
    <row r="115" spans="2:4">
      <c r="B115" s="43" t="s">
        <v>420</v>
      </c>
      <c r="C115" s="44">
        <v>613</v>
      </c>
      <c r="D115" s="45" t="s">
        <v>339</v>
      </c>
    </row>
    <row r="116" spans="2:4">
      <c r="B116" s="43" t="s">
        <v>1946</v>
      </c>
      <c r="C116" s="44">
        <v>614</v>
      </c>
      <c r="D116" s="45" t="s">
        <v>339</v>
      </c>
    </row>
    <row r="117" spans="2:4">
      <c r="B117" s="43" t="s">
        <v>805</v>
      </c>
      <c r="C117" s="44">
        <v>615</v>
      </c>
      <c r="D117" s="45" t="s">
        <v>339</v>
      </c>
    </row>
    <row r="118" spans="2:4">
      <c r="B118" s="43" t="s">
        <v>1947</v>
      </c>
      <c r="C118" s="44">
        <v>616</v>
      </c>
      <c r="D118" s="45" t="s">
        <v>339</v>
      </c>
    </row>
    <row r="119" spans="2:4">
      <c r="B119" s="43" t="s">
        <v>543</v>
      </c>
      <c r="C119" s="44">
        <v>617</v>
      </c>
      <c r="D119" s="45" t="s">
        <v>339</v>
      </c>
    </row>
    <row r="120" spans="2:4">
      <c r="B120" s="43" t="s">
        <v>484</v>
      </c>
      <c r="C120" s="44">
        <v>618</v>
      </c>
      <c r="D120" s="45" t="s">
        <v>339</v>
      </c>
    </row>
    <row r="121" spans="2:4">
      <c r="B121" s="43" t="s">
        <v>541</v>
      </c>
      <c r="C121" s="44">
        <v>619</v>
      </c>
      <c r="D121" s="45" t="s">
        <v>339</v>
      </c>
    </row>
    <row r="122" spans="2:4">
      <c r="B122" s="43" t="s">
        <v>1370</v>
      </c>
      <c r="C122" s="44">
        <v>620</v>
      </c>
      <c r="D122" s="45" t="s">
        <v>339</v>
      </c>
    </row>
    <row r="123" spans="2:4">
      <c r="B123" s="43" t="s">
        <v>1248</v>
      </c>
      <c r="C123" s="44">
        <v>621</v>
      </c>
      <c r="D123" s="45" t="s">
        <v>339</v>
      </c>
    </row>
    <row r="124" spans="2:4">
      <c r="B124" s="43" t="s">
        <v>1466</v>
      </c>
      <c r="C124" s="44">
        <v>622</v>
      </c>
      <c r="D124" s="45" t="s">
        <v>339</v>
      </c>
    </row>
    <row r="125" spans="2:4">
      <c r="B125" s="43" t="s">
        <v>1948</v>
      </c>
      <c r="C125" s="44">
        <v>623</v>
      </c>
      <c r="D125" s="45" t="s">
        <v>339</v>
      </c>
    </row>
    <row r="126" spans="2:4">
      <c r="B126" s="43" t="s">
        <v>1949</v>
      </c>
      <c r="C126" s="44">
        <v>624</v>
      </c>
      <c r="D126" s="45" t="s">
        <v>339</v>
      </c>
    </row>
    <row r="127" spans="2:4">
      <c r="B127" s="43" t="s">
        <v>1601</v>
      </c>
      <c r="C127" s="44">
        <v>625</v>
      </c>
      <c r="D127" s="45" t="s">
        <v>339</v>
      </c>
    </row>
    <row r="128" spans="2:4">
      <c r="B128" s="43" t="s">
        <v>1950</v>
      </c>
      <c r="C128" s="44">
        <v>626</v>
      </c>
      <c r="D128" s="45" t="s">
        <v>339</v>
      </c>
    </row>
    <row r="129" spans="2:4">
      <c r="B129" s="43" t="s">
        <v>1951</v>
      </c>
      <c r="C129" s="44">
        <v>627</v>
      </c>
      <c r="D129" s="45" t="s">
        <v>339</v>
      </c>
    </row>
    <row r="130" spans="2:4">
      <c r="B130" s="43" t="s">
        <v>1952</v>
      </c>
      <c r="C130" s="44">
        <v>628</v>
      </c>
      <c r="D130" s="45" t="s">
        <v>339</v>
      </c>
    </row>
    <row r="131" spans="2:4">
      <c r="B131" s="43" t="s">
        <v>1953</v>
      </c>
      <c r="C131" s="44">
        <v>629</v>
      </c>
      <c r="D131" s="45" t="s">
        <v>339</v>
      </c>
    </row>
    <row r="132" spans="2:4">
      <c r="B132" s="43" t="s">
        <v>1954</v>
      </c>
      <c r="C132" s="44">
        <v>630</v>
      </c>
      <c r="D132" s="45" t="s">
        <v>339</v>
      </c>
    </row>
    <row r="133" spans="2:4">
      <c r="B133" s="43" t="s">
        <v>427</v>
      </c>
      <c r="C133" s="44">
        <v>631</v>
      </c>
      <c r="D133" s="45" t="s">
        <v>339</v>
      </c>
    </row>
    <row r="134" spans="2:4">
      <c r="B134" s="43" t="s">
        <v>1652</v>
      </c>
      <c r="C134" s="44">
        <v>632</v>
      </c>
      <c r="D134" s="45" t="s">
        <v>339</v>
      </c>
    </row>
    <row r="135" spans="2:4">
      <c r="B135" s="43" t="s">
        <v>1955</v>
      </c>
      <c r="C135" s="44">
        <v>633</v>
      </c>
      <c r="D135" s="45" t="s">
        <v>339</v>
      </c>
    </row>
    <row r="136" spans="2:4">
      <c r="B136" s="43" t="s">
        <v>1599</v>
      </c>
      <c r="C136" s="44">
        <v>634</v>
      </c>
      <c r="D136" s="45" t="s">
        <v>339</v>
      </c>
    </row>
    <row r="137" spans="2:4">
      <c r="B137" s="43" t="s">
        <v>1956</v>
      </c>
      <c r="C137" s="44">
        <v>635</v>
      </c>
      <c r="D137" s="45" t="s">
        <v>339</v>
      </c>
    </row>
    <row r="138" spans="2:4">
      <c r="B138" s="43" t="s">
        <v>821</v>
      </c>
      <c r="C138" s="44">
        <v>636</v>
      </c>
      <c r="D138" s="45" t="s">
        <v>339</v>
      </c>
    </row>
    <row r="139" spans="2:4">
      <c r="B139" s="43" t="s">
        <v>1957</v>
      </c>
      <c r="C139" s="44">
        <v>637</v>
      </c>
      <c r="D139" s="45" t="s">
        <v>339</v>
      </c>
    </row>
    <row r="140" spans="2:4">
      <c r="B140" s="43" t="s">
        <v>1958</v>
      </c>
      <c r="C140" s="44">
        <v>638</v>
      </c>
      <c r="D140" s="45" t="s">
        <v>339</v>
      </c>
    </row>
    <row r="141" spans="2:4">
      <c r="B141" s="43" t="s">
        <v>1959</v>
      </c>
      <c r="C141" s="44">
        <v>639</v>
      </c>
      <c r="D141" s="45" t="s">
        <v>339</v>
      </c>
    </row>
    <row r="142" spans="2:4">
      <c r="B142" s="43" t="s">
        <v>429</v>
      </c>
      <c r="C142" s="44">
        <v>640</v>
      </c>
      <c r="D142" s="45" t="s">
        <v>339</v>
      </c>
    </row>
    <row r="143" spans="2:4">
      <c r="B143" s="43" t="s">
        <v>922</v>
      </c>
      <c r="C143" s="44">
        <v>641</v>
      </c>
      <c r="D143" s="45" t="s">
        <v>339</v>
      </c>
    </row>
    <row r="144" spans="2:4">
      <c r="B144" s="43" t="s">
        <v>1088</v>
      </c>
      <c r="C144" s="44">
        <v>642</v>
      </c>
      <c r="D144" s="45" t="s">
        <v>339</v>
      </c>
    </row>
    <row r="145" spans="2:4">
      <c r="B145" s="43" t="s">
        <v>1650</v>
      </c>
      <c r="C145" s="44">
        <v>643</v>
      </c>
      <c r="D145" s="45" t="s">
        <v>339</v>
      </c>
    </row>
    <row r="146" spans="2:4">
      <c r="B146" s="43" t="s">
        <v>1960</v>
      </c>
      <c r="C146" s="44">
        <v>644</v>
      </c>
      <c r="D146" s="45" t="s">
        <v>339</v>
      </c>
    </row>
    <row r="147" spans="2:4">
      <c r="B147" s="43" t="s">
        <v>520</v>
      </c>
      <c r="C147" s="44">
        <v>645</v>
      </c>
      <c r="D147" s="45" t="s">
        <v>339</v>
      </c>
    </row>
    <row r="148" spans="2:4">
      <c r="B148" s="43" t="s">
        <v>934</v>
      </c>
      <c r="C148" s="44">
        <v>646</v>
      </c>
      <c r="D148" s="45" t="s">
        <v>339</v>
      </c>
    </row>
    <row r="149" spans="2:4">
      <c r="B149" s="43" t="s">
        <v>920</v>
      </c>
      <c r="C149" s="44">
        <v>647</v>
      </c>
      <c r="D149" s="45" t="s">
        <v>339</v>
      </c>
    </row>
    <row r="150" spans="2:4">
      <c r="B150" s="43" t="s">
        <v>1961</v>
      </c>
      <c r="C150" s="44">
        <v>648</v>
      </c>
      <c r="D150" s="45" t="s">
        <v>339</v>
      </c>
    </row>
    <row r="151" spans="2:4">
      <c r="B151" s="43" t="s">
        <v>1962</v>
      </c>
      <c r="C151" s="44">
        <v>649</v>
      </c>
      <c r="D151" s="45" t="s">
        <v>339</v>
      </c>
    </row>
    <row r="152" spans="2:4">
      <c r="B152" s="43" t="s">
        <v>1963</v>
      </c>
      <c r="C152" s="44">
        <v>650</v>
      </c>
      <c r="D152" s="45" t="s">
        <v>339</v>
      </c>
    </row>
    <row r="153" spans="2:4">
      <c r="B153" s="43" t="s">
        <v>367</v>
      </c>
      <c r="C153" s="44">
        <v>651</v>
      </c>
      <c r="D153" s="45" t="s">
        <v>339</v>
      </c>
    </row>
    <row r="154" spans="2:4">
      <c r="B154" s="43" t="s">
        <v>1151</v>
      </c>
      <c r="C154" s="44">
        <v>652</v>
      </c>
      <c r="D154" s="45" t="s">
        <v>339</v>
      </c>
    </row>
    <row r="155" spans="2:4">
      <c r="B155" s="43" t="s">
        <v>1279</v>
      </c>
      <c r="C155" s="44">
        <v>653</v>
      </c>
      <c r="D155" s="45" t="s">
        <v>339</v>
      </c>
    </row>
    <row r="156" spans="2:4">
      <c r="B156" s="43" t="s">
        <v>1964</v>
      </c>
      <c r="C156" s="44">
        <v>654</v>
      </c>
      <c r="D156" s="45" t="s">
        <v>339</v>
      </c>
    </row>
    <row r="157" spans="2:4">
      <c r="B157" s="43" t="s">
        <v>1965</v>
      </c>
      <c r="C157" s="44">
        <v>655</v>
      </c>
      <c r="D157" s="45" t="s">
        <v>339</v>
      </c>
    </row>
    <row r="158" spans="2:4">
      <c r="B158" s="43" t="s">
        <v>1966</v>
      </c>
      <c r="C158" s="44">
        <v>656</v>
      </c>
      <c r="D158" s="45" t="s">
        <v>339</v>
      </c>
    </row>
    <row r="159" spans="2:4">
      <c r="B159" s="43" t="s">
        <v>1967</v>
      </c>
      <c r="C159" s="44">
        <v>657</v>
      </c>
      <c r="D159" s="45" t="s">
        <v>339</v>
      </c>
    </row>
    <row r="160" spans="2:4">
      <c r="B160" s="43" t="s">
        <v>1968</v>
      </c>
      <c r="C160" s="44">
        <v>658</v>
      </c>
      <c r="D160" s="45" t="s">
        <v>339</v>
      </c>
    </row>
    <row r="161" spans="2:4">
      <c r="B161" s="43" t="s">
        <v>1969</v>
      </c>
      <c r="C161" s="44">
        <v>659</v>
      </c>
      <c r="D161" s="45" t="s">
        <v>339</v>
      </c>
    </row>
    <row r="162" spans="2:4">
      <c r="B162" s="43" t="s">
        <v>1970</v>
      </c>
      <c r="C162" s="44">
        <v>660</v>
      </c>
      <c r="D162" s="45" t="s">
        <v>339</v>
      </c>
    </row>
    <row r="163" spans="2:4">
      <c r="B163" s="43" t="s">
        <v>1971</v>
      </c>
      <c r="C163" s="44">
        <v>661</v>
      </c>
      <c r="D163" s="45" t="s">
        <v>339</v>
      </c>
    </row>
    <row r="164" spans="2:4">
      <c r="B164" s="43" t="s">
        <v>1972</v>
      </c>
      <c r="C164" s="44">
        <v>662</v>
      </c>
      <c r="D164" s="45" t="s">
        <v>339</v>
      </c>
    </row>
    <row r="165" spans="2:4">
      <c r="B165" s="43" t="s">
        <v>1973</v>
      </c>
      <c r="C165" s="44">
        <v>663</v>
      </c>
      <c r="D165" s="45" t="s">
        <v>339</v>
      </c>
    </row>
    <row r="166" spans="2:4">
      <c r="B166" s="43" t="s">
        <v>1974</v>
      </c>
      <c r="C166" s="44">
        <v>664</v>
      </c>
      <c r="D166" s="45" t="s">
        <v>339</v>
      </c>
    </row>
    <row r="167" spans="2:4">
      <c r="B167" s="43" t="s">
        <v>1173</v>
      </c>
      <c r="C167" s="44">
        <v>665</v>
      </c>
      <c r="D167" s="45" t="s">
        <v>339</v>
      </c>
    </row>
    <row r="168" spans="2:4">
      <c r="B168" s="43" t="s">
        <v>1975</v>
      </c>
      <c r="C168" s="44">
        <v>666</v>
      </c>
      <c r="D168" s="45" t="s">
        <v>339</v>
      </c>
    </row>
    <row r="169" spans="2:4">
      <c r="B169" s="43" t="s">
        <v>1976</v>
      </c>
      <c r="C169" s="44">
        <v>667</v>
      </c>
      <c r="D169" s="45" t="s">
        <v>339</v>
      </c>
    </row>
    <row r="170" spans="2:4">
      <c r="B170" s="43" t="s">
        <v>1977</v>
      </c>
      <c r="C170" s="44">
        <v>668</v>
      </c>
      <c r="D170" s="45" t="s">
        <v>339</v>
      </c>
    </row>
    <row r="171" spans="2:4">
      <c r="B171" s="43" t="s">
        <v>1978</v>
      </c>
      <c r="C171" s="44">
        <v>669</v>
      </c>
      <c r="D171" s="45" t="s">
        <v>339</v>
      </c>
    </row>
    <row r="172" spans="2:4">
      <c r="B172" s="43" t="s">
        <v>1979</v>
      </c>
      <c r="C172" s="44">
        <v>670</v>
      </c>
      <c r="D172" s="45" t="s">
        <v>339</v>
      </c>
    </row>
    <row r="173" spans="2:4">
      <c r="B173" s="43" t="s">
        <v>832</v>
      </c>
      <c r="C173" s="44">
        <v>671</v>
      </c>
      <c r="D173" s="45" t="s">
        <v>339</v>
      </c>
    </row>
    <row r="174" spans="2:4">
      <c r="B174" s="43" t="s">
        <v>1980</v>
      </c>
      <c r="C174" s="44">
        <v>672</v>
      </c>
      <c r="D174" s="45" t="s">
        <v>339</v>
      </c>
    </row>
    <row r="175" spans="2:4">
      <c r="B175" s="43" t="s">
        <v>1539</v>
      </c>
      <c r="C175" s="44">
        <v>673</v>
      </c>
      <c r="D175" s="45" t="s">
        <v>339</v>
      </c>
    </row>
    <row r="176" spans="2:4">
      <c r="B176" s="43" t="s">
        <v>1470</v>
      </c>
      <c r="C176" s="44">
        <v>674</v>
      </c>
      <c r="D176" s="45" t="s">
        <v>339</v>
      </c>
    </row>
    <row r="177" spans="2:4">
      <c r="B177" s="43" t="s">
        <v>1981</v>
      </c>
      <c r="C177" s="44">
        <v>675</v>
      </c>
      <c r="D177" s="45" t="s">
        <v>339</v>
      </c>
    </row>
    <row r="178" spans="2:4">
      <c r="B178" s="43" t="s">
        <v>1982</v>
      </c>
      <c r="C178" s="44">
        <v>676</v>
      </c>
      <c r="D178" s="45" t="s">
        <v>339</v>
      </c>
    </row>
    <row r="179" spans="2:4">
      <c r="B179" s="43" t="s">
        <v>781</v>
      </c>
      <c r="C179" s="44">
        <v>677</v>
      </c>
      <c r="D179" s="45" t="s">
        <v>339</v>
      </c>
    </row>
    <row r="180" spans="2:4">
      <c r="B180" s="43" t="s">
        <v>783</v>
      </c>
      <c r="C180" s="44">
        <v>678</v>
      </c>
      <c r="D180" s="45" t="s">
        <v>339</v>
      </c>
    </row>
    <row r="181" spans="2:4">
      <c r="B181" s="43" t="s">
        <v>1983</v>
      </c>
      <c r="C181" s="44">
        <v>679</v>
      </c>
      <c r="D181" s="45" t="s">
        <v>339</v>
      </c>
    </row>
    <row r="182" spans="2:4">
      <c r="B182" s="43" t="s">
        <v>437</v>
      </c>
      <c r="C182" s="44">
        <v>680</v>
      </c>
      <c r="D182" s="45" t="s">
        <v>339</v>
      </c>
    </row>
    <row r="183" spans="2:4">
      <c r="B183" s="43" t="s">
        <v>882</v>
      </c>
      <c r="C183" s="44">
        <v>681</v>
      </c>
      <c r="D183" s="45" t="s">
        <v>339</v>
      </c>
    </row>
    <row r="184" spans="2:4">
      <c r="B184" s="43" t="s">
        <v>778</v>
      </c>
      <c r="C184" s="44">
        <v>682</v>
      </c>
      <c r="D184" s="45" t="s">
        <v>339</v>
      </c>
    </row>
    <row r="185" spans="2:4">
      <c r="B185" s="43" t="s">
        <v>772</v>
      </c>
      <c r="C185" s="44">
        <v>683</v>
      </c>
      <c r="D185" s="45" t="s">
        <v>339</v>
      </c>
    </row>
    <row r="186" spans="2:4">
      <c r="B186" s="43" t="s">
        <v>776</v>
      </c>
      <c r="C186" s="44">
        <v>684</v>
      </c>
      <c r="D186" s="45" t="s">
        <v>339</v>
      </c>
    </row>
    <row r="187" spans="2:4">
      <c r="B187" s="43" t="s">
        <v>1984</v>
      </c>
      <c r="C187" s="44">
        <v>685</v>
      </c>
      <c r="D187" s="45" t="s">
        <v>339</v>
      </c>
    </row>
    <row r="188" spans="2:4">
      <c r="B188" s="43" t="s">
        <v>1985</v>
      </c>
      <c r="C188" s="44">
        <v>686</v>
      </c>
      <c r="D188" s="45" t="s">
        <v>339</v>
      </c>
    </row>
    <row r="189" spans="2:4">
      <c r="B189" s="43" t="s">
        <v>1986</v>
      </c>
      <c r="C189" s="44">
        <v>687</v>
      </c>
      <c r="D189" s="45" t="s">
        <v>339</v>
      </c>
    </row>
    <row r="190" spans="2:4">
      <c r="B190" s="43" t="s">
        <v>737</v>
      </c>
      <c r="C190" s="44">
        <v>688</v>
      </c>
      <c r="D190" s="45" t="s">
        <v>339</v>
      </c>
    </row>
    <row r="191" spans="2:4">
      <c r="B191" s="43" t="s">
        <v>1987</v>
      </c>
      <c r="C191" s="44">
        <v>689</v>
      </c>
      <c r="D191" s="45" t="s">
        <v>339</v>
      </c>
    </row>
    <row r="192" spans="2:4">
      <c r="B192" s="43" t="s">
        <v>1988</v>
      </c>
      <c r="C192" s="44">
        <v>690</v>
      </c>
      <c r="D192" s="45" t="s">
        <v>339</v>
      </c>
    </row>
    <row r="193" spans="2:4">
      <c r="B193" s="43" t="s">
        <v>1989</v>
      </c>
      <c r="C193" s="44">
        <v>691</v>
      </c>
      <c r="D193" s="45" t="s">
        <v>339</v>
      </c>
    </row>
    <row r="194" spans="2:4">
      <c r="B194" s="43" t="s">
        <v>556</v>
      </c>
      <c r="C194" s="44">
        <v>692</v>
      </c>
      <c r="D194" s="45" t="s">
        <v>339</v>
      </c>
    </row>
    <row r="195" spans="2:4">
      <c r="B195" s="43" t="s">
        <v>605</v>
      </c>
      <c r="C195" s="44">
        <v>693</v>
      </c>
      <c r="D195" s="45" t="s">
        <v>339</v>
      </c>
    </row>
    <row r="196" spans="2:4">
      <c r="B196" s="43" t="s">
        <v>496</v>
      </c>
      <c r="C196" s="44">
        <v>694</v>
      </c>
      <c r="D196" s="45" t="s">
        <v>339</v>
      </c>
    </row>
    <row r="197" spans="2:4">
      <c r="B197" s="43" t="s">
        <v>628</v>
      </c>
      <c r="C197" s="44">
        <v>695</v>
      </c>
      <c r="D197" s="45" t="s">
        <v>339</v>
      </c>
    </row>
    <row r="198" spans="2:4">
      <c r="B198" s="43" t="s">
        <v>1990</v>
      </c>
      <c r="C198" s="44">
        <v>696</v>
      </c>
      <c r="D198" s="45" t="s">
        <v>339</v>
      </c>
    </row>
    <row r="199" spans="2:4">
      <c r="B199" s="43" t="s">
        <v>373</v>
      </c>
      <c r="C199" s="44">
        <v>697</v>
      </c>
      <c r="D199" s="45" t="s">
        <v>339</v>
      </c>
    </row>
    <row r="200" spans="2:4">
      <c r="B200" s="43" t="s">
        <v>1991</v>
      </c>
      <c r="C200" s="44">
        <v>698</v>
      </c>
      <c r="D200" s="45" t="s">
        <v>339</v>
      </c>
    </row>
    <row r="201" spans="2:4">
      <c r="B201" s="43" t="s">
        <v>1992</v>
      </c>
      <c r="C201" s="44">
        <v>699</v>
      </c>
      <c r="D201" s="45" t="s">
        <v>339</v>
      </c>
    </row>
    <row r="202" spans="2:4">
      <c r="B202" s="43" t="s">
        <v>1993</v>
      </c>
      <c r="C202" s="44">
        <v>700</v>
      </c>
      <c r="D202" s="45" t="s">
        <v>339</v>
      </c>
    </row>
    <row r="203" spans="2:4">
      <c r="B203" s="43" t="s">
        <v>1994</v>
      </c>
      <c r="C203" s="44">
        <v>701</v>
      </c>
      <c r="D203" s="45" t="s">
        <v>339</v>
      </c>
    </row>
    <row r="204" spans="2:4">
      <c r="B204" s="43" t="s">
        <v>475</v>
      </c>
      <c r="C204" s="44">
        <v>702</v>
      </c>
      <c r="D204" s="45" t="s">
        <v>339</v>
      </c>
    </row>
    <row r="205" spans="2:4">
      <c r="B205" s="43" t="s">
        <v>677</v>
      </c>
      <c r="C205" s="44">
        <v>703</v>
      </c>
      <c r="D205" s="45" t="s">
        <v>339</v>
      </c>
    </row>
    <row r="206" spans="2:4">
      <c r="B206" s="43" t="s">
        <v>1995</v>
      </c>
      <c r="C206" s="44">
        <v>704</v>
      </c>
      <c r="D206" s="45" t="s">
        <v>339</v>
      </c>
    </row>
    <row r="207" spans="2:4">
      <c r="B207" s="43" t="s">
        <v>894</v>
      </c>
      <c r="C207" s="44">
        <v>705</v>
      </c>
      <c r="D207" s="45" t="s">
        <v>339</v>
      </c>
    </row>
    <row r="208" spans="2:4">
      <c r="B208" s="43" t="s">
        <v>679</v>
      </c>
      <c r="C208" s="44">
        <v>706</v>
      </c>
      <c r="D208" s="45" t="s">
        <v>339</v>
      </c>
    </row>
    <row r="209" spans="2:4">
      <c r="B209" s="43" t="s">
        <v>1996</v>
      </c>
      <c r="C209" s="44">
        <v>707</v>
      </c>
      <c r="D209" s="45" t="s">
        <v>339</v>
      </c>
    </row>
    <row r="210" spans="2:4">
      <c r="B210" s="43" t="s">
        <v>1997</v>
      </c>
      <c r="C210" s="44">
        <v>708</v>
      </c>
      <c r="D210" s="45" t="s">
        <v>339</v>
      </c>
    </row>
    <row r="211" spans="2:4">
      <c r="B211" s="43" t="s">
        <v>536</v>
      </c>
      <c r="C211" s="44">
        <v>709</v>
      </c>
      <c r="D211" s="45" t="s">
        <v>339</v>
      </c>
    </row>
    <row r="212" spans="2:4">
      <c r="B212" s="43" t="s">
        <v>534</v>
      </c>
      <c r="C212" s="44">
        <v>710</v>
      </c>
      <c r="D212" s="45" t="s">
        <v>339</v>
      </c>
    </row>
    <row r="213" spans="2:4">
      <c r="B213" s="43" t="s">
        <v>439</v>
      </c>
      <c r="C213" s="44">
        <v>711</v>
      </c>
      <c r="D213" s="45" t="s">
        <v>339</v>
      </c>
    </row>
    <row r="214" spans="2:4">
      <c r="B214" s="43" t="s">
        <v>1998</v>
      </c>
      <c r="C214" s="44">
        <v>712</v>
      </c>
      <c r="D214" s="45" t="s">
        <v>339</v>
      </c>
    </row>
    <row r="215" spans="2:4">
      <c r="B215" s="43" t="s">
        <v>1999</v>
      </c>
      <c r="C215" s="44">
        <v>713</v>
      </c>
      <c r="D215" s="45" t="s">
        <v>339</v>
      </c>
    </row>
    <row r="216" spans="2:4">
      <c r="B216" s="43" t="s">
        <v>426</v>
      </c>
      <c r="C216" s="44">
        <v>714</v>
      </c>
      <c r="D216" s="45" t="s">
        <v>339</v>
      </c>
    </row>
    <row r="217" spans="2:4">
      <c r="B217" s="43" t="s">
        <v>2000</v>
      </c>
      <c r="C217" s="44">
        <v>715</v>
      </c>
      <c r="D217" s="45" t="s">
        <v>339</v>
      </c>
    </row>
    <row r="218" spans="2:4">
      <c r="B218" s="43" t="s">
        <v>522</v>
      </c>
      <c r="C218" s="44">
        <v>716</v>
      </c>
      <c r="D218" s="45" t="s">
        <v>339</v>
      </c>
    </row>
    <row r="219" spans="2:4">
      <c r="B219" s="43" t="s">
        <v>2001</v>
      </c>
      <c r="C219" s="44">
        <v>717</v>
      </c>
      <c r="D219" s="45" t="s">
        <v>339</v>
      </c>
    </row>
    <row r="220" spans="2:4">
      <c r="B220" s="43" t="s">
        <v>2002</v>
      </c>
      <c r="C220" s="44">
        <v>718</v>
      </c>
      <c r="D220" s="45" t="s">
        <v>339</v>
      </c>
    </row>
    <row r="221" spans="2:4">
      <c r="B221" s="43" t="s">
        <v>640</v>
      </c>
      <c r="C221" s="44">
        <v>719</v>
      </c>
      <c r="D221" s="45" t="s">
        <v>339</v>
      </c>
    </row>
    <row r="222" spans="2:4">
      <c r="B222" s="43" t="s">
        <v>727</v>
      </c>
      <c r="C222" s="44">
        <v>720</v>
      </c>
      <c r="D222" s="45" t="s">
        <v>339</v>
      </c>
    </row>
    <row r="223" spans="2:4">
      <c r="B223" s="43" t="s">
        <v>2003</v>
      </c>
      <c r="C223" s="44">
        <v>721</v>
      </c>
      <c r="D223" s="45" t="s">
        <v>339</v>
      </c>
    </row>
    <row r="224" spans="2:4">
      <c r="B224" s="43" t="s">
        <v>659</v>
      </c>
      <c r="C224" s="44">
        <v>722</v>
      </c>
      <c r="D224" s="45" t="s">
        <v>339</v>
      </c>
    </row>
    <row r="225" spans="2:4">
      <c r="B225" s="43" t="s">
        <v>2004</v>
      </c>
      <c r="C225" s="44">
        <v>723</v>
      </c>
      <c r="D225" s="45" t="s">
        <v>339</v>
      </c>
    </row>
    <row r="226" spans="2:4">
      <c r="B226" s="43" t="s">
        <v>762</v>
      </c>
      <c r="C226" s="44">
        <v>724</v>
      </c>
      <c r="D226" s="45" t="s">
        <v>339</v>
      </c>
    </row>
    <row r="227" spans="2:4">
      <c r="B227" s="43" t="s">
        <v>2005</v>
      </c>
      <c r="C227" s="44">
        <v>725</v>
      </c>
      <c r="D227" s="45" t="s">
        <v>339</v>
      </c>
    </row>
    <row r="228" spans="2:4">
      <c r="B228" s="43" t="s">
        <v>667</v>
      </c>
      <c r="C228" s="44">
        <v>726</v>
      </c>
      <c r="D228" s="45" t="s">
        <v>339</v>
      </c>
    </row>
    <row r="229" spans="2:4">
      <c r="B229" s="43" t="s">
        <v>530</v>
      </c>
      <c r="C229" s="44">
        <v>727</v>
      </c>
      <c r="D229" s="45" t="s">
        <v>339</v>
      </c>
    </row>
    <row r="230" spans="2:4">
      <c r="B230" s="43" t="s">
        <v>2006</v>
      </c>
      <c r="C230" s="44">
        <v>728</v>
      </c>
      <c r="D230" s="45" t="s">
        <v>339</v>
      </c>
    </row>
    <row r="231" spans="2:4">
      <c r="B231" s="43" t="s">
        <v>665</v>
      </c>
      <c r="C231" s="44">
        <v>729</v>
      </c>
      <c r="D231" s="45" t="s">
        <v>339</v>
      </c>
    </row>
    <row r="232" spans="2:4">
      <c r="B232" s="43" t="s">
        <v>470</v>
      </c>
      <c r="C232" s="44">
        <v>730</v>
      </c>
      <c r="D232" s="45" t="s">
        <v>339</v>
      </c>
    </row>
    <row r="233" spans="2:4">
      <c r="B233" s="43" t="s">
        <v>2007</v>
      </c>
      <c r="C233" s="44">
        <v>731</v>
      </c>
      <c r="D233" s="45" t="s">
        <v>339</v>
      </c>
    </row>
    <row r="234" spans="2:4">
      <c r="B234" s="43" t="s">
        <v>2008</v>
      </c>
      <c r="C234" s="44">
        <v>732</v>
      </c>
      <c r="D234" s="45" t="s">
        <v>339</v>
      </c>
    </row>
    <row r="235" spans="2:4">
      <c r="B235" s="43" t="s">
        <v>610</v>
      </c>
      <c r="C235" s="44">
        <v>733</v>
      </c>
      <c r="D235" s="45" t="s">
        <v>339</v>
      </c>
    </row>
    <row r="236" spans="2:4">
      <c r="B236" s="43" t="s">
        <v>2009</v>
      </c>
      <c r="C236" s="44">
        <v>734</v>
      </c>
      <c r="D236" s="45" t="s">
        <v>339</v>
      </c>
    </row>
    <row r="237" spans="2:4">
      <c r="B237" s="43" t="s">
        <v>2010</v>
      </c>
      <c r="C237" s="44">
        <v>735</v>
      </c>
      <c r="D237" s="45" t="s">
        <v>339</v>
      </c>
    </row>
    <row r="238" spans="2:4">
      <c r="B238" s="43" t="s">
        <v>2011</v>
      </c>
      <c r="C238" s="44">
        <v>736</v>
      </c>
      <c r="D238" s="45" t="s">
        <v>339</v>
      </c>
    </row>
    <row r="239" spans="2:4">
      <c r="B239" s="43" t="s">
        <v>2012</v>
      </c>
      <c r="C239" s="44">
        <v>737</v>
      </c>
      <c r="D239" s="45" t="s">
        <v>339</v>
      </c>
    </row>
    <row r="240" spans="2:4">
      <c r="B240" s="43" t="s">
        <v>2013</v>
      </c>
      <c r="C240" s="44">
        <v>738</v>
      </c>
      <c r="D240" s="45" t="s">
        <v>339</v>
      </c>
    </row>
    <row r="241" spans="2:4">
      <c r="B241" s="43" t="s">
        <v>1744</v>
      </c>
      <c r="C241" s="44">
        <v>739</v>
      </c>
      <c r="D241" s="45" t="s">
        <v>339</v>
      </c>
    </row>
    <row r="242" spans="2:4">
      <c r="B242" s="43" t="s">
        <v>2014</v>
      </c>
      <c r="C242" s="44">
        <v>740</v>
      </c>
      <c r="D242" s="45" t="s">
        <v>339</v>
      </c>
    </row>
    <row r="243" spans="2:4">
      <c r="B243" s="43" t="s">
        <v>2015</v>
      </c>
      <c r="C243" s="44">
        <v>741</v>
      </c>
      <c r="D243" s="45" t="s">
        <v>339</v>
      </c>
    </row>
    <row r="244" spans="2:4">
      <c r="B244" s="43" t="s">
        <v>2016</v>
      </c>
      <c r="C244" s="44">
        <v>742</v>
      </c>
      <c r="D244" s="45" t="s">
        <v>339</v>
      </c>
    </row>
    <row r="245" spans="2:4">
      <c r="B245" s="43" t="s">
        <v>654</v>
      </c>
      <c r="C245" s="44">
        <v>743</v>
      </c>
      <c r="D245" s="45" t="s">
        <v>339</v>
      </c>
    </row>
    <row r="246" spans="2:4">
      <c r="B246" s="43" t="s">
        <v>2017</v>
      </c>
      <c r="C246" s="44">
        <v>744</v>
      </c>
      <c r="D246" s="45" t="s">
        <v>339</v>
      </c>
    </row>
    <row r="247" spans="2:4">
      <c r="B247" s="43" t="s">
        <v>2018</v>
      </c>
      <c r="C247" s="44">
        <v>745</v>
      </c>
      <c r="D247" s="45" t="s">
        <v>339</v>
      </c>
    </row>
    <row r="248" spans="2:4">
      <c r="B248" s="43" t="s">
        <v>567</v>
      </c>
      <c r="C248" s="44">
        <v>746</v>
      </c>
      <c r="D248" s="45" t="s">
        <v>339</v>
      </c>
    </row>
    <row r="249" spans="2:4">
      <c r="B249" s="43" t="s">
        <v>2019</v>
      </c>
      <c r="C249" s="44">
        <v>747</v>
      </c>
      <c r="D249" s="45" t="s">
        <v>339</v>
      </c>
    </row>
    <row r="250" spans="2:4">
      <c r="B250" s="43" t="s">
        <v>835</v>
      </c>
      <c r="C250" s="44">
        <v>748</v>
      </c>
      <c r="D250" s="45" t="s">
        <v>339</v>
      </c>
    </row>
    <row r="251" spans="2:4">
      <c r="B251" s="43" t="s">
        <v>837</v>
      </c>
      <c r="C251" s="44">
        <v>749</v>
      </c>
      <c r="D251" s="45" t="s">
        <v>339</v>
      </c>
    </row>
    <row r="252" spans="2:4">
      <c r="B252" s="43" t="s">
        <v>907</v>
      </c>
      <c r="C252" s="44">
        <v>750</v>
      </c>
      <c r="D252" s="45" t="s">
        <v>339</v>
      </c>
    </row>
    <row r="253" spans="2:4">
      <c r="B253" s="43" t="s">
        <v>909</v>
      </c>
      <c r="C253" s="44">
        <v>751</v>
      </c>
      <c r="D253" s="45" t="s">
        <v>339</v>
      </c>
    </row>
    <row r="254" spans="2:4">
      <c r="B254" s="43" t="s">
        <v>2020</v>
      </c>
      <c r="C254" s="44">
        <v>752</v>
      </c>
      <c r="D254" s="45" t="s">
        <v>339</v>
      </c>
    </row>
    <row r="255" spans="2:4">
      <c r="B255" s="43" t="s">
        <v>911</v>
      </c>
      <c r="C255" s="44">
        <v>753</v>
      </c>
      <c r="D255" s="45" t="s">
        <v>339</v>
      </c>
    </row>
    <row r="256" spans="2:4">
      <c r="B256" s="43" t="s">
        <v>2021</v>
      </c>
      <c r="C256" s="44">
        <v>754</v>
      </c>
      <c r="D256" s="45" t="s">
        <v>339</v>
      </c>
    </row>
    <row r="257" spans="2:4">
      <c r="B257" s="43" t="s">
        <v>899</v>
      </c>
      <c r="C257" s="44">
        <v>755</v>
      </c>
      <c r="D257" s="45" t="s">
        <v>339</v>
      </c>
    </row>
    <row r="258" spans="2:4">
      <c r="B258" s="43" t="s">
        <v>516</v>
      </c>
      <c r="C258" s="44">
        <v>756</v>
      </c>
      <c r="D258" s="45" t="s">
        <v>339</v>
      </c>
    </row>
    <row r="259" spans="2:4">
      <c r="B259" s="43" t="s">
        <v>811</v>
      </c>
      <c r="C259" s="44">
        <v>757</v>
      </c>
      <c r="D259" s="45" t="s">
        <v>339</v>
      </c>
    </row>
    <row r="260" spans="2:4">
      <c r="B260" s="43" t="s">
        <v>813</v>
      </c>
      <c r="C260" s="44">
        <v>758</v>
      </c>
      <c r="D260" s="45" t="s">
        <v>339</v>
      </c>
    </row>
    <row r="261" spans="2:4">
      <c r="B261" s="43" t="s">
        <v>2022</v>
      </c>
      <c r="C261" s="44">
        <v>759</v>
      </c>
      <c r="D261" s="45" t="s">
        <v>339</v>
      </c>
    </row>
    <row r="262" spans="2:4">
      <c r="B262" s="43" t="s">
        <v>547</v>
      </c>
      <c r="C262" s="44">
        <v>760</v>
      </c>
      <c r="D262" s="45" t="s">
        <v>339</v>
      </c>
    </row>
    <row r="263" spans="2:4">
      <c r="B263" s="43" t="s">
        <v>828</v>
      </c>
      <c r="C263" s="44">
        <v>761</v>
      </c>
      <c r="D263" s="45" t="s">
        <v>339</v>
      </c>
    </row>
    <row r="264" spans="2:4">
      <c r="B264" s="43" t="s">
        <v>2023</v>
      </c>
      <c r="C264" s="44">
        <v>762</v>
      </c>
      <c r="D264" s="45" t="s">
        <v>339</v>
      </c>
    </row>
    <row r="265" spans="2:4">
      <c r="B265" s="43" t="s">
        <v>588</v>
      </c>
      <c r="C265" s="44">
        <v>763</v>
      </c>
      <c r="D265" s="45" t="s">
        <v>339</v>
      </c>
    </row>
    <row r="266" spans="2:4">
      <c r="B266" s="43" t="s">
        <v>2024</v>
      </c>
      <c r="C266" s="44">
        <v>764</v>
      </c>
      <c r="D266" s="45" t="s">
        <v>339</v>
      </c>
    </row>
    <row r="267" spans="2:4">
      <c r="B267" s="43" t="s">
        <v>2025</v>
      </c>
      <c r="C267" s="44">
        <v>765</v>
      </c>
      <c r="D267" s="45" t="s">
        <v>339</v>
      </c>
    </row>
    <row r="268" spans="2:4">
      <c r="B268" s="43" t="s">
        <v>1284</v>
      </c>
      <c r="C268" s="44">
        <v>766</v>
      </c>
      <c r="D268" s="45" t="s">
        <v>339</v>
      </c>
    </row>
    <row r="269" spans="2:4">
      <c r="B269" s="43" t="s">
        <v>1286</v>
      </c>
      <c r="C269" s="44">
        <v>767</v>
      </c>
      <c r="D269" s="45" t="s">
        <v>339</v>
      </c>
    </row>
    <row r="270" spans="2:4">
      <c r="B270" s="43" t="s">
        <v>1290</v>
      </c>
      <c r="C270" s="44">
        <v>768</v>
      </c>
      <c r="D270" s="45" t="s">
        <v>339</v>
      </c>
    </row>
    <row r="271" spans="2:4">
      <c r="B271" s="43" t="s">
        <v>1292</v>
      </c>
      <c r="C271" s="44">
        <v>769</v>
      </c>
      <c r="D271" s="45" t="s">
        <v>339</v>
      </c>
    </row>
    <row r="272" spans="2:4">
      <c r="B272" s="43" t="s">
        <v>1267</v>
      </c>
      <c r="C272" s="44">
        <v>770</v>
      </c>
      <c r="D272" s="45" t="s">
        <v>339</v>
      </c>
    </row>
    <row r="273" spans="2:4">
      <c r="B273" s="43" t="s">
        <v>1269</v>
      </c>
      <c r="C273" s="44">
        <v>771</v>
      </c>
      <c r="D273" s="45" t="s">
        <v>339</v>
      </c>
    </row>
    <row r="274" spans="2:4">
      <c r="B274" s="43" t="s">
        <v>944</v>
      </c>
      <c r="C274" s="44">
        <v>772</v>
      </c>
      <c r="D274" s="45" t="s">
        <v>339</v>
      </c>
    </row>
    <row r="275" spans="2:4">
      <c r="B275" s="43" t="s">
        <v>2026</v>
      </c>
      <c r="C275" s="44">
        <v>773</v>
      </c>
      <c r="D275" s="45" t="s">
        <v>339</v>
      </c>
    </row>
    <row r="276" spans="2:4">
      <c r="B276" s="43" t="s">
        <v>1367</v>
      </c>
      <c r="C276" s="44">
        <v>774</v>
      </c>
      <c r="D276" s="45" t="s">
        <v>339</v>
      </c>
    </row>
    <row r="277" spans="2:4">
      <c r="B277" s="43" t="s">
        <v>1294</v>
      </c>
      <c r="C277" s="44">
        <v>775</v>
      </c>
      <c r="D277" s="45" t="s">
        <v>339</v>
      </c>
    </row>
    <row r="278" spans="2:4">
      <c r="B278" s="43" t="s">
        <v>1439</v>
      </c>
      <c r="C278" s="44">
        <v>776</v>
      </c>
      <c r="D278" s="45" t="s">
        <v>339</v>
      </c>
    </row>
    <row r="279" spans="2:4">
      <c r="B279" s="43" t="s">
        <v>2027</v>
      </c>
      <c r="C279" s="44">
        <v>777</v>
      </c>
      <c r="D279" s="45" t="s">
        <v>339</v>
      </c>
    </row>
    <row r="280" spans="2:4">
      <c r="B280" s="43" t="s">
        <v>2028</v>
      </c>
      <c r="C280" s="44">
        <v>778</v>
      </c>
      <c r="D280" s="45" t="s">
        <v>339</v>
      </c>
    </row>
    <row r="281" spans="2:4">
      <c r="B281" s="43" t="s">
        <v>2029</v>
      </c>
      <c r="C281" s="44">
        <v>779</v>
      </c>
      <c r="D281" s="45" t="s">
        <v>339</v>
      </c>
    </row>
    <row r="282" spans="2:4">
      <c r="B282" s="43" t="s">
        <v>2030</v>
      </c>
      <c r="C282" s="44">
        <v>780</v>
      </c>
      <c r="D282" s="45" t="s">
        <v>339</v>
      </c>
    </row>
    <row r="283" spans="2:4">
      <c r="B283" s="43" t="s">
        <v>414</v>
      </c>
      <c r="C283" s="44">
        <v>781</v>
      </c>
      <c r="D283" s="45" t="s">
        <v>339</v>
      </c>
    </row>
    <row r="284" spans="2:4">
      <c r="B284" s="43" t="s">
        <v>2031</v>
      </c>
      <c r="C284" s="44">
        <v>782</v>
      </c>
      <c r="D284" s="45" t="s">
        <v>339</v>
      </c>
    </row>
    <row r="285" spans="2:4">
      <c r="B285" s="43" t="s">
        <v>2032</v>
      </c>
      <c r="C285" s="44">
        <v>783</v>
      </c>
      <c r="D285" s="45" t="s">
        <v>339</v>
      </c>
    </row>
    <row r="286" spans="2:4">
      <c r="B286" s="43" t="s">
        <v>2033</v>
      </c>
      <c r="C286" s="44">
        <v>784</v>
      </c>
      <c r="D286" s="45" t="s">
        <v>339</v>
      </c>
    </row>
    <row r="287" spans="2:4">
      <c r="B287" s="43" t="s">
        <v>2034</v>
      </c>
      <c r="C287" s="44">
        <v>785</v>
      </c>
      <c r="D287" s="45" t="s">
        <v>339</v>
      </c>
    </row>
    <row r="288" spans="2:4">
      <c r="B288" s="43" t="s">
        <v>2035</v>
      </c>
      <c r="C288" s="44">
        <v>786</v>
      </c>
      <c r="D288" s="45" t="s">
        <v>339</v>
      </c>
    </row>
    <row r="289" spans="2:4">
      <c r="B289" s="43" t="s">
        <v>2036</v>
      </c>
      <c r="C289" s="44">
        <v>787</v>
      </c>
      <c r="D289" s="45" t="s">
        <v>339</v>
      </c>
    </row>
    <row r="290" spans="2:4">
      <c r="B290" s="43" t="s">
        <v>747</v>
      </c>
      <c r="C290" s="44">
        <v>788</v>
      </c>
      <c r="D290" s="45" t="s">
        <v>339</v>
      </c>
    </row>
    <row r="291" spans="2:4">
      <c r="B291" s="43" t="s">
        <v>2037</v>
      </c>
      <c r="C291" s="44">
        <v>789</v>
      </c>
      <c r="D291" s="45" t="s">
        <v>339</v>
      </c>
    </row>
    <row r="292" spans="2:4">
      <c r="B292" s="43" t="s">
        <v>2038</v>
      </c>
      <c r="C292" s="44">
        <v>790</v>
      </c>
      <c r="D292" s="45" t="s">
        <v>339</v>
      </c>
    </row>
    <row r="293" spans="2:4">
      <c r="B293" s="43" t="s">
        <v>2039</v>
      </c>
      <c r="C293" s="44">
        <v>791</v>
      </c>
      <c r="D293" s="45" t="s">
        <v>339</v>
      </c>
    </row>
    <row r="294" spans="2:4">
      <c r="B294" s="43" t="s">
        <v>2040</v>
      </c>
      <c r="C294" s="44">
        <v>792</v>
      </c>
      <c r="D294" s="45" t="s">
        <v>339</v>
      </c>
    </row>
    <row r="295" spans="2:4">
      <c r="B295" s="43" t="s">
        <v>499</v>
      </c>
      <c r="C295" s="44">
        <v>793</v>
      </c>
      <c r="D295" s="45" t="s">
        <v>339</v>
      </c>
    </row>
    <row r="296" spans="2:4">
      <c r="B296" s="43" t="s">
        <v>2041</v>
      </c>
      <c r="C296" s="44">
        <v>794</v>
      </c>
      <c r="D296" s="45" t="s">
        <v>339</v>
      </c>
    </row>
    <row r="297" spans="2:4">
      <c r="B297" s="43" t="s">
        <v>1464</v>
      </c>
      <c r="C297" s="44">
        <v>795</v>
      </c>
      <c r="D297" s="45" t="s">
        <v>339</v>
      </c>
    </row>
    <row r="298" spans="2:4">
      <c r="B298" s="43" t="s">
        <v>450</v>
      </c>
      <c r="C298" s="44">
        <v>796</v>
      </c>
      <c r="D298" s="45" t="s">
        <v>339</v>
      </c>
    </row>
    <row r="299" spans="2:4">
      <c r="B299" s="43" t="s">
        <v>575</v>
      </c>
      <c r="C299" s="44">
        <v>797</v>
      </c>
      <c r="D299" s="45" t="s">
        <v>339</v>
      </c>
    </row>
    <row r="300" spans="2:4">
      <c r="B300" s="43" t="s">
        <v>2042</v>
      </c>
      <c r="C300" s="44">
        <v>798</v>
      </c>
      <c r="D300" s="45" t="s">
        <v>339</v>
      </c>
    </row>
    <row r="301" spans="2:4">
      <c r="B301" s="43" t="s">
        <v>1395</v>
      </c>
      <c r="C301" s="44">
        <v>799</v>
      </c>
      <c r="D301" s="45" t="s">
        <v>339</v>
      </c>
    </row>
    <row r="302" spans="2:4">
      <c r="B302" s="43" t="s">
        <v>1607</v>
      </c>
      <c r="C302" s="44">
        <v>800</v>
      </c>
      <c r="D302" s="45" t="s">
        <v>339</v>
      </c>
    </row>
    <row r="303" spans="2:4">
      <c r="B303" s="43" t="s">
        <v>2043</v>
      </c>
      <c r="C303" s="44">
        <v>801</v>
      </c>
      <c r="D303" s="45" t="s">
        <v>339</v>
      </c>
    </row>
    <row r="304" spans="2:4">
      <c r="B304" s="43" t="s">
        <v>1244</v>
      </c>
      <c r="C304" s="44">
        <v>802</v>
      </c>
      <c r="D304" s="45" t="s">
        <v>339</v>
      </c>
    </row>
    <row r="305" spans="2:4">
      <c r="B305" s="43" t="s">
        <v>2044</v>
      </c>
      <c r="C305" s="44">
        <v>803</v>
      </c>
      <c r="D305" s="45" t="s">
        <v>339</v>
      </c>
    </row>
    <row r="306" spans="2:4">
      <c r="B306" s="43" t="s">
        <v>2045</v>
      </c>
      <c r="C306" s="44">
        <v>804</v>
      </c>
      <c r="D306" s="45" t="s">
        <v>339</v>
      </c>
    </row>
    <row r="307" spans="2:4">
      <c r="B307" s="43" t="s">
        <v>1219</v>
      </c>
      <c r="C307" s="44">
        <v>805</v>
      </c>
      <c r="D307" s="45" t="s">
        <v>339</v>
      </c>
    </row>
    <row r="308" spans="2:4">
      <c r="B308" s="43" t="s">
        <v>577</v>
      </c>
      <c r="C308" s="44">
        <v>806</v>
      </c>
      <c r="D308" s="45" t="s">
        <v>339</v>
      </c>
    </row>
    <row r="309" spans="2:4">
      <c r="B309" s="43" t="s">
        <v>2046</v>
      </c>
      <c r="C309" s="44">
        <v>807</v>
      </c>
      <c r="D309" s="45" t="s">
        <v>339</v>
      </c>
    </row>
    <row r="310" spans="2:4">
      <c r="B310" s="43" t="s">
        <v>582</v>
      </c>
      <c r="C310" s="44">
        <v>808</v>
      </c>
      <c r="D310" s="45" t="s">
        <v>339</v>
      </c>
    </row>
    <row r="311" spans="2:4">
      <c r="B311" s="43" t="s">
        <v>2047</v>
      </c>
      <c r="C311" s="44">
        <v>809</v>
      </c>
      <c r="D311" s="45" t="s">
        <v>339</v>
      </c>
    </row>
    <row r="312" spans="2:4">
      <c r="B312" s="43" t="s">
        <v>2048</v>
      </c>
      <c r="C312" s="44">
        <v>810</v>
      </c>
      <c r="D312" s="45" t="s">
        <v>339</v>
      </c>
    </row>
    <row r="313" spans="2:4">
      <c r="B313" s="43" t="s">
        <v>2049</v>
      </c>
      <c r="C313" s="44">
        <v>811</v>
      </c>
      <c r="D313" s="45" t="s">
        <v>339</v>
      </c>
    </row>
    <row r="314" spans="2:4">
      <c r="B314" s="43" t="s">
        <v>507</v>
      </c>
      <c r="C314" s="44">
        <v>812</v>
      </c>
      <c r="D314" s="45" t="s">
        <v>339</v>
      </c>
    </row>
    <row r="315" spans="2:4">
      <c r="B315" s="43" t="s">
        <v>1590</v>
      </c>
      <c r="C315" s="44">
        <v>813</v>
      </c>
      <c r="D315" s="45" t="s">
        <v>339</v>
      </c>
    </row>
    <row r="316" spans="2:4">
      <c r="B316" s="43" t="s">
        <v>2050</v>
      </c>
      <c r="C316" s="44">
        <v>814</v>
      </c>
      <c r="D316" s="45" t="s">
        <v>339</v>
      </c>
    </row>
    <row r="317" spans="2:4">
      <c r="B317" s="43" t="s">
        <v>397</v>
      </c>
      <c r="C317" s="44">
        <v>815</v>
      </c>
      <c r="D317" s="45" t="s">
        <v>339</v>
      </c>
    </row>
    <row r="318" spans="2:4">
      <c r="B318" s="43" t="s">
        <v>2051</v>
      </c>
      <c r="C318" s="44">
        <v>816</v>
      </c>
      <c r="D318" s="45" t="s">
        <v>339</v>
      </c>
    </row>
    <row r="319" spans="2:4">
      <c r="B319" s="43" t="s">
        <v>352</v>
      </c>
      <c r="C319" s="44">
        <v>817</v>
      </c>
      <c r="D319" s="45" t="s">
        <v>339</v>
      </c>
    </row>
    <row r="320" spans="2:4">
      <c r="B320" s="43" t="s">
        <v>2052</v>
      </c>
      <c r="C320" s="44">
        <v>818</v>
      </c>
      <c r="D320" s="45" t="s">
        <v>339</v>
      </c>
    </row>
    <row r="321" spans="2:4">
      <c r="B321" s="43" t="s">
        <v>2053</v>
      </c>
      <c r="C321" s="44">
        <v>819</v>
      </c>
      <c r="D321" s="45" t="s">
        <v>339</v>
      </c>
    </row>
    <row r="322" spans="2:4">
      <c r="B322" s="43" t="s">
        <v>2054</v>
      </c>
      <c r="C322" s="44">
        <v>820</v>
      </c>
      <c r="D322" s="45" t="s">
        <v>339</v>
      </c>
    </row>
    <row r="323" spans="2:4">
      <c r="B323" s="43" t="s">
        <v>2055</v>
      </c>
      <c r="C323" s="44">
        <v>821</v>
      </c>
      <c r="D323" s="45" t="s">
        <v>339</v>
      </c>
    </row>
    <row r="324" spans="2:4">
      <c r="B324" s="43" t="s">
        <v>2056</v>
      </c>
      <c r="C324" s="44">
        <v>822</v>
      </c>
      <c r="D324" s="45" t="s">
        <v>339</v>
      </c>
    </row>
    <row r="325" spans="2:4">
      <c r="B325" s="43" t="s">
        <v>2057</v>
      </c>
      <c r="C325" s="44">
        <v>823</v>
      </c>
      <c r="D325" s="45" t="s">
        <v>339</v>
      </c>
    </row>
    <row r="326" spans="2:4">
      <c r="B326" s="43" t="s">
        <v>2058</v>
      </c>
      <c r="C326" s="44">
        <v>824</v>
      </c>
      <c r="D326" s="45" t="s">
        <v>339</v>
      </c>
    </row>
    <row r="327" spans="2:4">
      <c r="B327" s="43" t="s">
        <v>1106</v>
      </c>
      <c r="C327" s="44">
        <v>825</v>
      </c>
      <c r="D327" s="45" t="s">
        <v>339</v>
      </c>
    </row>
    <row r="328" spans="2:4">
      <c r="B328" s="43" t="s">
        <v>539</v>
      </c>
      <c r="C328" s="44">
        <v>826</v>
      </c>
      <c r="D328" s="45" t="s">
        <v>339</v>
      </c>
    </row>
    <row r="329" spans="2:4">
      <c r="B329" s="43" t="s">
        <v>2059</v>
      </c>
      <c r="C329" s="44">
        <v>827</v>
      </c>
      <c r="D329" s="45" t="s">
        <v>339</v>
      </c>
    </row>
    <row r="330" spans="2:4">
      <c r="B330" s="43" t="s">
        <v>2060</v>
      </c>
      <c r="C330" s="44">
        <v>828</v>
      </c>
      <c r="D330" s="45" t="s">
        <v>339</v>
      </c>
    </row>
    <row r="331" spans="2:4">
      <c r="B331" s="43" t="s">
        <v>2061</v>
      </c>
      <c r="C331" s="44">
        <v>829</v>
      </c>
      <c r="D331" s="45" t="s">
        <v>339</v>
      </c>
    </row>
    <row r="332" spans="2:4">
      <c r="B332" s="43" t="s">
        <v>635</v>
      </c>
      <c r="C332" s="44">
        <v>830</v>
      </c>
      <c r="D332" s="45" t="s">
        <v>339</v>
      </c>
    </row>
    <row r="333" spans="2:4">
      <c r="B333" s="43" t="s">
        <v>2062</v>
      </c>
      <c r="C333" s="44">
        <v>831</v>
      </c>
      <c r="D333" s="45" t="s">
        <v>339</v>
      </c>
    </row>
    <row r="334" spans="2:4">
      <c r="B334" s="43" t="s">
        <v>2063</v>
      </c>
      <c r="C334" s="44">
        <v>832</v>
      </c>
      <c r="D334" s="45" t="s">
        <v>339</v>
      </c>
    </row>
    <row r="335" spans="2:4">
      <c r="B335" s="43" t="s">
        <v>1031</v>
      </c>
      <c r="C335" s="44">
        <v>833</v>
      </c>
      <c r="D335" s="45" t="s">
        <v>339</v>
      </c>
    </row>
    <row r="336" spans="2:4">
      <c r="B336" s="43" t="s">
        <v>358</v>
      </c>
      <c r="C336" s="44">
        <v>834</v>
      </c>
      <c r="D336" s="45" t="s">
        <v>339</v>
      </c>
    </row>
    <row r="337" spans="2:4">
      <c r="B337" s="43" t="s">
        <v>2064</v>
      </c>
      <c r="C337" s="44">
        <v>835</v>
      </c>
      <c r="D337" s="45" t="s">
        <v>339</v>
      </c>
    </row>
    <row r="338" spans="2:4">
      <c r="B338" s="43" t="s">
        <v>2065</v>
      </c>
      <c r="C338" s="44">
        <v>836</v>
      </c>
      <c r="D338" s="45" t="s">
        <v>339</v>
      </c>
    </row>
    <row r="339" spans="2:4">
      <c r="B339" s="43" t="s">
        <v>2066</v>
      </c>
      <c r="C339" s="44">
        <v>837</v>
      </c>
      <c r="D339" s="45" t="s">
        <v>339</v>
      </c>
    </row>
    <row r="340" spans="2:4">
      <c r="B340" s="43" t="s">
        <v>2067</v>
      </c>
      <c r="C340" s="44">
        <v>838</v>
      </c>
      <c r="D340" s="45" t="s">
        <v>339</v>
      </c>
    </row>
    <row r="341" spans="2:4">
      <c r="B341" s="43" t="s">
        <v>354</v>
      </c>
      <c r="C341" s="44">
        <v>839</v>
      </c>
      <c r="D341" s="45" t="s">
        <v>339</v>
      </c>
    </row>
    <row r="342" spans="2:4">
      <c r="B342" s="43" t="s">
        <v>2068</v>
      </c>
      <c r="C342" s="44">
        <v>840</v>
      </c>
      <c r="D342" s="45" t="s">
        <v>339</v>
      </c>
    </row>
    <row r="343" spans="2:4">
      <c r="B343" s="43" t="s">
        <v>1458</v>
      </c>
      <c r="C343" s="44">
        <v>841</v>
      </c>
      <c r="D343" s="45" t="s">
        <v>339</v>
      </c>
    </row>
    <row r="344" spans="2:4">
      <c r="B344" s="43" t="s">
        <v>687</v>
      </c>
      <c r="C344" s="44">
        <v>842</v>
      </c>
      <c r="D344" s="45" t="s">
        <v>339</v>
      </c>
    </row>
    <row r="345" spans="2:4">
      <c r="B345" s="43" t="s">
        <v>707</v>
      </c>
      <c r="C345" s="44">
        <v>843</v>
      </c>
      <c r="D345" s="45" t="s">
        <v>339</v>
      </c>
    </row>
    <row r="346" spans="2:4">
      <c r="B346" s="43" t="s">
        <v>689</v>
      </c>
      <c r="C346" s="44">
        <v>844</v>
      </c>
      <c r="D346" s="45" t="s">
        <v>339</v>
      </c>
    </row>
    <row r="347" spans="2:4">
      <c r="B347" s="43" t="s">
        <v>709</v>
      </c>
      <c r="C347" s="44">
        <v>845</v>
      </c>
      <c r="D347" s="45" t="s">
        <v>339</v>
      </c>
    </row>
    <row r="348" spans="2:4">
      <c r="B348" s="43" t="s">
        <v>691</v>
      </c>
      <c r="C348" s="44">
        <v>846</v>
      </c>
      <c r="D348" s="45" t="s">
        <v>339</v>
      </c>
    </row>
    <row r="349" spans="2:4">
      <c r="B349" s="43" t="s">
        <v>711</v>
      </c>
      <c r="C349" s="44">
        <v>847</v>
      </c>
      <c r="D349" s="45" t="s">
        <v>339</v>
      </c>
    </row>
    <row r="350" spans="2:4">
      <c r="B350" s="43" t="s">
        <v>693</v>
      </c>
      <c r="C350" s="44">
        <v>848</v>
      </c>
      <c r="D350" s="45" t="s">
        <v>339</v>
      </c>
    </row>
    <row r="351" spans="2:4">
      <c r="B351" s="43" t="s">
        <v>713</v>
      </c>
      <c r="C351" s="44">
        <v>849</v>
      </c>
      <c r="D351" s="45" t="s">
        <v>339</v>
      </c>
    </row>
    <row r="352" spans="2:4">
      <c r="B352" s="43" t="s">
        <v>697</v>
      </c>
      <c r="C352" s="44">
        <v>850</v>
      </c>
      <c r="D352" s="45" t="s">
        <v>339</v>
      </c>
    </row>
    <row r="353" spans="2:4">
      <c r="B353" s="43" t="s">
        <v>717</v>
      </c>
      <c r="C353" s="44">
        <v>851</v>
      </c>
      <c r="D353" s="45" t="s">
        <v>339</v>
      </c>
    </row>
    <row r="354" spans="2:4">
      <c r="B354" s="43" t="s">
        <v>699</v>
      </c>
      <c r="C354" s="44">
        <v>852</v>
      </c>
      <c r="D354" s="45" t="s">
        <v>339</v>
      </c>
    </row>
    <row r="355" spans="2:4">
      <c r="B355" s="43" t="s">
        <v>719</v>
      </c>
      <c r="C355" s="44">
        <v>853</v>
      </c>
      <c r="D355" s="45" t="s">
        <v>339</v>
      </c>
    </row>
    <row r="356" spans="2:4">
      <c r="B356" s="43" t="s">
        <v>701</v>
      </c>
      <c r="C356" s="44">
        <v>854</v>
      </c>
      <c r="D356" s="45" t="s">
        <v>339</v>
      </c>
    </row>
    <row r="357" spans="2:4">
      <c r="B357" s="43" t="s">
        <v>721</v>
      </c>
      <c r="C357" s="44">
        <v>855</v>
      </c>
      <c r="D357" s="45" t="s">
        <v>339</v>
      </c>
    </row>
    <row r="358" spans="2:4">
      <c r="B358" s="43" t="s">
        <v>703</v>
      </c>
      <c r="C358" s="44">
        <v>856</v>
      </c>
      <c r="D358" s="45" t="s">
        <v>339</v>
      </c>
    </row>
    <row r="359" spans="2:4">
      <c r="B359" s="43" t="s">
        <v>723</v>
      </c>
      <c r="C359" s="44">
        <v>857</v>
      </c>
      <c r="D359" s="45" t="s">
        <v>339</v>
      </c>
    </row>
    <row r="360" spans="2:4">
      <c r="B360" s="43" t="s">
        <v>1187</v>
      </c>
      <c r="C360" s="44">
        <v>858</v>
      </c>
      <c r="D360" s="45" t="s">
        <v>339</v>
      </c>
    </row>
    <row r="361" spans="2:4">
      <c r="B361" s="43" t="s">
        <v>2069</v>
      </c>
      <c r="C361" s="44">
        <v>859</v>
      </c>
      <c r="D361" s="45" t="s">
        <v>339</v>
      </c>
    </row>
    <row r="362" spans="2:4">
      <c r="B362" s="43" t="s">
        <v>663</v>
      </c>
      <c r="C362" s="44">
        <v>860</v>
      </c>
      <c r="D362" s="45" t="s">
        <v>339</v>
      </c>
    </row>
    <row r="363" spans="2:4">
      <c r="B363" s="43" t="s">
        <v>2070</v>
      </c>
      <c r="C363" s="44">
        <v>861</v>
      </c>
      <c r="D363" s="45" t="s">
        <v>339</v>
      </c>
    </row>
    <row r="364" spans="2:4">
      <c r="B364" s="43" t="s">
        <v>2071</v>
      </c>
      <c r="C364" s="44">
        <v>862</v>
      </c>
      <c r="D364" s="45" t="s">
        <v>339</v>
      </c>
    </row>
    <row r="365" spans="2:4">
      <c r="B365" s="43" t="s">
        <v>1298</v>
      </c>
      <c r="C365" s="44">
        <v>863</v>
      </c>
      <c r="D365" s="45" t="s">
        <v>339</v>
      </c>
    </row>
    <row r="366" spans="2:4">
      <c r="B366" s="43" t="s">
        <v>2072</v>
      </c>
      <c r="C366" s="44">
        <v>864</v>
      </c>
      <c r="D366" s="45" t="s">
        <v>339</v>
      </c>
    </row>
    <row r="367" spans="2:4">
      <c r="B367" s="43" t="s">
        <v>594</v>
      </c>
      <c r="C367" s="44">
        <v>865</v>
      </c>
      <c r="D367" s="45" t="s">
        <v>339</v>
      </c>
    </row>
    <row r="368" spans="2:4">
      <c r="B368" s="43" t="s">
        <v>2073</v>
      </c>
      <c r="C368" s="44">
        <v>866</v>
      </c>
      <c r="D368" s="45" t="s">
        <v>339</v>
      </c>
    </row>
    <row r="369" spans="2:4">
      <c r="B369" s="43" t="s">
        <v>2074</v>
      </c>
      <c r="C369" s="44">
        <v>867</v>
      </c>
      <c r="D369" s="45" t="s">
        <v>339</v>
      </c>
    </row>
    <row r="370" spans="2:4">
      <c r="B370" s="43" t="s">
        <v>2075</v>
      </c>
      <c r="C370" s="44">
        <v>868</v>
      </c>
      <c r="D370" s="45" t="s">
        <v>339</v>
      </c>
    </row>
    <row r="371" spans="2:4">
      <c r="B371" s="43" t="s">
        <v>1217</v>
      </c>
      <c r="C371" s="44">
        <v>869</v>
      </c>
      <c r="D371" s="45" t="s">
        <v>339</v>
      </c>
    </row>
    <row r="372" spans="2:4">
      <c r="B372" s="43" t="s">
        <v>2076</v>
      </c>
      <c r="C372" s="44">
        <v>870</v>
      </c>
      <c r="D372" s="45" t="s">
        <v>339</v>
      </c>
    </row>
    <row r="373" spans="2:4">
      <c r="B373" s="43" t="s">
        <v>1413</v>
      </c>
      <c r="C373" s="44">
        <v>871</v>
      </c>
      <c r="D373" s="45" t="s">
        <v>339</v>
      </c>
    </row>
    <row r="374" spans="2:4">
      <c r="B374" s="43" t="s">
        <v>2077</v>
      </c>
      <c r="C374" s="44">
        <v>872</v>
      </c>
      <c r="D374" s="45" t="s">
        <v>339</v>
      </c>
    </row>
    <row r="375" spans="2:4">
      <c r="B375" s="43" t="s">
        <v>1195</v>
      </c>
      <c r="C375" s="44">
        <v>873</v>
      </c>
      <c r="D375" s="45" t="s">
        <v>339</v>
      </c>
    </row>
    <row r="376" spans="2:4">
      <c r="B376" s="43" t="s">
        <v>1042</v>
      </c>
      <c r="C376" s="44">
        <v>874</v>
      </c>
      <c r="D376" s="45" t="s">
        <v>339</v>
      </c>
    </row>
    <row r="377" spans="2:4">
      <c r="B377" s="43" t="s">
        <v>2078</v>
      </c>
      <c r="C377" s="44">
        <v>875</v>
      </c>
      <c r="D377" s="45" t="s">
        <v>339</v>
      </c>
    </row>
    <row r="378" spans="2:4">
      <c r="B378" s="43" t="s">
        <v>2079</v>
      </c>
      <c r="C378" s="44">
        <v>876</v>
      </c>
      <c r="D378" s="45" t="s">
        <v>339</v>
      </c>
    </row>
    <row r="379" spans="2:4">
      <c r="B379" s="43" t="s">
        <v>2080</v>
      </c>
      <c r="C379" s="44">
        <v>877</v>
      </c>
      <c r="D379" s="45" t="s">
        <v>339</v>
      </c>
    </row>
    <row r="380" spans="2:4">
      <c r="B380" s="43" t="s">
        <v>2081</v>
      </c>
      <c r="C380" s="44">
        <v>878</v>
      </c>
      <c r="D380" s="45" t="s">
        <v>339</v>
      </c>
    </row>
    <row r="381" spans="2:4">
      <c r="B381" s="43" t="s">
        <v>2082</v>
      </c>
      <c r="C381" s="44">
        <v>879</v>
      </c>
      <c r="D381" s="45" t="s">
        <v>339</v>
      </c>
    </row>
    <row r="382" spans="2:4">
      <c r="B382" s="43" t="s">
        <v>633</v>
      </c>
      <c r="C382" s="44">
        <v>880</v>
      </c>
      <c r="D382" s="45" t="s">
        <v>339</v>
      </c>
    </row>
    <row r="383" spans="2:4">
      <c r="B383" s="43" t="s">
        <v>2083</v>
      </c>
      <c r="C383" s="44">
        <v>881</v>
      </c>
      <c r="D383" s="45" t="s">
        <v>339</v>
      </c>
    </row>
    <row r="384" spans="2:4">
      <c r="B384" s="43" t="s">
        <v>2084</v>
      </c>
      <c r="C384" s="44">
        <v>882</v>
      </c>
      <c r="D384" s="45" t="s">
        <v>339</v>
      </c>
    </row>
    <row r="385" spans="2:4">
      <c r="B385" s="43" t="s">
        <v>2085</v>
      </c>
      <c r="C385" s="44">
        <v>883</v>
      </c>
      <c r="D385" s="45" t="s">
        <v>339</v>
      </c>
    </row>
    <row r="386" spans="2:4">
      <c r="B386" s="43" t="s">
        <v>2086</v>
      </c>
      <c r="C386" s="44">
        <v>884</v>
      </c>
      <c r="D386" s="45" t="s">
        <v>339</v>
      </c>
    </row>
    <row r="387" spans="2:4">
      <c r="B387" s="43" t="s">
        <v>2087</v>
      </c>
      <c r="C387" s="44">
        <v>885</v>
      </c>
      <c r="D387" s="45" t="s">
        <v>339</v>
      </c>
    </row>
    <row r="388" spans="2:4">
      <c r="B388" s="43" t="s">
        <v>914</v>
      </c>
      <c r="C388" s="44">
        <v>886</v>
      </c>
      <c r="D388" s="45" t="s">
        <v>339</v>
      </c>
    </row>
    <row r="389" spans="2:4">
      <c r="B389" s="43" t="s">
        <v>845</v>
      </c>
      <c r="C389" s="44">
        <v>887</v>
      </c>
      <c r="D389" s="45" t="s">
        <v>339</v>
      </c>
    </row>
    <row r="390" spans="2:4">
      <c r="B390" s="43" t="s">
        <v>2088</v>
      </c>
      <c r="C390" s="44">
        <v>888</v>
      </c>
      <c r="D390" s="45" t="s">
        <v>339</v>
      </c>
    </row>
    <row r="391" spans="2:4">
      <c r="B391" s="43" t="s">
        <v>1666</v>
      </c>
      <c r="C391" s="44">
        <v>889</v>
      </c>
      <c r="D391" s="45" t="s">
        <v>339</v>
      </c>
    </row>
    <row r="392" spans="2:4">
      <c r="B392" s="43" t="s">
        <v>2089</v>
      </c>
      <c r="C392" s="44">
        <v>890</v>
      </c>
      <c r="D392" s="45" t="s">
        <v>339</v>
      </c>
    </row>
    <row r="393" spans="2:4">
      <c r="B393" s="43" t="s">
        <v>467</v>
      </c>
      <c r="C393" s="44">
        <v>891</v>
      </c>
      <c r="D393" s="45" t="s">
        <v>339</v>
      </c>
    </row>
    <row r="394" spans="2:4">
      <c r="B394" s="43" t="s">
        <v>2090</v>
      </c>
      <c r="C394" s="44">
        <v>892</v>
      </c>
      <c r="D394" s="45" t="s">
        <v>339</v>
      </c>
    </row>
    <row r="395" spans="2:4">
      <c r="B395" s="43" t="s">
        <v>2091</v>
      </c>
      <c r="C395" s="44">
        <v>893</v>
      </c>
      <c r="D395" s="45" t="s">
        <v>339</v>
      </c>
    </row>
    <row r="396" spans="2:4">
      <c r="B396" s="43" t="s">
        <v>2092</v>
      </c>
      <c r="C396" s="44">
        <v>894</v>
      </c>
      <c r="D396" s="45" t="s">
        <v>339</v>
      </c>
    </row>
    <row r="397" spans="2:4">
      <c r="B397" s="43" t="s">
        <v>2093</v>
      </c>
      <c r="C397" s="44">
        <v>895</v>
      </c>
      <c r="D397" s="45" t="s">
        <v>339</v>
      </c>
    </row>
    <row r="398" spans="2:4">
      <c r="B398" s="43" t="s">
        <v>2094</v>
      </c>
      <c r="C398" s="44">
        <v>896</v>
      </c>
      <c r="D398" s="45" t="s">
        <v>339</v>
      </c>
    </row>
    <row r="399" spans="2:4">
      <c r="B399" s="43" t="s">
        <v>2095</v>
      </c>
      <c r="C399" s="44">
        <v>897</v>
      </c>
      <c r="D399" s="45" t="s">
        <v>339</v>
      </c>
    </row>
    <row r="400" spans="2:4">
      <c r="B400" s="43" t="s">
        <v>347</v>
      </c>
      <c r="C400" s="44">
        <v>898</v>
      </c>
      <c r="D400" s="45" t="s">
        <v>339</v>
      </c>
    </row>
    <row r="401" spans="2:4">
      <c r="B401" s="43" t="s">
        <v>349</v>
      </c>
      <c r="C401" s="44">
        <v>899</v>
      </c>
      <c r="D401" s="45" t="s">
        <v>339</v>
      </c>
    </row>
    <row r="402" spans="2:4">
      <c r="B402" s="43" t="s">
        <v>2096</v>
      </c>
      <c r="C402" s="44">
        <v>900</v>
      </c>
      <c r="D402" s="45" t="s">
        <v>339</v>
      </c>
    </row>
    <row r="403" spans="2:4">
      <c r="B403" s="43" t="s">
        <v>490</v>
      </c>
      <c r="C403" s="44">
        <v>901</v>
      </c>
      <c r="D403" s="45" t="s">
        <v>339</v>
      </c>
    </row>
    <row r="404" spans="2:4">
      <c r="B404" s="43" t="s">
        <v>2097</v>
      </c>
      <c r="C404" s="44">
        <v>902</v>
      </c>
      <c r="D404" s="45" t="s">
        <v>339</v>
      </c>
    </row>
    <row r="405" spans="2:4">
      <c r="B405" s="43" t="s">
        <v>2098</v>
      </c>
      <c r="C405" s="44">
        <v>903</v>
      </c>
      <c r="D405" s="45" t="s">
        <v>339</v>
      </c>
    </row>
    <row r="406" spans="2:4">
      <c r="B406" s="43" t="s">
        <v>2099</v>
      </c>
      <c r="C406" s="44">
        <v>904</v>
      </c>
      <c r="D406" s="45" t="s">
        <v>339</v>
      </c>
    </row>
    <row r="407" spans="2:4">
      <c r="B407" s="43" t="s">
        <v>2100</v>
      </c>
      <c r="C407" s="44">
        <v>905</v>
      </c>
      <c r="D407" s="45" t="s">
        <v>339</v>
      </c>
    </row>
    <row r="408" spans="2:4">
      <c r="B408" s="43" t="s">
        <v>2101</v>
      </c>
      <c r="C408" s="44">
        <v>906</v>
      </c>
      <c r="D408" s="45" t="s">
        <v>339</v>
      </c>
    </row>
    <row r="409" spans="2:4">
      <c r="B409" s="43" t="s">
        <v>2102</v>
      </c>
      <c r="C409" s="44">
        <v>907</v>
      </c>
      <c r="D409" s="45" t="s">
        <v>339</v>
      </c>
    </row>
    <row r="410" spans="2:4">
      <c r="B410" s="43" t="s">
        <v>2103</v>
      </c>
      <c r="C410" s="44">
        <v>908</v>
      </c>
      <c r="D410" s="45" t="s">
        <v>339</v>
      </c>
    </row>
    <row r="411" spans="2:4">
      <c r="B411" s="43" t="s">
        <v>2104</v>
      </c>
      <c r="C411" s="44">
        <v>909</v>
      </c>
      <c r="D411" s="45" t="s">
        <v>339</v>
      </c>
    </row>
    <row r="412" spans="2:4">
      <c r="B412" s="43" t="s">
        <v>612</v>
      </c>
      <c r="C412" s="44">
        <v>910</v>
      </c>
      <c r="D412" s="45" t="s">
        <v>339</v>
      </c>
    </row>
    <row r="413" spans="2:4">
      <c r="B413" s="43" t="s">
        <v>2105</v>
      </c>
      <c r="C413" s="44">
        <v>911</v>
      </c>
      <c r="D413" s="45" t="s">
        <v>339</v>
      </c>
    </row>
    <row r="414" spans="2:4">
      <c r="B414" s="43" t="s">
        <v>614</v>
      </c>
      <c r="C414" s="44">
        <v>912</v>
      </c>
      <c r="D414" s="45" t="s">
        <v>339</v>
      </c>
    </row>
    <row r="415" spans="2:4">
      <c r="B415" s="43" t="s">
        <v>2106</v>
      </c>
      <c r="C415" s="44">
        <v>913</v>
      </c>
      <c r="D415" s="45" t="s">
        <v>339</v>
      </c>
    </row>
    <row r="416" spans="2:4">
      <c r="B416" s="43" t="s">
        <v>2107</v>
      </c>
      <c r="C416" s="44">
        <v>914</v>
      </c>
      <c r="D416" s="45" t="s">
        <v>339</v>
      </c>
    </row>
    <row r="417" spans="2:4">
      <c r="B417" s="43" t="s">
        <v>1436</v>
      </c>
      <c r="C417" s="44">
        <v>915</v>
      </c>
      <c r="D417" s="45" t="s">
        <v>339</v>
      </c>
    </row>
    <row r="418" spans="2:4">
      <c r="B418" s="43" t="s">
        <v>2108</v>
      </c>
      <c r="C418" s="44">
        <v>916</v>
      </c>
      <c r="D418" s="45" t="s">
        <v>339</v>
      </c>
    </row>
    <row r="419" spans="2:4">
      <c r="B419" s="43" t="s">
        <v>2109</v>
      </c>
      <c r="C419" s="44">
        <v>917</v>
      </c>
      <c r="D419" s="45" t="s">
        <v>339</v>
      </c>
    </row>
    <row r="420" spans="2:4">
      <c r="B420" s="43" t="s">
        <v>2110</v>
      </c>
      <c r="C420" s="44">
        <v>918</v>
      </c>
      <c r="D420" s="45" t="s">
        <v>339</v>
      </c>
    </row>
    <row r="421" spans="2:4">
      <c r="B421" s="43" t="s">
        <v>2111</v>
      </c>
      <c r="C421" s="44">
        <v>919</v>
      </c>
      <c r="D421" s="45" t="s">
        <v>339</v>
      </c>
    </row>
    <row r="422" spans="2:4">
      <c r="B422" s="43" t="s">
        <v>2112</v>
      </c>
      <c r="C422" s="44">
        <v>920</v>
      </c>
      <c r="D422" s="45" t="s">
        <v>339</v>
      </c>
    </row>
    <row r="423" spans="2:4">
      <c r="B423" s="43" t="s">
        <v>2113</v>
      </c>
      <c r="C423" s="44">
        <v>921</v>
      </c>
      <c r="D423" s="45" t="s">
        <v>339</v>
      </c>
    </row>
    <row r="424" spans="2:4">
      <c r="B424" s="43" t="s">
        <v>887</v>
      </c>
      <c r="C424" s="44">
        <v>922</v>
      </c>
      <c r="D424" s="45" t="s">
        <v>339</v>
      </c>
    </row>
    <row r="425" spans="2:4">
      <c r="B425" s="43" t="s">
        <v>2114</v>
      </c>
      <c r="C425" s="44">
        <v>923</v>
      </c>
      <c r="D425" s="45" t="s">
        <v>339</v>
      </c>
    </row>
    <row r="426" spans="2:4">
      <c r="B426" s="43" t="s">
        <v>1121</v>
      </c>
      <c r="C426" s="44">
        <v>924</v>
      </c>
      <c r="D426" s="45" t="s">
        <v>339</v>
      </c>
    </row>
    <row r="427" spans="2:4">
      <c r="B427" s="43" t="s">
        <v>2115</v>
      </c>
      <c r="C427" s="44">
        <v>925</v>
      </c>
      <c r="D427" s="45" t="s">
        <v>339</v>
      </c>
    </row>
    <row r="428" spans="2:4">
      <c r="B428" s="43" t="s">
        <v>637</v>
      </c>
      <c r="C428" s="44">
        <v>926</v>
      </c>
      <c r="D428" s="45" t="s">
        <v>339</v>
      </c>
    </row>
    <row r="429" spans="2:4">
      <c r="B429" s="43" t="s">
        <v>2116</v>
      </c>
      <c r="C429" s="44">
        <v>927</v>
      </c>
      <c r="D429" s="45" t="s">
        <v>339</v>
      </c>
    </row>
    <row r="430" spans="2:4">
      <c r="B430" s="43" t="s">
        <v>2117</v>
      </c>
      <c r="C430" s="44">
        <v>928</v>
      </c>
      <c r="D430" s="45" t="s">
        <v>339</v>
      </c>
    </row>
    <row r="431" spans="2:4">
      <c r="B431" s="43" t="s">
        <v>532</v>
      </c>
      <c r="C431" s="44">
        <v>929</v>
      </c>
      <c r="D431" s="45" t="s">
        <v>339</v>
      </c>
    </row>
    <row r="432" spans="2:4">
      <c r="B432" s="43" t="s">
        <v>2118</v>
      </c>
      <c r="C432" s="44">
        <v>930</v>
      </c>
      <c r="D432" s="45" t="s">
        <v>339</v>
      </c>
    </row>
    <row r="433" spans="2:4">
      <c r="B433" s="43" t="s">
        <v>2119</v>
      </c>
      <c r="C433" s="44">
        <v>931</v>
      </c>
      <c r="D433" s="45" t="s">
        <v>339</v>
      </c>
    </row>
    <row r="434" spans="2:4">
      <c r="B434" s="43" t="s">
        <v>1405</v>
      </c>
      <c r="C434" s="44">
        <v>932</v>
      </c>
      <c r="D434" s="45" t="s">
        <v>339</v>
      </c>
    </row>
    <row r="435" spans="2:4">
      <c r="B435" s="43" t="s">
        <v>2120</v>
      </c>
      <c r="C435" s="44">
        <v>933</v>
      </c>
      <c r="D435" s="45" t="s">
        <v>339</v>
      </c>
    </row>
    <row r="436" spans="2:4">
      <c r="B436" s="43" t="s">
        <v>1124</v>
      </c>
      <c r="C436" s="44">
        <v>934</v>
      </c>
      <c r="D436" s="45" t="s">
        <v>339</v>
      </c>
    </row>
    <row r="437" spans="2:4">
      <c r="B437" s="43" t="s">
        <v>2121</v>
      </c>
      <c r="C437" s="44">
        <v>935</v>
      </c>
      <c r="D437" s="45" t="s">
        <v>339</v>
      </c>
    </row>
    <row r="438" spans="2:4">
      <c r="B438" s="43" t="s">
        <v>2122</v>
      </c>
      <c r="C438" s="44">
        <v>936</v>
      </c>
      <c r="D438" s="45" t="s">
        <v>339</v>
      </c>
    </row>
    <row r="439" spans="2:4">
      <c r="B439" s="43" t="s">
        <v>2123</v>
      </c>
      <c r="C439" s="44">
        <v>937</v>
      </c>
      <c r="D439" s="45" t="s">
        <v>339</v>
      </c>
    </row>
    <row r="440" spans="2:4">
      <c r="B440" s="43" t="s">
        <v>2124</v>
      </c>
      <c r="C440" s="44">
        <v>938</v>
      </c>
      <c r="D440" s="45" t="s">
        <v>339</v>
      </c>
    </row>
    <row r="441" spans="2:4">
      <c r="B441" s="43" t="s">
        <v>2125</v>
      </c>
      <c r="C441" s="44">
        <v>939</v>
      </c>
      <c r="D441" s="45" t="s">
        <v>339</v>
      </c>
    </row>
    <row r="442" spans="2:4">
      <c r="B442" s="43" t="s">
        <v>2126</v>
      </c>
      <c r="C442" s="44">
        <v>940</v>
      </c>
      <c r="D442" s="45" t="s">
        <v>339</v>
      </c>
    </row>
    <row r="443" spans="2:4">
      <c r="B443" s="43" t="s">
        <v>2127</v>
      </c>
      <c r="C443" s="44">
        <v>941</v>
      </c>
      <c r="D443" s="45" t="s">
        <v>339</v>
      </c>
    </row>
    <row r="444" spans="2:4">
      <c r="B444" s="43" t="s">
        <v>2128</v>
      </c>
      <c r="C444" s="44">
        <v>942</v>
      </c>
      <c r="D444" s="45" t="s">
        <v>339</v>
      </c>
    </row>
    <row r="445" spans="2:4">
      <c r="B445" s="43" t="s">
        <v>2129</v>
      </c>
      <c r="C445" s="44">
        <v>943</v>
      </c>
      <c r="D445" s="45" t="s">
        <v>339</v>
      </c>
    </row>
    <row r="446" spans="2:4">
      <c r="B446" s="43" t="s">
        <v>2130</v>
      </c>
      <c r="C446" s="44">
        <v>944</v>
      </c>
      <c r="D446" s="45" t="s">
        <v>339</v>
      </c>
    </row>
    <row r="447" spans="2:4">
      <c r="B447" s="43" t="s">
        <v>2131</v>
      </c>
      <c r="C447" s="44">
        <v>945</v>
      </c>
      <c r="D447" s="45" t="s">
        <v>339</v>
      </c>
    </row>
    <row r="448" spans="2:4">
      <c r="B448" s="43" t="s">
        <v>2132</v>
      </c>
      <c r="C448" s="44">
        <v>946</v>
      </c>
      <c r="D448" s="45" t="s">
        <v>339</v>
      </c>
    </row>
    <row r="449" spans="2:4">
      <c r="B449" s="43" t="s">
        <v>2133</v>
      </c>
      <c r="C449" s="44">
        <v>947</v>
      </c>
      <c r="D449" s="45" t="s">
        <v>339</v>
      </c>
    </row>
    <row r="450" spans="2:4">
      <c r="B450" s="43" t="s">
        <v>2134</v>
      </c>
      <c r="C450" s="44">
        <v>948</v>
      </c>
      <c r="D450" s="45" t="s">
        <v>339</v>
      </c>
    </row>
    <row r="451" spans="2:4">
      <c r="B451" s="43" t="s">
        <v>2135</v>
      </c>
      <c r="C451" s="44">
        <v>949</v>
      </c>
      <c r="D451" s="45" t="s">
        <v>339</v>
      </c>
    </row>
    <row r="452" spans="2:4">
      <c r="B452" s="43" t="s">
        <v>2136</v>
      </c>
      <c r="C452" s="44">
        <v>950</v>
      </c>
      <c r="D452" s="45" t="s">
        <v>339</v>
      </c>
    </row>
    <row r="453" spans="2:4">
      <c r="B453" s="43" t="s">
        <v>2137</v>
      </c>
      <c r="C453" s="44">
        <v>951</v>
      </c>
      <c r="D453" s="45" t="s">
        <v>339</v>
      </c>
    </row>
    <row r="454" spans="2:4">
      <c r="B454" s="43" t="s">
        <v>2138</v>
      </c>
      <c r="C454" s="44">
        <v>952</v>
      </c>
      <c r="D454" s="45" t="s">
        <v>339</v>
      </c>
    </row>
    <row r="455" spans="2:4">
      <c r="B455" s="43" t="s">
        <v>2139</v>
      </c>
      <c r="C455" s="44">
        <v>953</v>
      </c>
      <c r="D455" s="45" t="s">
        <v>339</v>
      </c>
    </row>
    <row r="456" spans="2:4">
      <c r="B456" s="43" t="s">
        <v>2140</v>
      </c>
      <c r="C456" s="44">
        <v>954</v>
      </c>
      <c r="D456" s="45" t="s">
        <v>339</v>
      </c>
    </row>
    <row r="457" spans="2:4">
      <c r="B457" s="43" t="s">
        <v>2141</v>
      </c>
      <c r="C457" s="44">
        <v>955</v>
      </c>
      <c r="D457" s="45" t="s">
        <v>339</v>
      </c>
    </row>
    <row r="458" spans="2:4">
      <c r="B458" s="43" t="s">
        <v>2142</v>
      </c>
      <c r="C458" s="44">
        <v>956</v>
      </c>
      <c r="D458" s="45" t="s">
        <v>339</v>
      </c>
    </row>
    <row r="459" spans="2:4">
      <c r="B459" s="43" t="s">
        <v>2143</v>
      </c>
      <c r="C459" s="44">
        <v>957</v>
      </c>
      <c r="D459" s="45" t="s">
        <v>339</v>
      </c>
    </row>
    <row r="460" spans="2:4">
      <c r="B460" s="43" t="s">
        <v>2144</v>
      </c>
      <c r="C460" s="44">
        <v>958</v>
      </c>
      <c r="D460" s="45" t="s">
        <v>339</v>
      </c>
    </row>
    <row r="461" spans="2:4">
      <c r="B461" s="43" t="s">
        <v>2145</v>
      </c>
      <c r="C461" s="44">
        <v>959</v>
      </c>
      <c r="D461" s="45" t="s">
        <v>339</v>
      </c>
    </row>
    <row r="462" spans="2:4">
      <c r="B462" s="43" t="s">
        <v>2146</v>
      </c>
      <c r="C462" s="44">
        <v>960</v>
      </c>
      <c r="D462" s="45" t="s">
        <v>339</v>
      </c>
    </row>
    <row r="463" spans="2:4">
      <c r="B463" s="43" t="s">
        <v>675</v>
      </c>
      <c r="C463" s="44">
        <v>961</v>
      </c>
      <c r="D463" s="45" t="s">
        <v>339</v>
      </c>
    </row>
    <row r="464" spans="2:4">
      <c r="B464" s="43" t="s">
        <v>2147</v>
      </c>
      <c r="C464" s="44">
        <v>962</v>
      </c>
      <c r="D464" s="45" t="s">
        <v>339</v>
      </c>
    </row>
    <row r="465" spans="2:4">
      <c r="B465" s="43" t="s">
        <v>2148</v>
      </c>
      <c r="C465" s="44">
        <v>963</v>
      </c>
      <c r="D465" s="45" t="s">
        <v>339</v>
      </c>
    </row>
    <row r="466" spans="2:4">
      <c r="B466" s="43" t="s">
        <v>1782</v>
      </c>
      <c r="C466" s="44">
        <v>964</v>
      </c>
      <c r="D466" s="45" t="s">
        <v>339</v>
      </c>
    </row>
    <row r="467" spans="2:4">
      <c r="B467" s="43" t="s">
        <v>2149</v>
      </c>
      <c r="C467" s="44">
        <v>965</v>
      </c>
      <c r="D467" s="45" t="s">
        <v>339</v>
      </c>
    </row>
    <row r="468" spans="2:4">
      <c r="B468" s="43" t="s">
        <v>2150</v>
      </c>
      <c r="C468" s="44">
        <v>966</v>
      </c>
      <c r="D468" s="45" t="s">
        <v>339</v>
      </c>
    </row>
    <row r="469" spans="2:4">
      <c r="B469" s="43" t="s">
        <v>2151</v>
      </c>
      <c r="C469" s="44">
        <v>967</v>
      </c>
      <c r="D469" s="45" t="s">
        <v>339</v>
      </c>
    </row>
    <row r="470" spans="2:4">
      <c r="B470" s="43" t="s">
        <v>2152</v>
      </c>
      <c r="C470" s="44">
        <v>968</v>
      </c>
      <c r="D470" s="45" t="s">
        <v>339</v>
      </c>
    </row>
    <row r="471" spans="2:4">
      <c r="B471" s="43" t="s">
        <v>2153</v>
      </c>
      <c r="C471" s="44">
        <v>969</v>
      </c>
      <c r="D471" s="45" t="s">
        <v>339</v>
      </c>
    </row>
    <row r="472" spans="2:4">
      <c r="B472" s="43" t="s">
        <v>1819</v>
      </c>
      <c r="C472" s="44">
        <v>970</v>
      </c>
      <c r="D472" s="45" t="s">
        <v>339</v>
      </c>
    </row>
    <row r="473" spans="2:4">
      <c r="B473" s="43" t="s">
        <v>2154</v>
      </c>
      <c r="C473" s="44">
        <v>971</v>
      </c>
      <c r="D473" s="45" t="s">
        <v>339</v>
      </c>
    </row>
    <row r="474" spans="2:4">
      <c r="B474" s="43" t="s">
        <v>2155</v>
      </c>
      <c r="C474" s="44">
        <v>972</v>
      </c>
      <c r="D474" s="45" t="s">
        <v>339</v>
      </c>
    </row>
    <row r="475" spans="2:4">
      <c r="B475" s="43" t="s">
        <v>2156</v>
      </c>
      <c r="C475" s="44">
        <v>973</v>
      </c>
      <c r="D475" s="45" t="s">
        <v>339</v>
      </c>
    </row>
    <row r="476" spans="2:4">
      <c r="B476" s="43" t="s">
        <v>1392</v>
      </c>
      <c r="C476" s="44">
        <v>974</v>
      </c>
      <c r="D476" s="45" t="s">
        <v>339</v>
      </c>
    </row>
    <row r="477" spans="2:4">
      <c r="B477" s="43" t="s">
        <v>2157</v>
      </c>
      <c r="C477" s="44">
        <v>975</v>
      </c>
      <c r="D477" s="45" t="s">
        <v>339</v>
      </c>
    </row>
    <row r="478" spans="2:4">
      <c r="B478" s="43" t="s">
        <v>2158</v>
      </c>
      <c r="C478" s="44">
        <v>976</v>
      </c>
      <c r="D478" s="45" t="s">
        <v>339</v>
      </c>
    </row>
    <row r="479" spans="2:4">
      <c r="B479" s="43" t="s">
        <v>2159</v>
      </c>
      <c r="C479" s="44">
        <v>977</v>
      </c>
      <c r="D479" s="45" t="s">
        <v>339</v>
      </c>
    </row>
    <row r="480" spans="2:4">
      <c r="B480" s="43" t="s">
        <v>2160</v>
      </c>
      <c r="C480" s="44">
        <v>978</v>
      </c>
      <c r="D480" s="45" t="s">
        <v>339</v>
      </c>
    </row>
    <row r="481" spans="2:4">
      <c r="B481" s="43" t="s">
        <v>2161</v>
      </c>
      <c r="C481" s="44">
        <v>979</v>
      </c>
      <c r="D481" s="45" t="s">
        <v>339</v>
      </c>
    </row>
    <row r="482" spans="2:4">
      <c r="B482" s="43" t="s">
        <v>2162</v>
      </c>
      <c r="C482" s="44">
        <v>980</v>
      </c>
      <c r="D482" s="45" t="s">
        <v>339</v>
      </c>
    </row>
    <row r="483" spans="2:4">
      <c r="B483" s="43" t="s">
        <v>492</v>
      </c>
      <c r="C483" s="44">
        <v>981</v>
      </c>
      <c r="D483" s="45" t="s">
        <v>339</v>
      </c>
    </row>
    <row r="484" spans="2:4">
      <c r="B484" s="43" t="s">
        <v>2163</v>
      </c>
      <c r="C484" s="44">
        <v>982</v>
      </c>
      <c r="D484" s="45" t="s">
        <v>339</v>
      </c>
    </row>
    <row r="485" spans="2:4">
      <c r="B485" s="43" t="s">
        <v>2164</v>
      </c>
      <c r="C485" s="44">
        <v>983</v>
      </c>
      <c r="D485" s="45" t="s">
        <v>339</v>
      </c>
    </row>
    <row r="486" spans="2:4">
      <c r="B486" s="43" t="s">
        <v>2165</v>
      </c>
      <c r="C486" s="44">
        <v>984</v>
      </c>
      <c r="D486" s="45" t="s">
        <v>339</v>
      </c>
    </row>
    <row r="487" spans="2:4">
      <c r="B487" s="43" t="s">
        <v>2166</v>
      </c>
      <c r="C487" s="44">
        <v>985</v>
      </c>
      <c r="D487" s="45" t="s">
        <v>339</v>
      </c>
    </row>
    <row r="488" spans="2:4">
      <c r="B488" s="43" t="s">
        <v>2167</v>
      </c>
      <c r="C488" s="44">
        <v>986</v>
      </c>
      <c r="D488" s="45" t="s">
        <v>339</v>
      </c>
    </row>
    <row r="489" spans="2:4">
      <c r="B489" s="43" t="s">
        <v>2168</v>
      </c>
      <c r="C489" s="44">
        <v>987</v>
      </c>
      <c r="D489" s="45" t="s">
        <v>339</v>
      </c>
    </row>
    <row r="490" spans="2:4">
      <c r="B490" s="43" t="s">
        <v>432</v>
      </c>
      <c r="C490" s="44">
        <v>988</v>
      </c>
      <c r="D490" s="45" t="s">
        <v>339</v>
      </c>
    </row>
    <row r="491" spans="2:4">
      <c r="B491" s="43" t="s">
        <v>1271</v>
      </c>
      <c r="C491" s="44">
        <v>989</v>
      </c>
      <c r="D491" s="45" t="s">
        <v>339</v>
      </c>
    </row>
    <row r="492" spans="2:4">
      <c r="B492" s="43" t="s">
        <v>1273</v>
      </c>
      <c r="C492" s="44">
        <v>990</v>
      </c>
      <c r="D492" s="45" t="s">
        <v>339</v>
      </c>
    </row>
    <row r="493" spans="2:4">
      <c r="B493" s="43" t="s">
        <v>1275</v>
      </c>
      <c r="C493" s="44">
        <v>991</v>
      </c>
      <c r="D493" s="45" t="s">
        <v>339</v>
      </c>
    </row>
    <row r="494" spans="2:4">
      <c r="B494" s="43" t="s">
        <v>1277</v>
      </c>
      <c r="C494" s="44">
        <v>992</v>
      </c>
      <c r="D494" s="45" t="s">
        <v>339</v>
      </c>
    </row>
    <row r="495" spans="2:4">
      <c r="B495" s="43" t="s">
        <v>2169</v>
      </c>
      <c r="C495" s="44">
        <v>993</v>
      </c>
      <c r="D495" s="45" t="s">
        <v>339</v>
      </c>
    </row>
    <row r="496" spans="2:4">
      <c r="B496" s="43" t="s">
        <v>2170</v>
      </c>
      <c r="C496" s="44">
        <v>994</v>
      </c>
      <c r="D496" s="45" t="s">
        <v>339</v>
      </c>
    </row>
    <row r="497" spans="2:4">
      <c r="B497" s="43" t="s">
        <v>2171</v>
      </c>
      <c r="C497" s="44">
        <v>995</v>
      </c>
      <c r="D497" s="45" t="s">
        <v>339</v>
      </c>
    </row>
    <row r="498" spans="2:4">
      <c r="B498" s="43" t="s">
        <v>2172</v>
      </c>
      <c r="C498" s="44">
        <v>996</v>
      </c>
      <c r="D498" s="45" t="s">
        <v>339</v>
      </c>
    </row>
    <row r="499" spans="2:4">
      <c r="B499" s="43" t="s">
        <v>2173</v>
      </c>
      <c r="C499" s="44">
        <v>997</v>
      </c>
      <c r="D499" s="45" t="s">
        <v>339</v>
      </c>
    </row>
    <row r="500" spans="2:4">
      <c r="B500" s="43" t="s">
        <v>2174</v>
      </c>
      <c r="C500" s="44">
        <v>998</v>
      </c>
      <c r="D500" s="45" t="s">
        <v>339</v>
      </c>
    </row>
    <row r="501" spans="2:4">
      <c r="B501" s="43" t="s">
        <v>2175</v>
      </c>
      <c r="C501" s="44">
        <v>999</v>
      </c>
      <c r="D501" s="45" t="s">
        <v>339</v>
      </c>
    </row>
    <row r="502" spans="2:4">
      <c r="B502" s="43" t="s">
        <v>1055</v>
      </c>
      <c r="C502" s="44">
        <v>1000</v>
      </c>
      <c r="D502" s="45" t="s">
        <v>339</v>
      </c>
    </row>
    <row r="503" spans="2:4">
      <c r="B503" s="43" t="s">
        <v>2176</v>
      </c>
      <c r="C503" s="44">
        <v>1001</v>
      </c>
      <c r="D503" s="45" t="s">
        <v>339</v>
      </c>
    </row>
    <row r="504" spans="2:4">
      <c r="B504" s="43" t="s">
        <v>2177</v>
      </c>
      <c r="C504" s="44">
        <v>1002</v>
      </c>
      <c r="D504" s="45" t="s">
        <v>339</v>
      </c>
    </row>
    <row r="505" spans="2:4">
      <c r="B505" s="43" t="s">
        <v>2178</v>
      </c>
      <c r="C505" s="44">
        <v>1003</v>
      </c>
      <c r="D505" s="45" t="s">
        <v>339</v>
      </c>
    </row>
    <row r="506" spans="2:4">
      <c r="B506" s="43" t="s">
        <v>2179</v>
      </c>
      <c r="C506" s="44">
        <v>1004</v>
      </c>
      <c r="D506" s="45" t="s">
        <v>339</v>
      </c>
    </row>
    <row r="507" spans="2:4">
      <c r="B507" s="43" t="s">
        <v>2180</v>
      </c>
      <c r="C507" s="44">
        <v>1005</v>
      </c>
      <c r="D507" s="45" t="s">
        <v>339</v>
      </c>
    </row>
    <row r="508" spans="2:4">
      <c r="B508" s="43" t="s">
        <v>2181</v>
      </c>
      <c r="C508" s="44">
        <v>1006</v>
      </c>
      <c r="D508" s="45" t="s">
        <v>339</v>
      </c>
    </row>
    <row r="509" spans="2:4">
      <c r="B509" s="43" t="s">
        <v>2182</v>
      </c>
      <c r="C509" s="44">
        <v>1007</v>
      </c>
      <c r="D509" s="45" t="s">
        <v>339</v>
      </c>
    </row>
    <row r="510" spans="2:4">
      <c r="B510" s="43" t="s">
        <v>2183</v>
      </c>
      <c r="C510" s="44">
        <v>1008</v>
      </c>
      <c r="D510" s="45" t="s">
        <v>339</v>
      </c>
    </row>
    <row r="511" spans="2:4">
      <c r="B511" s="43" t="s">
        <v>2184</v>
      </c>
      <c r="C511" s="44">
        <v>1009</v>
      </c>
      <c r="D511" s="45" t="s">
        <v>339</v>
      </c>
    </row>
    <row r="512" spans="2:4">
      <c r="B512" s="43" t="s">
        <v>2185</v>
      </c>
      <c r="C512" s="44">
        <v>1010</v>
      </c>
      <c r="D512" s="45" t="s">
        <v>339</v>
      </c>
    </row>
    <row r="513" spans="2:4">
      <c r="B513" s="43" t="s">
        <v>925</v>
      </c>
      <c r="C513" s="44">
        <v>1011</v>
      </c>
      <c r="D513" s="45" t="s">
        <v>339</v>
      </c>
    </row>
    <row r="514" spans="2:4">
      <c r="B514" s="43" t="s">
        <v>2186</v>
      </c>
      <c r="C514" s="44">
        <v>1012</v>
      </c>
      <c r="D514" s="45" t="s">
        <v>339</v>
      </c>
    </row>
    <row r="515" spans="2:4">
      <c r="B515" s="43" t="s">
        <v>859</v>
      </c>
      <c r="C515" s="44">
        <v>1013</v>
      </c>
      <c r="D515" s="45" t="s">
        <v>339</v>
      </c>
    </row>
    <row r="516" spans="2:4">
      <c r="B516" s="43" t="s">
        <v>2187</v>
      </c>
      <c r="C516" s="44">
        <v>1014</v>
      </c>
      <c r="D516" s="45" t="s">
        <v>339</v>
      </c>
    </row>
    <row r="517" spans="2:4">
      <c r="B517" s="43" t="s">
        <v>2188</v>
      </c>
      <c r="C517" s="44">
        <v>1015</v>
      </c>
      <c r="D517" s="45" t="s">
        <v>339</v>
      </c>
    </row>
    <row r="518" spans="2:4">
      <c r="B518" s="43" t="s">
        <v>2189</v>
      </c>
      <c r="C518" s="44">
        <v>1016</v>
      </c>
      <c r="D518" s="45" t="s">
        <v>339</v>
      </c>
    </row>
    <row r="519" spans="2:4">
      <c r="B519" s="43" t="s">
        <v>876</v>
      </c>
      <c r="C519" s="44">
        <v>1017</v>
      </c>
      <c r="D519" s="45" t="s">
        <v>339</v>
      </c>
    </row>
    <row r="520" spans="2:4">
      <c r="B520" s="43" t="s">
        <v>2190</v>
      </c>
      <c r="C520" s="44">
        <v>1018</v>
      </c>
      <c r="D520" s="45" t="s">
        <v>339</v>
      </c>
    </row>
    <row r="521" spans="2:4">
      <c r="B521" s="43" t="s">
        <v>2191</v>
      </c>
      <c r="C521" s="44">
        <v>1019</v>
      </c>
      <c r="D521" s="45" t="s">
        <v>339</v>
      </c>
    </row>
    <row r="522" spans="2:4">
      <c r="B522" s="43" t="s">
        <v>2192</v>
      </c>
      <c r="C522" s="44">
        <v>1020</v>
      </c>
      <c r="D522" s="45" t="s">
        <v>339</v>
      </c>
    </row>
    <row r="523" spans="2:4">
      <c r="B523" s="43" t="s">
        <v>2193</v>
      </c>
      <c r="C523" s="44">
        <v>1021</v>
      </c>
      <c r="D523" s="45" t="s">
        <v>339</v>
      </c>
    </row>
    <row r="524" spans="2:4">
      <c r="B524" s="43" t="s">
        <v>375</v>
      </c>
      <c r="C524" s="44">
        <v>1022</v>
      </c>
      <c r="D524" s="45" t="s">
        <v>339</v>
      </c>
    </row>
    <row r="525" spans="2:4">
      <c r="B525" s="43" t="s">
        <v>2194</v>
      </c>
      <c r="C525" s="44">
        <v>1023</v>
      </c>
      <c r="D525" s="45" t="s">
        <v>339</v>
      </c>
    </row>
    <row r="526" spans="2:4">
      <c r="B526" s="43" t="s">
        <v>2195</v>
      </c>
      <c r="C526" s="44">
        <v>1024</v>
      </c>
      <c r="D526" s="45" t="s">
        <v>339</v>
      </c>
    </row>
    <row r="527" spans="2:4">
      <c r="B527" s="43" t="s">
        <v>2196</v>
      </c>
      <c r="C527" s="44">
        <v>1025</v>
      </c>
      <c r="D527" s="45" t="s">
        <v>339</v>
      </c>
    </row>
    <row r="528" spans="2:4">
      <c r="B528" s="43" t="s">
        <v>2197</v>
      </c>
      <c r="C528" s="44">
        <v>1026</v>
      </c>
      <c r="D528" s="45" t="s">
        <v>339</v>
      </c>
    </row>
    <row r="529" spans="2:4">
      <c r="B529" s="43" t="s">
        <v>1795</v>
      </c>
      <c r="C529" s="44">
        <v>1027</v>
      </c>
      <c r="D529" s="45" t="s">
        <v>339</v>
      </c>
    </row>
    <row r="530" spans="2:4">
      <c r="B530" s="43" t="s">
        <v>2198</v>
      </c>
      <c r="C530" s="44">
        <v>1028</v>
      </c>
      <c r="D530" s="45" t="s">
        <v>339</v>
      </c>
    </row>
    <row r="531" spans="2:4">
      <c r="B531" s="43" t="s">
        <v>2199</v>
      </c>
      <c r="C531" s="44">
        <v>1029</v>
      </c>
      <c r="D531" s="45" t="s">
        <v>339</v>
      </c>
    </row>
    <row r="532" spans="2:4">
      <c r="B532" s="43" t="s">
        <v>2200</v>
      </c>
      <c r="C532" s="44">
        <v>1030</v>
      </c>
      <c r="D532" s="45" t="s">
        <v>339</v>
      </c>
    </row>
    <row r="533" spans="2:4">
      <c r="B533" s="43" t="s">
        <v>685</v>
      </c>
      <c r="C533" s="44">
        <v>1031</v>
      </c>
      <c r="D533" s="45" t="s">
        <v>339</v>
      </c>
    </row>
    <row r="534" spans="2:4">
      <c r="B534" s="43" t="s">
        <v>2201</v>
      </c>
      <c r="C534" s="44">
        <v>1032</v>
      </c>
      <c r="D534" s="45" t="s">
        <v>339</v>
      </c>
    </row>
    <row r="535" spans="2:4">
      <c r="B535" s="43" t="s">
        <v>2202</v>
      </c>
      <c r="C535" s="44">
        <v>1033</v>
      </c>
      <c r="D535" s="45" t="s">
        <v>339</v>
      </c>
    </row>
    <row r="536" spans="2:4">
      <c r="B536" s="43" t="s">
        <v>2203</v>
      </c>
      <c r="C536" s="44">
        <v>1034</v>
      </c>
      <c r="D536" s="45" t="s">
        <v>339</v>
      </c>
    </row>
    <row r="537" spans="2:4">
      <c r="B537" s="43" t="s">
        <v>2204</v>
      </c>
      <c r="C537" s="44">
        <v>1035</v>
      </c>
      <c r="D537" s="45" t="s">
        <v>339</v>
      </c>
    </row>
    <row r="538" spans="2:4">
      <c r="B538" s="43" t="s">
        <v>2205</v>
      </c>
      <c r="C538" s="44">
        <v>1036</v>
      </c>
      <c r="D538" s="45" t="s">
        <v>339</v>
      </c>
    </row>
    <row r="539" spans="2:4">
      <c r="B539" s="43" t="s">
        <v>1221</v>
      </c>
      <c r="C539" s="44">
        <v>1037</v>
      </c>
      <c r="D539" s="45" t="s">
        <v>339</v>
      </c>
    </row>
    <row r="540" spans="2:4">
      <c r="B540" s="43" t="s">
        <v>1229</v>
      </c>
      <c r="C540" s="44">
        <v>1038</v>
      </c>
      <c r="D540" s="45" t="s">
        <v>339</v>
      </c>
    </row>
    <row r="541" spans="2:4">
      <c r="B541" s="43" t="s">
        <v>2206</v>
      </c>
      <c r="C541" s="44">
        <v>1039</v>
      </c>
      <c r="D541" s="45" t="s">
        <v>339</v>
      </c>
    </row>
    <row r="542" spans="2:4">
      <c r="B542" s="43" t="s">
        <v>2207</v>
      </c>
      <c r="C542" s="44">
        <v>1040</v>
      </c>
      <c r="D542" s="45" t="s">
        <v>339</v>
      </c>
    </row>
    <row r="543" spans="2:4">
      <c r="B543" s="43" t="s">
        <v>2208</v>
      </c>
      <c r="C543" s="44">
        <v>1041</v>
      </c>
      <c r="D543" s="45" t="s">
        <v>339</v>
      </c>
    </row>
    <row r="544" spans="2:4">
      <c r="B544" s="43" t="s">
        <v>2209</v>
      </c>
      <c r="C544" s="44">
        <v>1042</v>
      </c>
      <c r="D544" s="45" t="s">
        <v>339</v>
      </c>
    </row>
    <row r="545" spans="2:4">
      <c r="B545" s="43" t="s">
        <v>2210</v>
      </c>
      <c r="C545" s="44">
        <v>1043</v>
      </c>
      <c r="D545" s="45" t="s">
        <v>339</v>
      </c>
    </row>
    <row r="546" spans="2:4">
      <c r="B546" s="43" t="s">
        <v>2211</v>
      </c>
      <c r="C546" s="44">
        <v>1044</v>
      </c>
      <c r="D546" s="45" t="s">
        <v>339</v>
      </c>
    </row>
    <row r="547" spans="2:4">
      <c r="B547" s="43" t="s">
        <v>2212</v>
      </c>
      <c r="C547" s="44">
        <v>1045</v>
      </c>
      <c r="D547" s="45" t="s">
        <v>339</v>
      </c>
    </row>
    <row r="548" spans="2:4">
      <c r="B548" s="43" t="s">
        <v>2213</v>
      </c>
      <c r="C548" s="44">
        <v>1046</v>
      </c>
      <c r="D548" s="45" t="s">
        <v>339</v>
      </c>
    </row>
    <row r="549" spans="2:4">
      <c r="B549" s="43" t="s">
        <v>2214</v>
      </c>
      <c r="C549" s="44">
        <v>1047</v>
      </c>
      <c r="D549" s="45" t="s">
        <v>339</v>
      </c>
    </row>
    <row r="550" spans="2:4">
      <c r="B550" s="43" t="s">
        <v>2215</v>
      </c>
      <c r="C550" s="44">
        <v>1048</v>
      </c>
      <c r="D550" s="45" t="s">
        <v>339</v>
      </c>
    </row>
    <row r="551" spans="2:4">
      <c r="B551" s="43" t="s">
        <v>2216</v>
      </c>
      <c r="C551" s="44">
        <v>1049</v>
      </c>
      <c r="D551" s="45" t="s">
        <v>339</v>
      </c>
    </row>
    <row r="552" spans="2:4">
      <c r="B552" s="43" t="s">
        <v>2217</v>
      </c>
      <c r="C552" s="44">
        <v>1050</v>
      </c>
      <c r="D552" s="45" t="s">
        <v>339</v>
      </c>
    </row>
    <row r="553" spans="2:4">
      <c r="B553" s="43" t="s">
        <v>2218</v>
      </c>
      <c r="C553" s="44">
        <v>1051</v>
      </c>
      <c r="D553" s="45" t="s">
        <v>339</v>
      </c>
    </row>
    <row r="554" spans="2:4">
      <c r="B554" s="43" t="s">
        <v>2219</v>
      </c>
      <c r="C554" s="44">
        <v>1052</v>
      </c>
      <c r="D554" s="45" t="s">
        <v>339</v>
      </c>
    </row>
    <row r="555" spans="2:4">
      <c r="B555" s="43" t="s">
        <v>2220</v>
      </c>
      <c r="C555" s="44">
        <v>1053</v>
      </c>
      <c r="D555" s="45" t="s">
        <v>339</v>
      </c>
    </row>
    <row r="556" spans="2:4">
      <c r="B556" s="43" t="s">
        <v>2221</v>
      </c>
      <c r="C556" s="44">
        <v>1054</v>
      </c>
      <c r="D556" s="45" t="s">
        <v>339</v>
      </c>
    </row>
    <row r="557" spans="2:4">
      <c r="B557" s="43" t="s">
        <v>518</v>
      </c>
      <c r="C557" s="44">
        <v>1055</v>
      </c>
      <c r="D557" s="45" t="s">
        <v>339</v>
      </c>
    </row>
    <row r="558" spans="2:4">
      <c r="B558" s="43" t="s">
        <v>2222</v>
      </c>
      <c r="C558" s="44">
        <v>1056</v>
      </c>
      <c r="D558" s="45" t="s">
        <v>339</v>
      </c>
    </row>
    <row r="559" spans="2:4">
      <c r="B559" s="43" t="s">
        <v>843</v>
      </c>
      <c r="C559" s="44">
        <v>1057</v>
      </c>
      <c r="D559" s="45" t="s">
        <v>339</v>
      </c>
    </row>
    <row r="560" spans="2:4">
      <c r="B560" s="43" t="s">
        <v>2223</v>
      </c>
      <c r="C560" s="44">
        <v>1058</v>
      </c>
      <c r="D560" s="45" t="s">
        <v>339</v>
      </c>
    </row>
    <row r="561" spans="2:4">
      <c r="B561" s="43" t="s">
        <v>2224</v>
      </c>
      <c r="C561" s="44">
        <v>1059</v>
      </c>
      <c r="D561" s="45" t="s">
        <v>339</v>
      </c>
    </row>
    <row r="562" spans="2:4">
      <c r="B562" s="43" t="s">
        <v>1643</v>
      </c>
      <c r="C562" s="44">
        <v>1060</v>
      </c>
      <c r="D562" s="45" t="s">
        <v>339</v>
      </c>
    </row>
    <row r="563" spans="2:4">
      <c r="B563" s="43" t="s">
        <v>753</v>
      </c>
      <c r="C563" s="44">
        <v>1061</v>
      </c>
      <c r="D563" s="45" t="s">
        <v>339</v>
      </c>
    </row>
    <row r="564" spans="2:4">
      <c r="B564" s="43" t="s">
        <v>2225</v>
      </c>
      <c r="C564" s="44">
        <v>1062</v>
      </c>
      <c r="D564" s="45" t="s">
        <v>339</v>
      </c>
    </row>
    <row r="565" spans="2:4">
      <c r="B565" s="43" t="s">
        <v>2226</v>
      </c>
      <c r="C565" s="44">
        <v>1063</v>
      </c>
      <c r="D565" s="45" t="s">
        <v>339</v>
      </c>
    </row>
    <row r="566" spans="2:4">
      <c r="B566" s="43" t="s">
        <v>2227</v>
      </c>
      <c r="C566" s="44">
        <v>1064</v>
      </c>
      <c r="D566" s="45" t="s">
        <v>339</v>
      </c>
    </row>
    <row r="567" spans="2:4">
      <c r="B567" s="43" t="s">
        <v>2228</v>
      </c>
      <c r="C567" s="44">
        <v>1065</v>
      </c>
      <c r="D567" s="45" t="s">
        <v>339</v>
      </c>
    </row>
    <row r="568" spans="2:4">
      <c r="B568" s="43" t="s">
        <v>2229</v>
      </c>
      <c r="C568" s="44">
        <v>1066</v>
      </c>
      <c r="D568" s="45" t="s">
        <v>339</v>
      </c>
    </row>
    <row r="569" spans="2:4">
      <c r="B569" s="43" t="s">
        <v>2230</v>
      </c>
      <c r="C569" s="44">
        <v>1067</v>
      </c>
      <c r="D569" s="45" t="s">
        <v>339</v>
      </c>
    </row>
    <row r="570" spans="2:4">
      <c r="B570" s="43" t="s">
        <v>2231</v>
      </c>
      <c r="C570" s="44">
        <v>1068</v>
      </c>
      <c r="D570" s="45" t="s">
        <v>339</v>
      </c>
    </row>
    <row r="571" spans="2:4">
      <c r="B571" s="43" t="s">
        <v>2232</v>
      </c>
      <c r="C571" s="44">
        <v>1069</v>
      </c>
      <c r="D571" s="45" t="s">
        <v>339</v>
      </c>
    </row>
    <row r="572" spans="2:4">
      <c r="B572" s="43" t="s">
        <v>2233</v>
      </c>
      <c r="C572" s="44">
        <v>1070</v>
      </c>
      <c r="D572" s="45" t="s">
        <v>339</v>
      </c>
    </row>
    <row r="573" spans="2:4">
      <c r="B573" s="43" t="s">
        <v>2234</v>
      </c>
      <c r="C573" s="44">
        <v>1071</v>
      </c>
      <c r="D573" s="45" t="s">
        <v>339</v>
      </c>
    </row>
    <row r="574" spans="2:4">
      <c r="B574" s="43" t="s">
        <v>2235</v>
      </c>
      <c r="C574" s="44">
        <v>1072</v>
      </c>
      <c r="D574" s="45" t="s">
        <v>339</v>
      </c>
    </row>
    <row r="575" spans="2:4">
      <c r="B575" s="43" t="s">
        <v>2236</v>
      </c>
      <c r="C575" s="44">
        <v>1073</v>
      </c>
      <c r="D575" s="45" t="s">
        <v>339</v>
      </c>
    </row>
    <row r="576" spans="2:4">
      <c r="B576" s="43" t="s">
        <v>2237</v>
      </c>
      <c r="C576" s="44">
        <v>1074</v>
      </c>
      <c r="D576" s="45" t="s">
        <v>339</v>
      </c>
    </row>
    <row r="577" spans="2:4">
      <c r="B577" s="43" t="s">
        <v>1252</v>
      </c>
      <c r="C577" s="44">
        <v>1075</v>
      </c>
      <c r="D577" s="45" t="s">
        <v>339</v>
      </c>
    </row>
    <row r="578" spans="2:4">
      <c r="B578" s="43" t="s">
        <v>1254</v>
      </c>
      <c r="C578" s="44">
        <v>1076</v>
      </c>
      <c r="D578" s="45" t="s">
        <v>339</v>
      </c>
    </row>
    <row r="579" spans="2:4">
      <c r="B579" s="43" t="s">
        <v>1092</v>
      </c>
      <c r="C579" s="44">
        <v>1077</v>
      </c>
      <c r="D579" s="45" t="s">
        <v>339</v>
      </c>
    </row>
    <row r="580" spans="2:4">
      <c r="B580" s="43" t="s">
        <v>2238</v>
      </c>
      <c r="C580" s="44">
        <v>1078</v>
      </c>
      <c r="D580" s="45" t="s">
        <v>339</v>
      </c>
    </row>
    <row r="581" spans="2:4">
      <c r="B581" s="43" t="s">
        <v>741</v>
      </c>
      <c r="C581" s="44">
        <v>1079</v>
      </c>
      <c r="D581" s="45" t="s">
        <v>339</v>
      </c>
    </row>
    <row r="582" spans="2:4">
      <c r="B582" s="43" t="s">
        <v>1007</v>
      </c>
      <c r="C582" s="44">
        <v>1080</v>
      </c>
      <c r="D582" s="45" t="s">
        <v>339</v>
      </c>
    </row>
    <row r="583" spans="2:4">
      <c r="B583" s="43" t="s">
        <v>2239</v>
      </c>
      <c r="C583" s="44">
        <v>1081</v>
      </c>
      <c r="D583" s="45" t="s">
        <v>339</v>
      </c>
    </row>
    <row r="584" spans="2:4">
      <c r="B584" s="43" t="s">
        <v>2240</v>
      </c>
      <c r="C584" s="44">
        <v>1082</v>
      </c>
      <c r="D584" s="45" t="s">
        <v>339</v>
      </c>
    </row>
    <row r="585" spans="2:4">
      <c r="B585" s="43" t="s">
        <v>1477</v>
      </c>
      <c r="C585" s="44">
        <v>1083</v>
      </c>
      <c r="D585" s="45" t="s">
        <v>339</v>
      </c>
    </row>
    <row r="586" spans="2:4">
      <c r="B586" s="43" t="s">
        <v>2241</v>
      </c>
      <c r="C586" s="44">
        <v>1084</v>
      </c>
      <c r="D586" s="45" t="s">
        <v>339</v>
      </c>
    </row>
    <row r="587" spans="2:4">
      <c r="B587" s="43" t="s">
        <v>2242</v>
      </c>
      <c r="C587" s="44">
        <v>1085</v>
      </c>
      <c r="D587" s="45" t="s">
        <v>339</v>
      </c>
    </row>
    <row r="588" spans="2:4">
      <c r="B588" s="43" t="s">
        <v>2243</v>
      </c>
      <c r="C588" s="44">
        <v>1086</v>
      </c>
      <c r="D588" s="45" t="s">
        <v>339</v>
      </c>
    </row>
    <row r="589" spans="2:4">
      <c r="B589" s="43" t="s">
        <v>2244</v>
      </c>
      <c r="C589" s="44">
        <v>1087</v>
      </c>
      <c r="D589" s="45" t="s">
        <v>339</v>
      </c>
    </row>
    <row r="590" spans="2:4">
      <c r="B590" s="43" t="s">
        <v>2245</v>
      </c>
      <c r="C590" s="44">
        <v>1088</v>
      </c>
      <c r="D590" s="45" t="s">
        <v>339</v>
      </c>
    </row>
    <row r="591" spans="2:4">
      <c r="B591" s="43" t="s">
        <v>2246</v>
      </c>
      <c r="C591" s="44">
        <v>1089</v>
      </c>
      <c r="D591" s="45" t="s">
        <v>339</v>
      </c>
    </row>
    <row r="592" spans="2:4">
      <c r="B592" s="43" t="s">
        <v>2247</v>
      </c>
      <c r="C592" s="44">
        <v>1090</v>
      </c>
      <c r="D592" s="45" t="s">
        <v>339</v>
      </c>
    </row>
    <row r="593" spans="2:4">
      <c r="B593" s="43" t="s">
        <v>2248</v>
      </c>
      <c r="C593" s="44">
        <v>1091</v>
      </c>
      <c r="D593" s="45" t="s">
        <v>339</v>
      </c>
    </row>
    <row r="594" spans="2:4">
      <c r="B594" s="43" t="s">
        <v>2249</v>
      </c>
      <c r="C594" s="44">
        <v>1092</v>
      </c>
      <c r="D594" s="45" t="s">
        <v>339</v>
      </c>
    </row>
    <row r="595" spans="2:4">
      <c r="B595" s="43" t="s">
        <v>2250</v>
      </c>
      <c r="C595" s="44">
        <v>1093</v>
      </c>
      <c r="D595" s="45" t="s">
        <v>339</v>
      </c>
    </row>
    <row r="596" spans="2:4">
      <c r="B596" s="43" t="s">
        <v>2251</v>
      </c>
      <c r="C596" s="44">
        <v>1094</v>
      </c>
      <c r="D596" s="45" t="s">
        <v>339</v>
      </c>
    </row>
    <row r="597" spans="2:4">
      <c r="B597" s="43" t="s">
        <v>2252</v>
      </c>
      <c r="C597" s="44">
        <v>1095</v>
      </c>
      <c r="D597" s="45" t="s">
        <v>339</v>
      </c>
    </row>
    <row r="598" spans="2:4">
      <c r="B598" s="43" t="s">
        <v>2253</v>
      </c>
      <c r="C598" s="44">
        <v>1096</v>
      </c>
      <c r="D598" s="45" t="s">
        <v>339</v>
      </c>
    </row>
    <row r="599" spans="2:4">
      <c r="B599" s="43" t="s">
        <v>2254</v>
      </c>
      <c r="C599" s="44">
        <v>1097</v>
      </c>
      <c r="D599" s="45" t="s">
        <v>339</v>
      </c>
    </row>
    <row r="600" spans="2:4">
      <c r="B600" s="43" t="s">
        <v>826</v>
      </c>
      <c r="C600" s="44">
        <v>1098</v>
      </c>
      <c r="D600" s="45" t="s">
        <v>339</v>
      </c>
    </row>
    <row r="601" spans="2:4">
      <c r="B601" s="43" t="s">
        <v>2255</v>
      </c>
      <c r="C601" s="44">
        <v>1099</v>
      </c>
      <c r="D601" s="45" t="s">
        <v>339</v>
      </c>
    </row>
    <row r="602" spans="2:4">
      <c r="B602" s="43" t="s">
        <v>2256</v>
      </c>
      <c r="C602" s="44">
        <v>1100</v>
      </c>
      <c r="D602" s="45" t="s">
        <v>339</v>
      </c>
    </row>
    <row r="603" spans="2:4">
      <c r="B603" s="43" t="s">
        <v>2257</v>
      </c>
      <c r="C603" s="44">
        <v>1101</v>
      </c>
      <c r="D603" s="45" t="s">
        <v>339</v>
      </c>
    </row>
    <row r="604" spans="2:4">
      <c r="B604" s="43" t="s">
        <v>2258</v>
      </c>
      <c r="C604" s="44">
        <v>1102</v>
      </c>
      <c r="D604" s="45" t="s">
        <v>339</v>
      </c>
    </row>
    <row r="605" spans="2:4">
      <c r="B605" s="43" t="s">
        <v>2259</v>
      </c>
      <c r="C605" s="44">
        <v>1103</v>
      </c>
      <c r="D605" s="45" t="s">
        <v>339</v>
      </c>
    </row>
    <row r="606" spans="2:4">
      <c r="B606" s="43" t="s">
        <v>2260</v>
      </c>
      <c r="C606" s="44">
        <v>1104</v>
      </c>
      <c r="D606" s="45" t="s">
        <v>339</v>
      </c>
    </row>
    <row r="607" spans="2:4">
      <c r="B607" s="43" t="s">
        <v>2261</v>
      </c>
      <c r="C607" s="44">
        <v>1105</v>
      </c>
      <c r="D607" s="45" t="s">
        <v>339</v>
      </c>
    </row>
    <row r="608" spans="2:4">
      <c r="B608" s="43" t="s">
        <v>2262</v>
      </c>
      <c r="C608" s="44">
        <v>1106</v>
      </c>
      <c r="D608" s="45" t="s">
        <v>339</v>
      </c>
    </row>
    <row r="609" spans="2:4">
      <c r="B609" s="43" t="s">
        <v>2263</v>
      </c>
      <c r="C609" s="44">
        <v>1107</v>
      </c>
      <c r="D609" s="45" t="s">
        <v>339</v>
      </c>
    </row>
    <row r="610" spans="2:4">
      <c r="B610" s="43" t="s">
        <v>2264</v>
      </c>
      <c r="C610" s="44">
        <v>1108</v>
      </c>
      <c r="D610" s="45" t="s">
        <v>339</v>
      </c>
    </row>
    <row r="611" spans="2:4">
      <c r="B611" s="43" t="s">
        <v>1119</v>
      </c>
      <c r="C611" s="44">
        <v>1109</v>
      </c>
      <c r="D611" s="45" t="s">
        <v>339</v>
      </c>
    </row>
    <row r="612" spans="2:4">
      <c r="B612" s="43" t="s">
        <v>2265</v>
      </c>
      <c r="C612" s="44">
        <v>1110</v>
      </c>
      <c r="D612" s="45" t="s">
        <v>339</v>
      </c>
    </row>
    <row r="613" spans="2:4">
      <c r="B613" s="43" t="s">
        <v>2266</v>
      </c>
      <c r="C613" s="44">
        <v>1111</v>
      </c>
      <c r="D613" s="45" t="s">
        <v>339</v>
      </c>
    </row>
    <row r="614" spans="2:4">
      <c r="B614" s="43" t="s">
        <v>2267</v>
      </c>
      <c r="C614" s="44">
        <v>1112</v>
      </c>
      <c r="D614" s="45" t="s">
        <v>339</v>
      </c>
    </row>
    <row r="615" spans="2:4">
      <c r="B615" s="43" t="s">
        <v>2268</v>
      </c>
      <c r="C615" s="44">
        <v>1113</v>
      </c>
      <c r="D615" s="45" t="s">
        <v>339</v>
      </c>
    </row>
    <row r="616" spans="2:4">
      <c r="B616" s="43" t="s">
        <v>2269</v>
      </c>
      <c r="C616" s="44">
        <v>1114</v>
      </c>
      <c r="D616" s="45" t="s">
        <v>339</v>
      </c>
    </row>
    <row r="617" spans="2:4">
      <c r="B617" s="43" t="s">
        <v>2270</v>
      </c>
      <c r="C617" s="44">
        <v>1115</v>
      </c>
      <c r="D617" s="45" t="s">
        <v>339</v>
      </c>
    </row>
    <row r="618" spans="2:4">
      <c r="B618" s="43" t="s">
        <v>2271</v>
      </c>
      <c r="C618" s="44">
        <v>1116</v>
      </c>
      <c r="D618" s="45" t="s">
        <v>339</v>
      </c>
    </row>
    <row r="619" spans="2:4">
      <c r="B619" s="43" t="s">
        <v>2272</v>
      </c>
      <c r="C619" s="44">
        <v>1117</v>
      </c>
      <c r="D619" s="45" t="s">
        <v>339</v>
      </c>
    </row>
    <row r="620" spans="2:4">
      <c r="B620" s="43" t="s">
        <v>2273</v>
      </c>
      <c r="C620" s="44">
        <v>1118</v>
      </c>
      <c r="D620" s="45" t="s">
        <v>339</v>
      </c>
    </row>
    <row r="621" spans="2:4">
      <c r="B621" s="43" t="s">
        <v>2274</v>
      </c>
      <c r="C621" s="44">
        <v>1119</v>
      </c>
      <c r="D621" s="45" t="s">
        <v>339</v>
      </c>
    </row>
    <row r="622" spans="2:4">
      <c r="B622" s="43" t="s">
        <v>2275</v>
      </c>
      <c r="C622" s="44">
        <v>1120</v>
      </c>
      <c r="D622" s="45" t="s">
        <v>339</v>
      </c>
    </row>
    <row r="623" spans="2:4">
      <c r="B623" s="43" t="s">
        <v>2276</v>
      </c>
      <c r="C623" s="44">
        <v>1121</v>
      </c>
      <c r="D623" s="45" t="s">
        <v>339</v>
      </c>
    </row>
    <row r="624" spans="2:4">
      <c r="B624" s="43" t="s">
        <v>2277</v>
      </c>
      <c r="C624" s="44">
        <v>1122</v>
      </c>
      <c r="D624" s="45" t="s">
        <v>339</v>
      </c>
    </row>
    <row r="625" spans="2:4">
      <c r="B625" s="43" t="s">
        <v>2278</v>
      </c>
      <c r="C625" s="44">
        <v>1123</v>
      </c>
      <c r="D625" s="45" t="s">
        <v>339</v>
      </c>
    </row>
    <row r="626" spans="2:4">
      <c r="B626" s="43" t="s">
        <v>2279</v>
      </c>
      <c r="C626" s="44">
        <v>1124</v>
      </c>
      <c r="D626" s="45" t="s">
        <v>339</v>
      </c>
    </row>
    <row r="627" spans="2:4">
      <c r="B627" s="43" t="s">
        <v>2280</v>
      </c>
      <c r="C627" s="44">
        <v>1125</v>
      </c>
      <c r="D627" s="45" t="s">
        <v>339</v>
      </c>
    </row>
    <row r="628" spans="2:4">
      <c r="B628" s="43" t="s">
        <v>2281</v>
      </c>
      <c r="C628" s="44">
        <v>1126</v>
      </c>
      <c r="D628" s="45" t="s">
        <v>339</v>
      </c>
    </row>
    <row r="629" spans="2:4">
      <c r="B629" s="43" t="s">
        <v>2282</v>
      </c>
      <c r="C629" s="44">
        <v>1127</v>
      </c>
      <c r="D629" s="45" t="s">
        <v>339</v>
      </c>
    </row>
    <row r="630" spans="2:4">
      <c r="B630" s="43" t="s">
        <v>2283</v>
      </c>
      <c r="C630" s="44">
        <v>1128</v>
      </c>
      <c r="D630" s="45" t="s">
        <v>339</v>
      </c>
    </row>
    <row r="631" spans="2:4">
      <c r="B631" s="43" t="s">
        <v>2284</v>
      </c>
      <c r="C631" s="44">
        <v>1129</v>
      </c>
      <c r="D631" s="45" t="s">
        <v>339</v>
      </c>
    </row>
    <row r="632" spans="2:4">
      <c r="B632" s="43" t="s">
        <v>2285</v>
      </c>
      <c r="C632" s="44">
        <v>1130</v>
      </c>
      <c r="D632" s="45" t="s">
        <v>339</v>
      </c>
    </row>
    <row r="633" spans="2:4">
      <c r="B633" s="43" t="s">
        <v>2286</v>
      </c>
      <c r="C633" s="44">
        <v>1131</v>
      </c>
      <c r="D633" s="45" t="s">
        <v>339</v>
      </c>
    </row>
    <row r="634" spans="2:4">
      <c r="B634" s="43" t="s">
        <v>2287</v>
      </c>
      <c r="C634" s="44">
        <v>1132</v>
      </c>
      <c r="D634" s="45" t="s">
        <v>339</v>
      </c>
    </row>
    <row r="635" spans="2:4">
      <c r="B635" s="43" t="s">
        <v>2288</v>
      </c>
      <c r="C635" s="44">
        <v>1133</v>
      </c>
      <c r="D635" s="45" t="s">
        <v>339</v>
      </c>
    </row>
    <row r="636" spans="2:4">
      <c r="B636" s="43" t="s">
        <v>2289</v>
      </c>
      <c r="C636" s="44">
        <v>1134</v>
      </c>
      <c r="D636" s="45" t="s">
        <v>339</v>
      </c>
    </row>
    <row r="637" spans="2:4">
      <c r="B637" s="43" t="s">
        <v>2290</v>
      </c>
      <c r="C637" s="44">
        <v>1135</v>
      </c>
      <c r="D637" s="45" t="s">
        <v>339</v>
      </c>
    </row>
    <row r="638" spans="2:4">
      <c r="B638" s="43" t="s">
        <v>2291</v>
      </c>
      <c r="C638" s="44">
        <v>1136</v>
      </c>
      <c r="D638" s="45" t="s">
        <v>339</v>
      </c>
    </row>
    <row r="639" spans="2:4">
      <c r="B639" s="43" t="s">
        <v>340</v>
      </c>
      <c r="C639" s="44">
        <v>1137</v>
      </c>
      <c r="D639" s="45" t="s">
        <v>339</v>
      </c>
    </row>
    <row r="640" spans="2:4">
      <c r="B640" s="43" t="s">
        <v>2292</v>
      </c>
      <c r="C640" s="44">
        <v>1138</v>
      </c>
      <c r="D640" s="45" t="s">
        <v>339</v>
      </c>
    </row>
    <row r="641" spans="2:4">
      <c r="B641" s="43" t="s">
        <v>2293</v>
      </c>
      <c r="C641" s="44">
        <v>1139</v>
      </c>
      <c r="D641" s="45" t="s">
        <v>339</v>
      </c>
    </row>
    <row r="642" spans="2:4">
      <c r="B642" s="43" t="s">
        <v>1832</v>
      </c>
      <c r="C642" s="44">
        <v>1140</v>
      </c>
      <c r="D642" s="45" t="s">
        <v>339</v>
      </c>
    </row>
    <row r="643" spans="2:4">
      <c r="B643" s="43" t="s">
        <v>2294</v>
      </c>
      <c r="C643" s="44">
        <v>1141</v>
      </c>
      <c r="D643" s="45" t="s">
        <v>339</v>
      </c>
    </row>
    <row r="644" spans="2:4">
      <c r="B644" s="43" t="s">
        <v>2295</v>
      </c>
      <c r="C644" s="44">
        <v>1142</v>
      </c>
      <c r="D644" s="45" t="s">
        <v>339</v>
      </c>
    </row>
    <row r="645" spans="2:4">
      <c r="B645" s="43" t="s">
        <v>2296</v>
      </c>
      <c r="C645" s="44">
        <v>1143</v>
      </c>
      <c r="D645" s="45" t="s">
        <v>339</v>
      </c>
    </row>
    <row r="646" spans="2:4">
      <c r="B646" s="43" t="s">
        <v>2297</v>
      </c>
      <c r="C646" s="44">
        <v>1144</v>
      </c>
      <c r="D646" s="45" t="s">
        <v>339</v>
      </c>
    </row>
    <row r="647" spans="2:4">
      <c r="B647" s="43" t="s">
        <v>2298</v>
      </c>
      <c r="C647" s="44">
        <v>1145</v>
      </c>
      <c r="D647" s="45" t="s">
        <v>339</v>
      </c>
    </row>
    <row r="648" spans="2:4">
      <c r="B648" s="43" t="s">
        <v>2299</v>
      </c>
      <c r="C648" s="44">
        <v>1146</v>
      </c>
      <c r="D648" s="45" t="s">
        <v>339</v>
      </c>
    </row>
    <row r="649" spans="2:4">
      <c r="B649" s="43" t="s">
        <v>2300</v>
      </c>
      <c r="C649" s="44">
        <v>1147</v>
      </c>
      <c r="D649" s="45" t="s">
        <v>339</v>
      </c>
    </row>
    <row r="650" spans="2:4">
      <c r="B650" s="43" t="s">
        <v>2301</v>
      </c>
      <c r="C650" s="44">
        <v>1148</v>
      </c>
      <c r="D650" s="45" t="s">
        <v>339</v>
      </c>
    </row>
    <row r="651" spans="2:4">
      <c r="B651" s="43" t="s">
        <v>2302</v>
      </c>
      <c r="C651" s="44">
        <v>1149</v>
      </c>
      <c r="D651" s="45" t="s">
        <v>339</v>
      </c>
    </row>
    <row r="652" spans="2:4">
      <c r="B652" s="43" t="s">
        <v>2303</v>
      </c>
      <c r="C652" s="44">
        <v>1150</v>
      </c>
      <c r="D652" s="45" t="s">
        <v>339</v>
      </c>
    </row>
    <row r="653" spans="2:4">
      <c r="B653" s="43" t="s">
        <v>2304</v>
      </c>
      <c r="C653" s="44">
        <v>1151</v>
      </c>
      <c r="D653" s="45" t="s">
        <v>339</v>
      </c>
    </row>
    <row r="654" spans="2:4">
      <c r="B654" s="43" t="s">
        <v>2305</v>
      </c>
      <c r="C654" s="44">
        <v>1152</v>
      </c>
      <c r="D654" s="45" t="s">
        <v>339</v>
      </c>
    </row>
    <row r="655" spans="2:4">
      <c r="B655" s="43" t="s">
        <v>2306</v>
      </c>
      <c r="C655" s="44">
        <v>1153</v>
      </c>
      <c r="D655" s="45" t="s">
        <v>339</v>
      </c>
    </row>
    <row r="656" spans="2:4">
      <c r="B656" s="43" t="s">
        <v>2307</v>
      </c>
      <c r="C656" s="44">
        <v>1154</v>
      </c>
      <c r="D656" s="45" t="s">
        <v>339</v>
      </c>
    </row>
    <row r="657" spans="2:4">
      <c r="B657" s="43" t="s">
        <v>2308</v>
      </c>
      <c r="C657" s="44">
        <v>1155</v>
      </c>
      <c r="D657" s="45" t="s">
        <v>339</v>
      </c>
    </row>
    <row r="658" spans="2:4">
      <c r="B658" s="43" t="s">
        <v>2309</v>
      </c>
      <c r="C658" s="44">
        <v>1156</v>
      </c>
      <c r="D658" s="45" t="s">
        <v>339</v>
      </c>
    </row>
    <row r="659" spans="2:4">
      <c r="B659" s="43" t="s">
        <v>2310</v>
      </c>
      <c r="C659" s="44">
        <v>1157</v>
      </c>
      <c r="D659" s="45" t="s">
        <v>339</v>
      </c>
    </row>
    <row r="660" spans="2:4">
      <c r="B660" s="43" t="s">
        <v>2311</v>
      </c>
      <c r="C660" s="44">
        <v>1158</v>
      </c>
      <c r="D660" s="45" t="s">
        <v>339</v>
      </c>
    </row>
    <row r="661" spans="2:4">
      <c r="B661" s="43" t="s">
        <v>627</v>
      </c>
      <c r="C661" s="44">
        <v>1159</v>
      </c>
      <c r="D661" s="45" t="s">
        <v>339</v>
      </c>
    </row>
    <row r="662" spans="2:4">
      <c r="B662" s="43" t="s">
        <v>1442</v>
      </c>
      <c r="C662" s="44">
        <v>1160</v>
      </c>
      <c r="D662" s="45" t="s">
        <v>339</v>
      </c>
    </row>
    <row r="663" spans="2:4">
      <c r="B663" s="43" t="s">
        <v>2312</v>
      </c>
      <c r="C663" s="44">
        <v>1161</v>
      </c>
      <c r="D663" s="45" t="s">
        <v>339</v>
      </c>
    </row>
    <row r="664" spans="2:4">
      <c r="B664" s="43" t="s">
        <v>2313</v>
      </c>
      <c r="C664" s="44">
        <v>1162</v>
      </c>
      <c r="D664" s="45" t="s">
        <v>339</v>
      </c>
    </row>
    <row r="665" spans="2:4">
      <c r="B665" s="43" t="s">
        <v>2314</v>
      </c>
      <c r="C665" s="44">
        <v>1163</v>
      </c>
      <c r="D665" s="45" t="s">
        <v>339</v>
      </c>
    </row>
    <row r="666" spans="2:4">
      <c r="B666" s="43" t="s">
        <v>2315</v>
      </c>
      <c r="C666" s="44">
        <v>1164</v>
      </c>
      <c r="D666" s="45" t="s">
        <v>339</v>
      </c>
    </row>
    <row r="667" spans="2:4">
      <c r="B667" s="43" t="s">
        <v>2316</v>
      </c>
      <c r="C667" s="44">
        <v>1165</v>
      </c>
      <c r="D667" s="45" t="s">
        <v>339</v>
      </c>
    </row>
    <row r="668" spans="2:4">
      <c r="B668" s="43" t="s">
        <v>2317</v>
      </c>
      <c r="C668" s="44">
        <v>1166</v>
      </c>
      <c r="D668" s="45" t="s">
        <v>339</v>
      </c>
    </row>
    <row r="669" spans="2:4">
      <c r="B669" s="43" t="s">
        <v>2318</v>
      </c>
      <c r="C669" s="44">
        <v>1167</v>
      </c>
      <c r="D669" s="45" t="s">
        <v>339</v>
      </c>
    </row>
    <row r="670" spans="2:4">
      <c r="B670" s="43" t="s">
        <v>2319</v>
      </c>
      <c r="C670" s="44">
        <v>1168</v>
      </c>
      <c r="D670" s="45" t="s">
        <v>339</v>
      </c>
    </row>
    <row r="671" spans="2:4">
      <c r="B671" s="43" t="s">
        <v>1531</v>
      </c>
      <c r="C671" s="44">
        <v>1169</v>
      </c>
      <c r="D671" s="45" t="s">
        <v>339</v>
      </c>
    </row>
    <row r="672" spans="2:4">
      <c r="B672" s="43" t="s">
        <v>2320</v>
      </c>
      <c r="C672" s="44">
        <v>1170</v>
      </c>
      <c r="D672" s="45" t="s">
        <v>339</v>
      </c>
    </row>
    <row r="673" spans="2:4">
      <c r="B673" s="43" t="s">
        <v>2321</v>
      </c>
      <c r="C673" s="44">
        <v>1171</v>
      </c>
      <c r="D673" s="45" t="s">
        <v>339</v>
      </c>
    </row>
    <row r="674" spans="2:4">
      <c r="B674" s="43" t="s">
        <v>2322</v>
      </c>
      <c r="C674" s="44">
        <v>1172</v>
      </c>
      <c r="D674" s="45" t="s">
        <v>339</v>
      </c>
    </row>
    <row r="675" spans="2:4">
      <c r="B675" s="43" t="s">
        <v>994</v>
      </c>
      <c r="C675" s="44">
        <v>1173</v>
      </c>
      <c r="D675" s="45" t="s">
        <v>339</v>
      </c>
    </row>
    <row r="676" spans="2:4">
      <c r="B676" s="43" t="s">
        <v>2323</v>
      </c>
      <c r="C676" s="44">
        <v>1174</v>
      </c>
      <c r="D676" s="45" t="s">
        <v>339</v>
      </c>
    </row>
    <row r="677" spans="2:4">
      <c r="B677" s="43" t="s">
        <v>2324</v>
      </c>
      <c r="C677" s="44">
        <v>1175</v>
      </c>
      <c r="D677" s="45" t="s">
        <v>339</v>
      </c>
    </row>
    <row r="678" spans="2:4">
      <c r="B678" s="43" t="s">
        <v>1603</v>
      </c>
      <c r="C678" s="44">
        <v>1176</v>
      </c>
      <c r="D678" s="45" t="s">
        <v>339</v>
      </c>
    </row>
    <row r="679" spans="2:4">
      <c r="B679" s="43" t="s">
        <v>2325</v>
      </c>
      <c r="C679" s="44">
        <v>1177</v>
      </c>
      <c r="D679" s="45" t="s">
        <v>339</v>
      </c>
    </row>
    <row r="680" spans="2:4">
      <c r="B680" s="43" t="s">
        <v>1810</v>
      </c>
      <c r="C680" s="44">
        <v>1178</v>
      </c>
      <c r="D680" s="45" t="s">
        <v>339</v>
      </c>
    </row>
    <row r="681" spans="2:4">
      <c r="B681" s="43" t="s">
        <v>803</v>
      </c>
      <c r="C681" s="44">
        <v>1179</v>
      </c>
      <c r="D681" s="45" t="s">
        <v>339</v>
      </c>
    </row>
    <row r="682" spans="2:4">
      <c r="B682" s="43" t="s">
        <v>2326</v>
      </c>
      <c r="C682" s="44">
        <v>1180</v>
      </c>
      <c r="D682" s="45" t="s">
        <v>339</v>
      </c>
    </row>
    <row r="683" spans="2:4">
      <c r="B683" s="43" t="s">
        <v>2327</v>
      </c>
      <c r="C683" s="44">
        <v>1181</v>
      </c>
      <c r="D683" s="45" t="s">
        <v>339</v>
      </c>
    </row>
    <row r="684" spans="2:4">
      <c r="B684" s="43" t="s">
        <v>2328</v>
      </c>
      <c r="C684" s="44">
        <v>1182</v>
      </c>
      <c r="D684" s="45" t="s">
        <v>339</v>
      </c>
    </row>
    <row r="685" spans="2:4">
      <c r="B685" s="43" t="s">
        <v>2329</v>
      </c>
      <c r="C685" s="44">
        <v>1183</v>
      </c>
      <c r="D685" s="45" t="s">
        <v>339</v>
      </c>
    </row>
    <row r="686" spans="2:4">
      <c r="B686" s="43" t="s">
        <v>801</v>
      </c>
      <c r="C686" s="44">
        <v>1184</v>
      </c>
      <c r="D686" s="45" t="s">
        <v>339</v>
      </c>
    </row>
    <row r="687" spans="2:4">
      <c r="B687" s="43" t="s">
        <v>1647</v>
      </c>
      <c r="C687" s="44">
        <v>1185</v>
      </c>
      <c r="D687" s="45" t="s">
        <v>339</v>
      </c>
    </row>
    <row r="688" spans="2:4">
      <c r="B688" s="43" t="s">
        <v>386</v>
      </c>
      <c r="C688" s="44">
        <v>1186</v>
      </c>
      <c r="D688" s="45" t="s">
        <v>339</v>
      </c>
    </row>
    <row r="689" spans="2:4">
      <c r="B689" s="43" t="s">
        <v>389</v>
      </c>
      <c r="C689" s="44">
        <v>1187</v>
      </c>
      <c r="D689" s="45" t="s">
        <v>339</v>
      </c>
    </row>
    <row r="690" spans="2:4">
      <c r="B690" s="43" t="s">
        <v>391</v>
      </c>
      <c r="C690" s="44">
        <v>1188</v>
      </c>
      <c r="D690" s="45" t="s">
        <v>339</v>
      </c>
    </row>
    <row r="691" spans="2:4">
      <c r="B691" s="43" t="s">
        <v>393</v>
      </c>
      <c r="C691" s="44">
        <v>1189</v>
      </c>
      <c r="D691" s="45" t="s">
        <v>339</v>
      </c>
    </row>
    <row r="692" spans="2:4">
      <c r="B692" s="43" t="s">
        <v>395</v>
      </c>
      <c r="C692" s="44">
        <v>1190</v>
      </c>
      <c r="D692" s="45" t="s">
        <v>339</v>
      </c>
    </row>
    <row r="693" spans="2:4">
      <c r="B693" s="43" t="s">
        <v>400</v>
      </c>
      <c r="C693" s="44">
        <v>1191</v>
      </c>
      <c r="D693" s="45" t="s">
        <v>339</v>
      </c>
    </row>
    <row r="694" spans="2:4">
      <c r="B694" s="43" t="s">
        <v>2330</v>
      </c>
      <c r="C694" s="44">
        <v>1192</v>
      </c>
      <c r="D694" s="45" t="s">
        <v>339</v>
      </c>
    </row>
    <row r="695" spans="2:4">
      <c r="B695" s="43" t="s">
        <v>2331</v>
      </c>
      <c r="C695" s="44">
        <v>1193</v>
      </c>
      <c r="D695" s="45" t="s">
        <v>339</v>
      </c>
    </row>
    <row r="696" spans="2:4">
      <c r="B696" s="43" t="s">
        <v>2332</v>
      </c>
      <c r="C696" s="44">
        <v>1194</v>
      </c>
      <c r="D696" s="45" t="s">
        <v>339</v>
      </c>
    </row>
    <row r="697" spans="2:4">
      <c r="B697" s="43" t="s">
        <v>2333</v>
      </c>
      <c r="C697" s="44">
        <v>1195</v>
      </c>
      <c r="D697" s="45" t="s">
        <v>339</v>
      </c>
    </row>
    <row r="698" spans="2:4">
      <c r="B698" s="43" t="s">
        <v>2334</v>
      </c>
      <c r="C698" s="44">
        <v>1196</v>
      </c>
      <c r="D698" s="45" t="s">
        <v>339</v>
      </c>
    </row>
    <row r="699" spans="2:4">
      <c r="B699" s="43" t="s">
        <v>2335</v>
      </c>
      <c r="C699" s="44">
        <v>1197</v>
      </c>
      <c r="D699" s="45" t="s">
        <v>339</v>
      </c>
    </row>
    <row r="700" spans="2:4">
      <c r="B700" s="43" t="s">
        <v>2336</v>
      </c>
      <c r="C700" s="44">
        <v>1198</v>
      </c>
      <c r="D700" s="45" t="s">
        <v>339</v>
      </c>
    </row>
    <row r="701" spans="2:4">
      <c r="B701" s="43" t="s">
        <v>2337</v>
      </c>
      <c r="C701" s="44">
        <v>1199</v>
      </c>
      <c r="D701" s="45" t="s">
        <v>339</v>
      </c>
    </row>
    <row r="702" spans="2:4">
      <c r="B702" s="43" t="s">
        <v>2338</v>
      </c>
      <c r="C702" s="44">
        <v>1200</v>
      </c>
      <c r="D702" s="45" t="s">
        <v>339</v>
      </c>
    </row>
    <row r="703" spans="2:4">
      <c r="B703" s="43" t="s">
        <v>1640</v>
      </c>
      <c r="C703" s="44">
        <v>1201</v>
      </c>
      <c r="D703" s="45" t="s">
        <v>339</v>
      </c>
    </row>
    <row r="704" spans="2:4">
      <c r="B704" s="43" t="s">
        <v>1242</v>
      </c>
      <c r="C704" s="44">
        <v>1202</v>
      </c>
      <c r="D704" s="45" t="s">
        <v>339</v>
      </c>
    </row>
    <row r="705" spans="2:4">
      <c r="B705" s="43" t="s">
        <v>2339</v>
      </c>
      <c r="C705" s="44">
        <v>1203</v>
      </c>
      <c r="D705" s="45" t="s">
        <v>339</v>
      </c>
    </row>
    <row r="706" spans="2:4">
      <c r="B706" s="43" t="s">
        <v>2340</v>
      </c>
      <c r="C706" s="44">
        <v>1204</v>
      </c>
      <c r="D706" s="45" t="s">
        <v>339</v>
      </c>
    </row>
    <row r="707" spans="2:4">
      <c r="B707" s="43" t="s">
        <v>2341</v>
      </c>
      <c r="C707" s="44">
        <v>1205</v>
      </c>
      <c r="D707" s="45" t="s">
        <v>339</v>
      </c>
    </row>
    <row r="708" spans="2:4">
      <c r="B708" s="43" t="s">
        <v>2342</v>
      </c>
      <c r="C708" s="44">
        <v>1206</v>
      </c>
      <c r="D708" s="45" t="s">
        <v>339</v>
      </c>
    </row>
    <row r="709" spans="2:4">
      <c r="B709" s="43" t="s">
        <v>2343</v>
      </c>
      <c r="C709" s="44">
        <v>1207</v>
      </c>
      <c r="D709" s="45" t="s">
        <v>339</v>
      </c>
    </row>
    <row r="710" spans="2:4">
      <c r="B710" s="43" t="s">
        <v>2344</v>
      </c>
      <c r="C710" s="44">
        <v>1208</v>
      </c>
      <c r="D710" s="45" t="s">
        <v>339</v>
      </c>
    </row>
    <row r="711" spans="2:4">
      <c r="B711" s="43" t="s">
        <v>823</v>
      </c>
      <c r="C711" s="44">
        <v>1209</v>
      </c>
      <c r="D711" s="45" t="s">
        <v>339</v>
      </c>
    </row>
    <row r="712" spans="2:4">
      <c r="B712" s="43" t="s">
        <v>830</v>
      </c>
      <c r="C712" s="44">
        <v>1210</v>
      </c>
      <c r="D712" s="45" t="s">
        <v>339</v>
      </c>
    </row>
    <row r="713" spans="2:4">
      <c r="B713" s="43" t="s">
        <v>2345</v>
      </c>
      <c r="C713" s="44">
        <v>1211</v>
      </c>
      <c r="D713" s="45" t="s">
        <v>339</v>
      </c>
    </row>
    <row r="714" spans="2:4">
      <c r="B714" s="43" t="s">
        <v>1800</v>
      </c>
      <c r="C714" s="44">
        <v>1212</v>
      </c>
      <c r="D714" s="45" t="s">
        <v>339</v>
      </c>
    </row>
    <row r="715" spans="2:4">
      <c r="B715" s="43" t="s">
        <v>2346</v>
      </c>
      <c r="C715" s="44">
        <v>1213</v>
      </c>
      <c r="D715" s="45" t="s">
        <v>339</v>
      </c>
    </row>
    <row r="716" spans="2:4">
      <c r="B716" s="43" t="s">
        <v>2347</v>
      </c>
      <c r="C716" s="44">
        <v>1214</v>
      </c>
      <c r="D716" s="45" t="s">
        <v>339</v>
      </c>
    </row>
    <row r="717" spans="2:4">
      <c r="B717" s="43" t="s">
        <v>2348</v>
      </c>
      <c r="C717" s="44">
        <v>1215</v>
      </c>
      <c r="D717" s="45" t="s">
        <v>339</v>
      </c>
    </row>
    <row r="718" spans="2:4">
      <c r="B718" s="43" t="s">
        <v>2349</v>
      </c>
      <c r="C718" s="44">
        <v>1216</v>
      </c>
      <c r="D718" s="45" t="s">
        <v>339</v>
      </c>
    </row>
    <row r="719" spans="2:4">
      <c r="B719" s="43" t="s">
        <v>2350</v>
      </c>
      <c r="C719" s="44">
        <v>1217</v>
      </c>
      <c r="D719" s="45" t="s">
        <v>339</v>
      </c>
    </row>
    <row r="720" spans="2:4">
      <c r="B720" s="43" t="s">
        <v>2351</v>
      </c>
      <c r="C720" s="44">
        <v>1218</v>
      </c>
      <c r="D720" s="45" t="s">
        <v>339</v>
      </c>
    </row>
    <row r="721" spans="2:4">
      <c r="B721" s="43" t="s">
        <v>2352</v>
      </c>
      <c r="C721" s="44">
        <v>1219</v>
      </c>
      <c r="D721" s="45" t="s">
        <v>339</v>
      </c>
    </row>
    <row r="722" spans="2:4">
      <c r="B722" s="43" t="s">
        <v>2353</v>
      </c>
      <c r="C722" s="44">
        <v>1220</v>
      </c>
      <c r="D722" s="45" t="s">
        <v>339</v>
      </c>
    </row>
    <row r="723" spans="2:4">
      <c r="B723" s="43" t="s">
        <v>2354</v>
      </c>
      <c r="C723" s="44">
        <v>1221</v>
      </c>
      <c r="D723" s="45" t="s">
        <v>339</v>
      </c>
    </row>
    <row r="724" spans="2:4">
      <c r="B724" s="43" t="s">
        <v>2355</v>
      </c>
      <c r="C724" s="44">
        <v>1222</v>
      </c>
      <c r="D724" s="45" t="s">
        <v>339</v>
      </c>
    </row>
    <row r="725" spans="2:4">
      <c r="B725" s="43" t="s">
        <v>1004</v>
      </c>
      <c r="C725" s="44">
        <v>1223</v>
      </c>
      <c r="D725" s="45" t="s">
        <v>339</v>
      </c>
    </row>
    <row r="726" spans="2:4">
      <c r="B726" s="43" t="s">
        <v>2356</v>
      </c>
      <c r="C726" s="44">
        <v>1224</v>
      </c>
      <c r="D726" s="45" t="s">
        <v>339</v>
      </c>
    </row>
    <row r="727" spans="2:4">
      <c r="B727" s="43" t="s">
        <v>2357</v>
      </c>
      <c r="C727" s="44">
        <v>1225</v>
      </c>
      <c r="D727" s="45" t="s">
        <v>339</v>
      </c>
    </row>
    <row r="728" spans="2:4">
      <c r="B728" s="43" t="s">
        <v>2358</v>
      </c>
      <c r="C728" s="44">
        <v>1226</v>
      </c>
      <c r="D728" s="45" t="s">
        <v>339</v>
      </c>
    </row>
    <row r="729" spans="2:4">
      <c r="B729" s="43" t="s">
        <v>2359</v>
      </c>
      <c r="C729" s="44">
        <v>1227</v>
      </c>
      <c r="D729" s="45" t="s">
        <v>339</v>
      </c>
    </row>
    <row r="730" spans="2:4">
      <c r="B730" s="43" t="s">
        <v>2360</v>
      </c>
      <c r="C730" s="44">
        <v>1228</v>
      </c>
      <c r="D730" s="45" t="s">
        <v>339</v>
      </c>
    </row>
    <row r="731" spans="2:4">
      <c r="B731" s="43" t="s">
        <v>2361</v>
      </c>
      <c r="C731" s="44">
        <v>1229</v>
      </c>
      <c r="D731" s="45" t="s">
        <v>339</v>
      </c>
    </row>
    <row r="732" spans="2:4">
      <c r="B732" s="43" t="s">
        <v>2362</v>
      </c>
      <c r="C732" s="44">
        <v>1230</v>
      </c>
      <c r="D732" s="45" t="s">
        <v>339</v>
      </c>
    </row>
    <row r="733" spans="2:4">
      <c r="B733" s="43" t="s">
        <v>2363</v>
      </c>
      <c r="C733" s="44">
        <v>1231</v>
      </c>
      <c r="D733" s="45" t="s">
        <v>339</v>
      </c>
    </row>
    <row r="734" spans="2:4">
      <c r="B734" s="43" t="s">
        <v>1592</v>
      </c>
      <c r="C734" s="44">
        <v>1232</v>
      </c>
      <c r="D734" s="45" t="s">
        <v>339</v>
      </c>
    </row>
    <row r="735" spans="2:4">
      <c r="B735" s="43" t="s">
        <v>2364</v>
      </c>
      <c r="C735" s="44">
        <v>1233</v>
      </c>
      <c r="D735" s="45" t="s">
        <v>339</v>
      </c>
    </row>
    <row r="736" spans="2:4">
      <c r="B736" s="43" t="s">
        <v>964</v>
      </c>
      <c r="C736" s="44">
        <v>1234</v>
      </c>
      <c r="D736" s="45" t="s">
        <v>339</v>
      </c>
    </row>
    <row r="737" spans="2:4">
      <c r="B737" s="43" t="s">
        <v>807</v>
      </c>
      <c r="C737" s="44">
        <v>1235</v>
      </c>
      <c r="D737" s="45" t="s">
        <v>339</v>
      </c>
    </row>
    <row r="738" spans="2:4">
      <c r="B738" s="43" t="s">
        <v>2365</v>
      </c>
      <c r="C738" s="44">
        <v>1236</v>
      </c>
      <c r="D738" s="45" t="s">
        <v>339</v>
      </c>
    </row>
    <row r="739" spans="2:4">
      <c r="B739" s="43" t="s">
        <v>1605</v>
      </c>
      <c r="C739" s="44">
        <v>1237</v>
      </c>
      <c r="D739" s="45" t="s">
        <v>339</v>
      </c>
    </row>
    <row r="740" spans="2:4">
      <c r="B740" s="43" t="s">
        <v>2366</v>
      </c>
      <c r="C740" s="44">
        <v>1238</v>
      </c>
      <c r="D740" s="45" t="s">
        <v>339</v>
      </c>
    </row>
    <row r="741" spans="2:4">
      <c r="B741" s="43" t="s">
        <v>2367</v>
      </c>
      <c r="C741" s="44">
        <v>1239</v>
      </c>
      <c r="D741" s="45" t="s">
        <v>339</v>
      </c>
    </row>
    <row r="742" spans="2:4">
      <c r="B742" s="43" t="s">
        <v>1110</v>
      </c>
      <c r="C742" s="44">
        <v>1240</v>
      </c>
      <c r="D742" s="45" t="s">
        <v>339</v>
      </c>
    </row>
    <row r="743" spans="2:4">
      <c r="B743" s="43" t="s">
        <v>1776</v>
      </c>
      <c r="C743" s="44">
        <v>1241</v>
      </c>
      <c r="D743" s="45" t="s">
        <v>339</v>
      </c>
    </row>
    <row r="744" spans="2:4">
      <c r="B744" s="43" t="s">
        <v>2368</v>
      </c>
      <c r="C744" s="44">
        <v>1242</v>
      </c>
      <c r="D744" s="45" t="s">
        <v>339</v>
      </c>
    </row>
    <row r="745" spans="2:4">
      <c r="B745" s="43" t="s">
        <v>2369</v>
      </c>
      <c r="C745" s="44">
        <v>1243</v>
      </c>
      <c r="D745" s="45" t="s">
        <v>339</v>
      </c>
    </row>
    <row r="746" spans="2:4">
      <c r="B746" s="43" t="s">
        <v>2370</v>
      </c>
      <c r="C746" s="44">
        <v>1244</v>
      </c>
      <c r="D746" s="45" t="s">
        <v>339</v>
      </c>
    </row>
    <row r="747" spans="2:4">
      <c r="B747" s="43" t="s">
        <v>2371</v>
      </c>
      <c r="C747" s="44">
        <v>1245</v>
      </c>
      <c r="D747" s="45" t="s">
        <v>339</v>
      </c>
    </row>
    <row r="748" spans="2:4">
      <c r="B748" s="43" t="s">
        <v>1373</v>
      </c>
      <c r="C748" s="44">
        <v>1246</v>
      </c>
      <c r="D748" s="45" t="s">
        <v>339</v>
      </c>
    </row>
    <row r="749" spans="2:4">
      <c r="B749" s="43" t="s">
        <v>2372</v>
      </c>
      <c r="C749" s="44">
        <v>1247</v>
      </c>
      <c r="D749" s="45" t="s">
        <v>339</v>
      </c>
    </row>
    <row r="750" spans="2:4">
      <c r="B750" s="43" t="s">
        <v>1503</v>
      </c>
      <c r="C750" s="44">
        <v>1248</v>
      </c>
      <c r="D750" s="45" t="s">
        <v>339</v>
      </c>
    </row>
    <row r="751" spans="2:4">
      <c r="B751" s="43" t="s">
        <v>2373</v>
      </c>
      <c r="C751" s="44">
        <v>1249</v>
      </c>
      <c r="D751" s="45" t="s">
        <v>339</v>
      </c>
    </row>
    <row r="752" spans="2:4">
      <c r="B752" s="43" t="s">
        <v>2374</v>
      </c>
      <c r="C752" s="44">
        <v>1250</v>
      </c>
      <c r="D752" s="45" t="s">
        <v>339</v>
      </c>
    </row>
    <row r="753" spans="2:4">
      <c r="B753" s="43" t="s">
        <v>867</v>
      </c>
      <c r="C753" s="44">
        <v>1251</v>
      </c>
      <c r="D753" s="45" t="s">
        <v>339</v>
      </c>
    </row>
    <row r="754" spans="2:4">
      <c r="B754" s="43" t="s">
        <v>1528</v>
      </c>
      <c r="C754" s="44">
        <v>1252</v>
      </c>
      <c r="D754" s="45" t="s">
        <v>339</v>
      </c>
    </row>
    <row r="755" spans="2:4">
      <c r="B755" s="43" t="s">
        <v>2375</v>
      </c>
      <c r="C755" s="44">
        <v>1253</v>
      </c>
      <c r="D755" s="45" t="s">
        <v>339</v>
      </c>
    </row>
    <row r="756" spans="2:4">
      <c r="B756" s="43" t="s">
        <v>549</v>
      </c>
      <c r="C756" s="44">
        <v>1254</v>
      </c>
      <c r="D756" s="45" t="s">
        <v>339</v>
      </c>
    </row>
    <row r="757" spans="2:4">
      <c r="B757" s="43" t="s">
        <v>551</v>
      </c>
      <c r="C757" s="44">
        <v>1255</v>
      </c>
      <c r="D757" s="45" t="s">
        <v>339</v>
      </c>
    </row>
    <row r="758" spans="2:4">
      <c r="B758" s="43" t="s">
        <v>2376</v>
      </c>
      <c r="C758" s="44">
        <v>1256</v>
      </c>
      <c r="D758" s="45" t="s">
        <v>339</v>
      </c>
    </row>
    <row r="759" spans="2:4">
      <c r="B759" s="43" t="s">
        <v>356</v>
      </c>
      <c r="C759" s="44">
        <v>1257</v>
      </c>
      <c r="D759" s="45" t="s">
        <v>339</v>
      </c>
    </row>
    <row r="760" spans="2:4">
      <c r="B760" s="43" t="s">
        <v>2377</v>
      </c>
      <c r="C760" s="44">
        <v>1258</v>
      </c>
      <c r="D760" s="45" t="s">
        <v>339</v>
      </c>
    </row>
    <row r="761" spans="2:4">
      <c r="B761" s="43" t="s">
        <v>2378</v>
      </c>
      <c r="C761" s="44">
        <v>1259</v>
      </c>
      <c r="D761" s="45" t="s">
        <v>339</v>
      </c>
    </row>
    <row r="762" spans="2:4">
      <c r="B762" s="43" t="s">
        <v>1729</v>
      </c>
      <c r="C762" s="44">
        <v>1260</v>
      </c>
      <c r="D762" s="45" t="s">
        <v>339</v>
      </c>
    </row>
    <row r="763" spans="2:4">
      <c r="B763" s="43" t="s">
        <v>2379</v>
      </c>
      <c r="C763" s="44">
        <v>1261</v>
      </c>
      <c r="D763" s="45" t="s">
        <v>339</v>
      </c>
    </row>
    <row r="764" spans="2:4">
      <c r="B764" s="43" t="s">
        <v>1136</v>
      </c>
      <c r="C764" s="44">
        <v>1262</v>
      </c>
      <c r="D764" s="45" t="s">
        <v>339</v>
      </c>
    </row>
    <row r="765" spans="2:4">
      <c r="B765" s="43" t="s">
        <v>2380</v>
      </c>
      <c r="C765" s="44">
        <v>1263</v>
      </c>
      <c r="D765" s="45" t="s">
        <v>339</v>
      </c>
    </row>
    <row r="766" spans="2:4">
      <c r="B766" s="43" t="s">
        <v>2381</v>
      </c>
      <c r="C766" s="44">
        <v>1264</v>
      </c>
      <c r="D766" s="45" t="s">
        <v>339</v>
      </c>
    </row>
    <row r="767" spans="2:4">
      <c r="B767" s="43" t="s">
        <v>2382</v>
      </c>
      <c r="C767" s="44">
        <v>1265</v>
      </c>
      <c r="D767" s="45" t="s">
        <v>339</v>
      </c>
    </row>
    <row r="768" spans="2:4">
      <c r="B768" s="43" t="s">
        <v>2383</v>
      </c>
      <c r="C768" s="44">
        <v>1266</v>
      </c>
      <c r="D768" s="45" t="s">
        <v>339</v>
      </c>
    </row>
    <row r="769" spans="2:4">
      <c r="B769" s="43" t="s">
        <v>2384</v>
      </c>
      <c r="C769" s="44">
        <v>1267</v>
      </c>
      <c r="D769" s="45" t="s">
        <v>339</v>
      </c>
    </row>
    <row r="770" spans="2:4">
      <c r="B770" s="43" t="s">
        <v>2385</v>
      </c>
      <c r="C770" s="44">
        <v>1268</v>
      </c>
      <c r="D770" s="45" t="s">
        <v>339</v>
      </c>
    </row>
    <row r="771" spans="2:4">
      <c r="B771" s="43" t="s">
        <v>2386</v>
      </c>
      <c r="C771" s="44">
        <v>1269</v>
      </c>
      <c r="D771" s="45" t="s">
        <v>339</v>
      </c>
    </row>
    <row r="772" spans="2:4">
      <c r="B772" s="43" t="s">
        <v>2387</v>
      </c>
      <c r="C772" s="44">
        <v>1270</v>
      </c>
      <c r="D772" s="45" t="s">
        <v>339</v>
      </c>
    </row>
    <row r="773" spans="2:4">
      <c r="B773" s="43" t="s">
        <v>1577</v>
      </c>
      <c r="C773" s="44">
        <v>1271</v>
      </c>
      <c r="D773" s="45" t="s">
        <v>339</v>
      </c>
    </row>
    <row r="774" spans="2:4">
      <c r="B774" s="43" t="s">
        <v>2388</v>
      </c>
      <c r="C774" s="44">
        <v>1272</v>
      </c>
      <c r="D774" s="45" t="s">
        <v>339</v>
      </c>
    </row>
    <row r="775" spans="2:4">
      <c r="B775" s="43" t="s">
        <v>2389</v>
      </c>
      <c r="C775" s="44">
        <v>1273</v>
      </c>
      <c r="D775" s="45" t="s">
        <v>339</v>
      </c>
    </row>
    <row r="776" spans="2:4">
      <c r="B776" s="43" t="s">
        <v>2390</v>
      </c>
      <c r="C776" s="44">
        <v>1274</v>
      </c>
      <c r="D776" s="45" t="s">
        <v>339</v>
      </c>
    </row>
    <row r="777" spans="2:4">
      <c r="B777" s="43" t="s">
        <v>2391</v>
      </c>
      <c r="C777" s="44">
        <v>1275</v>
      </c>
      <c r="D777" s="45" t="s">
        <v>339</v>
      </c>
    </row>
    <row r="778" spans="2:4">
      <c r="B778" s="43" t="s">
        <v>2392</v>
      </c>
      <c r="C778" s="44">
        <v>1276</v>
      </c>
      <c r="D778" s="45" t="s">
        <v>339</v>
      </c>
    </row>
    <row r="779" spans="2:4">
      <c r="B779" s="43" t="s">
        <v>2393</v>
      </c>
      <c r="C779" s="44">
        <v>1277</v>
      </c>
      <c r="D779" s="45" t="s">
        <v>339</v>
      </c>
    </row>
    <row r="780" spans="2:4">
      <c r="B780" s="43" t="s">
        <v>2394</v>
      </c>
      <c r="C780" s="44">
        <v>1278</v>
      </c>
      <c r="D780" s="45" t="s">
        <v>339</v>
      </c>
    </row>
    <row r="781" spans="2:4">
      <c r="B781" s="43" t="s">
        <v>2395</v>
      </c>
      <c r="C781" s="44">
        <v>1279</v>
      </c>
      <c r="D781" s="45" t="s">
        <v>339</v>
      </c>
    </row>
    <row r="782" spans="2:4">
      <c r="B782" s="43" t="s">
        <v>2396</v>
      </c>
      <c r="C782" s="44">
        <v>1280</v>
      </c>
      <c r="D782" s="45" t="s">
        <v>339</v>
      </c>
    </row>
    <row r="783" spans="2:4">
      <c r="B783" s="43" t="s">
        <v>2397</v>
      </c>
      <c r="C783" s="44">
        <v>1281</v>
      </c>
      <c r="D783" s="45" t="s">
        <v>339</v>
      </c>
    </row>
    <row r="784" spans="2:4">
      <c r="B784" s="43" t="s">
        <v>2398</v>
      </c>
      <c r="C784" s="44">
        <v>1282</v>
      </c>
      <c r="D784" s="45" t="s">
        <v>339</v>
      </c>
    </row>
    <row r="785" spans="2:4">
      <c r="B785" s="43" t="s">
        <v>2399</v>
      </c>
      <c r="C785" s="44">
        <v>1283</v>
      </c>
      <c r="D785" s="45" t="s">
        <v>339</v>
      </c>
    </row>
    <row r="786" spans="2:4">
      <c r="B786" s="43" t="s">
        <v>2400</v>
      </c>
      <c r="C786" s="44">
        <v>1284</v>
      </c>
      <c r="D786" s="45" t="s">
        <v>339</v>
      </c>
    </row>
    <row r="787" spans="2:4">
      <c r="B787" s="43" t="s">
        <v>2401</v>
      </c>
      <c r="C787" s="44">
        <v>1285</v>
      </c>
      <c r="D787" s="45" t="s">
        <v>339</v>
      </c>
    </row>
    <row r="788" spans="2:4">
      <c r="B788" s="43" t="s">
        <v>2402</v>
      </c>
      <c r="C788" s="44">
        <v>1286</v>
      </c>
      <c r="D788" s="45" t="s">
        <v>339</v>
      </c>
    </row>
    <row r="789" spans="2:4">
      <c r="B789" s="43" t="s">
        <v>2403</v>
      </c>
      <c r="C789" s="44">
        <v>1287</v>
      </c>
      <c r="D789" s="45" t="s">
        <v>339</v>
      </c>
    </row>
    <row r="790" spans="2:4">
      <c r="B790" s="43" t="s">
        <v>2404</v>
      </c>
      <c r="C790" s="44">
        <v>1288</v>
      </c>
      <c r="D790" s="45" t="s">
        <v>339</v>
      </c>
    </row>
    <row r="791" spans="2:4">
      <c r="B791" s="43" t="s">
        <v>2405</v>
      </c>
      <c r="C791" s="44">
        <v>1289</v>
      </c>
      <c r="D791" s="45" t="s">
        <v>339</v>
      </c>
    </row>
    <row r="792" spans="2:4">
      <c r="B792" s="43" t="s">
        <v>2406</v>
      </c>
      <c r="C792" s="44">
        <v>1290</v>
      </c>
      <c r="D792" s="45" t="s">
        <v>339</v>
      </c>
    </row>
    <row r="793" spans="2:4">
      <c r="B793" s="43" t="s">
        <v>2407</v>
      </c>
      <c r="C793" s="44">
        <v>1291</v>
      </c>
      <c r="D793" s="45" t="s">
        <v>339</v>
      </c>
    </row>
    <row r="794" spans="2:4">
      <c r="B794" s="43" t="s">
        <v>2408</v>
      </c>
      <c r="C794" s="44">
        <v>1292</v>
      </c>
      <c r="D794" s="45" t="s">
        <v>339</v>
      </c>
    </row>
    <row r="795" spans="2:4">
      <c r="B795" s="43" t="s">
        <v>2409</v>
      </c>
      <c r="C795" s="44">
        <v>1293</v>
      </c>
      <c r="D795" s="45" t="s">
        <v>339</v>
      </c>
    </row>
    <row r="796" spans="2:4">
      <c r="B796" s="43" t="s">
        <v>2410</v>
      </c>
      <c r="C796" s="44">
        <v>1294</v>
      </c>
      <c r="D796" s="45" t="s">
        <v>339</v>
      </c>
    </row>
    <row r="797" spans="2:4">
      <c r="B797" s="43" t="s">
        <v>2411</v>
      </c>
      <c r="C797" s="44">
        <v>1295</v>
      </c>
      <c r="D797" s="45" t="s">
        <v>339</v>
      </c>
    </row>
    <row r="798" spans="2:4">
      <c r="B798" s="43" t="s">
        <v>2412</v>
      </c>
      <c r="C798" s="44">
        <v>1296</v>
      </c>
      <c r="D798" s="45" t="s">
        <v>339</v>
      </c>
    </row>
    <row r="799" spans="2:4">
      <c r="B799" s="43" t="s">
        <v>897</v>
      </c>
      <c r="C799" s="44">
        <v>1297</v>
      </c>
      <c r="D799" s="45" t="s">
        <v>339</v>
      </c>
    </row>
    <row r="800" spans="2:4">
      <c r="B800" s="43" t="s">
        <v>2413</v>
      </c>
      <c r="C800" s="44">
        <v>1298</v>
      </c>
      <c r="D800" s="45" t="s">
        <v>339</v>
      </c>
    </row>
    <row r="801" spans="2:4">
      <c r="B801" s="43" t="s">
        <v>2414</v>
      </c>
      <c r="C801" s="44">
        <v>1299</v>
      </c>
      <c r="D801" s="45" t="s">
        <v>339</v>
      </c>
    </row>
    <row r="802" spans="2:4">
      <c r="B802" s="43" t="s">
        <v>2415</v>
      </c>
      <c r="C802" s="44">
        <v>1300</v>
      </c>
      <c r="D802" s="45" t="s">
        <v>339</v>
      </c>
    </row>
    <row r="803" spans="2:4">
      <c r="B803" s="43" t="s">
        <v>2416</v>
      </c>
      <c r="C803" s="44">
        <v>1301</v>
      </c>
      <c r="D803" s="45" t="s">
        <v>339</v>
      </c>
    </row>
    <row r="804" spans="2:4">
      <c r="B804" s="43" t="s">
        <v>2417</v>
      </c>
      <c r="C804" s="44">
        <v>1302</v>
      </c>
      <c r="D804" s="45" t="s">
        <v>339</v>
      </c>
    </row>
    <row r="805" spans="2:4">
      <c r="B805" s="43" t="s">
        <v>2418</v>
      </c>
      <c r="C805" s="44">
        <v>1303</v>
      </c>
      <c r="D805" s="45" t="s">
        <v>339</v>
      </c>
    </row>
    <row r="806" spans="2:4">
      <c r="B806" s="43" t="s">
        <v>2419</v>
      </c>
      <c r="C806" s="44">
        <v>1304</v>
      </c>
      <c r="D806" s="45" t="s">
        <v>339</v>
      </c>
    </row>
    <row r="807" spans="2:4">
      <c r="B807" s="43" t="s">
        <v>847</v>
      </c>
      <c r="C807" s="44">
        <v>1305</v>
      </c>
      <c r="D807" s="45" t="s">
        <v>339</v>
      </c>
    </row>
    <row r="808" spans="2:4">
      <c r="B808" s="43" t="s">
        <v>849</v>
      </c>
      <c r="C808" s="44">
        <v>1306</v>
      </c>
      <c r="D808" s="45" t="s">
        <v>339</v>
      </c>
    </row>
    <row r="809" spans="2:4">
      <c r="B809" s="43" t="s">
        <v>2420</v>
      </c>
      <c r="C809" s="44">
        <v>1307</v>
      </c>
      <c r="D809" s="45" t="s">
        <v>339</v>
      </c>
    </row>
    <row r="810" spans="2:4">
      <c r="B810" s="43" t="s">
        <v>2421</v>
      </c>
      <c r="C810" s="44">
        <v>1308</v>
      </c>
      <c r="D810" s="45" t="s">
        <v>339</v>
      </c>
    </row>
    <row r="811" spans="2:4">
      <c r="B811" s="43" t="s">
        <v>2422</v>
      </c>
      <c r="C811" s="44">
        <v>1309</v>
      </c>
      <c r="D811" s="45" t="s">
        <v>339</v>
      </c>
    </row>
    <row r="812" spans="2:4">
      <c r="B812" s="43" t="s">
        <v>2423</v>
      </c>
      <c r="C812" s="44">
        <v>1310</v>
      </c>
      <c r="D812" s="45" t="s">
        <v>339</v>
      </c>
    </row>
    <row r="813" spans="2:4">
      <c r="B813" s="43" t="s">
        <v>2424</v>
      </c>
      <c r="C813" s="44">
        <v>1311</v>
      </c>
      <c r="D813" s="45" t="s">
        <v>339</v>
      </c>
    </row>
    <row r="814" spans="2:4">
      <c r="B814" s="43" t="s">
        <v>2425</v>
      </c>
      <c r="C814" s="44">
        <v>1312</v>
      </c>
      <c r="D814" s="45" t="s">
        <v>339</v>
      </c>
    </row>
    <row r="815" spans="2:4">
      <c r="B815" s="43" t="s">
        <v>2426</v>
      </c>
      <c r="C815" s="44">
        <v>1313</v>
      </c>
      <c r="D815" s="45" t="s">
        <v>339</v>
      </c>
    </row>
    <row r="816" spans="2:4">
      <c r="B816" s="43" t="s">
        <v>2427</v>
      </c>
      <c r="C816" s="44">
        <v>1314</v>
      </c>
      <c r="D816" s="45" t="s">
        <v>339</v>
      </c>
    </row>
    <row r="817" spans="2:4">
      <c r="B817" s="43" t="s">
        <v>2428</v>
      </c>
      <c r="C817" s="44">
        <v>1315</v>
      </c>
      <c r="D817" s="45" t="s">
        <v>339</v>
      </c>
    </row>
    <row r="818" spans="2:4">
      <c r="B818" s="43" t="s">
        <v>2429</v>
      </c>
      <c r="C818" s="44">
        <v>1316</v>
      </c>
      <c r="D818" s="45" t="s">
        <v>339</v>
      </c>
    </row>
    <row r="819" spans="2:4">
      <c r="B819" s="43" t="s">
        <v>2430</v>
      </c>
      <c r="C819" s="44">
        <v>1317</v>
      </c>
      <c r="D819" s="45" t="s">
        <v>339</v>
      </c>
    </row>
    <row r="820" spans="2:4">
      <c r="B820" s="43" t="s">
        <v>2431</v>
      </c>
      <c r="C820" s="44">
        <v>1318</v>
      </c>
      <c r="D820" s="45" t="s">
        <v>339</v>
      </c>
    </row>
    <row r="821" spans="2:4">
      <c r="B821" s="43" t="s">
        <v>1263</v>
      </c>
      <c r="C821" s="44">
        <v>1319</v>
      </c>
      <c r="D821" s="45" t="s">
        <v>339</v>
      </c>
    </row>
    <row r="822" spans="2:4">
      <c r="B822" s="43" t="s">
        <v>1265</v>
      </c>
      <c r="C822" s="44">
        <v>1320</v>
      </c>
      <c r="D822" s="45" t="s">
        <v>339</v>
      </c>
    </row>
    <row r="823" spans="2:4">
      <c r="B823" s="43" t="s">
        <v>2432</v>
      </c>
      <c r="C823" s="44">
        <v>1321</v>
      </c>
      <c r="D823" s="45" t="s">
        <v>339</v>
      </c>
    </row>
    <row r="824" spans="2:4">
      <c r="B824" s="43" t="s">
        <v>2433</v>
      </c>
      <c r="C824" s="44">
        <v>1322</v>
      </c>
      <c r="D824" s="45" t="s">
        <v>339</v>
      </c>
    </row>
    <row r="825" spans="2:4">
      <c r="B825" s="43" t="s">
        <v>2434</v>
      </c>
      <c r="C825" s="44">
        <v>1323</v>
      </c>
      <c r="D825" s="45" t="s">
        <v>339</v>
      </c>
    </row>
    <row r="826" spans="2:4">
      <c r="B826" s="43" t="s">
        <v>2435</v>
      </c>
      <c r="C826" s="44">
        <v>1324</v>
      </c>
      <c r="D826" s="45" t="s">
        <v>339</v>
      </c>
    </row>
    <row r="827" spans="2:4">
      <c r="B827" s="43" t="s">
        <v>2436</v>
      </c>
      <c r="C827" s="44">
        <v>1325</v>
      </c>
      <c r="D827" s="45" t="s">
        <v>339</v>
      </c>
    </row>
    <row r="828" spans="2:4">
      <c r="B828" s="43" t="s">
        <v>2437</v>
      </c>
      <c r="C828" s="44">
        <v>1326</v>
      </c>
      <c r="D828" s="45" t="s">
        <v>339</v>
      </c>
    </row>
    <row r="829" spans="2:4">
      <c r="B829" s="43" t="s">
        <v>2438</v>
      </c>
      <c r="C829" s="44">
        <v>1327</v>
      </c>
      <c r="D829" s="45" t="s">
        <v>339</v>
      </c>
    </row>
    <row r="830" spans="2:4">
      <c r="B830" s="43" t="s">
        <v>2439</v>
      </c>
      <c r="C830" s="44">
        <v>1328</v>
      </c>
      <c r="D830" s="45" t="s">
        <v>339</v>
      </c>
    </row>
    <row r="831" spans="2:4">
      <c r="B831" s="43" t="s">
        <v>2440</v>
      </c>
      <c r="C831" s="44">
        <v>1329</v>
      </c>
      <c r="D831" s="45" t="s">
        <v>339</v>
      </c>
    </row>
    <row r="832" spans="2:4">
      <c r="B832" s="43" t="s">
        <v>2441</v>
      </c>
      <c r="C832" s="44">
        <v>1330</v>
      </c>
      <c r="D832" s="45" t="s">
        <v>339</v>
      </c>
    </row>
    <row r="833" spans="2:4">
      <c r="B833" s="43" t="s">
        <v>2442</v>
      </c>
      <c r="C833" s="44">
        <v>1331</v>
      </c>
      <c r="D833" s="45" t="s">
        <v>339</v>
      </c>
    </row>
    <row r="834" spans="2:4">
      <c r="B834" s="43" t="s">
        <v>503</v>
      </c>
      <c r="C834" s="44">
        <v>1332</v>
      </c>
      <c r="D834" s="45" t="s">
        <v>339</v>
      </c>
    </row>
    <row r="835" spans="2:4">
      <c r="B835" s="43" t="s">
        <v>2443</v>
      </c>
      <c r="C835" s="44">
        <v>1333</v>
      </c>
      <c r="D835" s="45" t="s">
        <v>339</v>
      </c>
    </row>
    <row r="836" spans="2:4">
      <c r="B836" s="43" t="s">
        <v>2444</v>
      </c>
      <c r="C836" s="44">
        <v>1334</v>
      </c>
      <c r="D836" s="45" t="s">
        <v>339</v>
      </c>
    </row>
    <row r="837" spans="2:4">
      <c r="B837" s="43" t="s">
        <v>2445</v>
      </c>
      <c r="C837" s="44">
        <v>1335</v>
      </c>
      <c r="D837" s="45" t="s">
        <v>339</v>
      </c>
    </row>
    <row r="838" spans="2:4">
      <c r="B838" s="43" t="s">
        <v>2446</v>
      </c>
      <c r="C838" s="44">
        <v>1336</v>
      </c>
      <c r="D838" s="45" t="s">
        <v>339</v>
      </c>
    </row>
    <row r="839" spans="2:4">
      <c r="B839" s="43" t="s">
        <v>2447</v>
      </c>
      <c r="C839" s="44">
        <v>1337</v>
      </c>
      <c r="D839" s="45" t="s">
        <v>339</v>
      </c>
    </row>
    <row r="840" spans="2:4">
      <c r="B840" s="43" t="s">
        <v>2448</v>
      </c>
      <c r="C840" s="44">
        <v>1338</v>
      </c>
      <c r="D840" s="45" t="s">
        <v>339</v>
      </c>
    </row>
    <row r="841" spans="2:4">
      <c r="B841" s="43" t="s">
        <v>2449</v>
      </c>
      <c r="C841" s="44">
        <v>1339</v>
      </c>
      <c r="D841" s="45" t="s">
        <v>339</v>
      </c>
    </row>
    <row r="842" spans="2:4">
      <c r="B842" s="43" t="s">
        <v>2450</v>
      </c>
      <c r="C842" s="44">
        <v>1340</v>
      </c>
      <c r="D842" s="45" t="s">
        <v>339</v>
      </c>
    </row>
    <row r="843" spans="2:4">
      <c r="B843" s="43" t="s">
        <v>2451</v>
      </c>
      <c r="C843" s="44">
        <v>1341</v>
      </c>
      <c r="D843" s="45" t="s">
        <v>339</v>
      </c>
    </row>
    <row r="844" spans="2:4">
      <c r="B844" s="43" t="s">
        <v>2452</v>
      </c>
      <c r="C844" s="44">
        <v>1342</v>
      </c>
      <c r="D844" s="45" t="s">
        <v>339</v>
      </c>
    </row>
    <row r="845" spans="2:4">
      <c r="B845" s="43" t="s">
        <v>2453</v>
      </c>
      <c r="C845" s="44">
        <v>1343</v>
      </c>
      <c r="D845" s="45" t="s">
        <v>339</v>
      </c>
    </row>
    <row r="846" spans="2:4">
      <c r="B846" s="43" t="s">
        <v>2454</v>
      </c>
      <c r="C846" s="44">
        <v>1344</v>
      </c>
      <c r="D846" s="45" t="s">
        <v>339</v>
      </c>
    </row>
    <row r="847" spans="2:4">
      <c r="B847" s="43" t="s">
        <v>2455</v>
      </c>
      <c r="C847" s="44">
        <v>1345</v>
      </c>
      <c r="D847" s="45" t="s">
        <v>339</v>
      </c>
    </row>
    <row r="848" spans="2:4">
      <c r="B848" s="43" t="s">
        <v>2456</v>
      </c>
      <c r="C848" s="44">
        <v>1346</v>
      </c>
      <c r="D848" s="45" t="s">
        <v>339</v>
      </c>
    </row>
    <row r="849" spans="2:4">
      <c r="B849" s="43" t="s">
        <v>2457</v>
      </c>
      <c r="C849" s="44">
        <v>1347</v>
      </c>
      <c r="D849" s="45" t="s">
        <v>339</v>
      </c>
    </row>
    <row r="850" spans="2:4">
      <c r="B850" s="43" t="s">
        <v>2458</v>
      </c>
      <c r="C850" s="44">
        <v>1348</v>
      </c>
      <c r="D850" s="45" t="s">
        <v>339</v>
      </c>
    </row>
    <row r="851" spans="2:4">
      <c r="B851" s="43" t="s">
        <v>2459</v>
      </c>
      <c r="C851" s="44">
        <v>1349</v>
      </c>
      <c r="D851" s="45" t="s">
        <v>339</v>
      </c>
    </row>
    <row r="852" spans="2:4">
      <c r="B852" s="43" t="s">
        <v>1723</v>
      </c>
      <c r="C852" s="44">
        <v>1350</v>
      </c>
      <c r="D852" s="45" t="s">
        <v>339</v>
      </c>
    </row>
    <row r="853" spans="2:4">
      <c r="B853" s="43" t="s">
        <v>2460</v>
      </c>
      <c r="C853" s="44">
        <v>1351</v>
      </c>
      <c r="D853" s="45" t="s">
        <v>339</v>
      </c>
    </row>
    <row r="854" spans="2:4">
      <c r="B854" s="43" t="s">
        <v>2461</v>
      </c>
      <c r="C854" s="44">
        <v>1352</v>
      </c>
      <c r="D854" s="45" t="s">
        <v>339</v>
      </c>
    </row>
    <row r="855" spans="2:4">
      <c r="B855" s="43" t="s">
        <v>2462</v>
      </c>
      <c r="C855" s="44">
        <v>1353</v>
      </c>
      <c r="D855" s="45" t="s">
        <v>339</v>
      </c>
    </row>
    <row r="856" spans="2:4">
      <c r="B856" s="43" t="s">
        <v>2463</v>
      </c>
      <c r="C856" s="44">
        <v>1354</v>
      </c>
      <c r="D856" s="45" t="s">
        <v>339</v>
      </c>
    </row>
    <row r="857" spans="2:4">
      <c r="B857" s="43" t="s">
        <v>2464</v>
      </c>
      <c r="C857" s="44">
        <v>1355</v>
      </c>
      <c r="D857" s="45" t="s">
        <v>339</v>
      </c>
    </row>
    <row r="858" spans="2:4">
      <c r="B858" s="43" t="s">
        <v>2465</v>
      </c>
      <c r="C858" s="44">
        <v>1356</v>
      </c>
      <c r="D858" s="45" t="s">
        <v>339</v>
      </c>
    </row>
    <row r="859" spans="2:4">
      <c r="B859" s="43" t="s">
        <v>695</v>
      </c>
      <c r="C859" s="44">
        <v>1357</v>
      </c>
      <c r="D859" s="45" t="s">
        <v>339</v>
      </c>
    </row>
    <row r="860" spans="2:4">
      <c r="B860" s="43" t="s">
        <v>715</v>
      </c>
      <c r="C860" s="44">
        <v>1358</v>
      </c>
      <c r="D860" s="45" t="s">
        <v>339</v>
      </c>
    </row>
    <row r="861" spans="2:4">
      <c r="B861" s="43" t="s">
        <v>705</v>
      </c>
      <c r="C861" s="44">
        <v>1359</v>
      </c>
      <c r="D861" s="45" t="s">
        <v>339</v>
      </c>
    </row>
    <row r="862" spans="2:4">
      <c r="B862" s="43" t="s">
        <v>725</v>
      </c>
      <c r="C862" s="44">
        <v>1360</v>
      </c>
      <c r="D862" s="45" t="s">
        <v>339</v>
      </c>
    </row>
    <row r="863" spans="2:4">
      <c r="B863" s="43" t="s">
        <v>1240</v>
      </c>
      <c r="C863" s="44">
        <v>1361</v>
      </c>
      <c r="D863" s="45" t="s">
        <v>339</v>
      </c>
    </row>
    <row r="864" spans="2:4">
      <c r="B864" s="43" t="s">
        <v>2466</v>
      </c>
      <c r="C864" s="44">
        <v>1362</v>
      </c>
      <c r="D864" s="45" t="s">
        <v>339</v>
      </c>
    </row>
    <row r="865" spans="2:4">
      <c r="B865" s="43" t="s">
        <v>2467</v>
      </c>
      <c r="C865" s="44">
        <v>1363</v>
      </c>
      <c r="D865" s="45" t="s">
        <v>339</v>
      </c>
    </row>
    <row r="866" spans="2:4">
      <c r="B866" s="43" t="s">
        <v>1693</v>
      </c>
      <c r="C866" s="44">
        <v>1364</v>
      </c>
      <c r="D866" s="45" t="s">
        <v>339</v>
      </c>
    </row>
    <row r="867" spans="2:4">
      <c r="B867" s="43" t="s">
        <v>2468</v>
      </c>
      <c r="C867" s="44">
        <v>1365</v>
      </c>
      <c r="D867" s="45" t="s">
        <v>339</v>
      </c>
    </row>
    <row r="868" spans="2:4">
      <c r="B868" s="43" t="s">
        <v>2469</v>
      </c>
      <c r="C868" s="44">
        <v>1366</v>
      </c>
      <c r="D868" s="45" t="s">
        <v>339</v>
      </c>
    </row>
    <row r="869" spans="2:4">
      <c r="B869" s="43" t="s">
        <v>2470</v>
      </c>
      <c r="C869" s="44">
        <v>1367</v>
      </c>
      <c r="D869" s="45" t="s">
        <v>339</v>
      </c>
    </row>
    <row r="870" spans="2:4">
      <c r="B870" s="43" t="s">
        <v>2471</v>
      </c>
      <c r="C870" s="44">
        <v>1368</v>
      </c>
      <c r="D870" s="45" t="s">
        <v>339</v>
      </c>
    </row>
    <row r="871" spans="2:4">
      <c r="B871" s="43" t="s">
        <v>2472</v>
      </c>
      <c r="C871" s="44">
        <v>1369</v>
      </c>
      <c r="D871" s="45" t="s">
        <v>339</v>
      </c>
    </row>
    <row r="872" spans="2:4">
      <c r="B872" s="43" t="s">
        <v>2473</v>
      </c>
      <c r="C872" s="44">
        <v>1370</v>
      </c>
      <c r="D872" s="45" t="s">
        <v>339</v>
      </c>
    </row>
    <row r="873" spans="2:4">
      <c r="B873" s="43" t="s">
        <v>2474</v>
      </c>
      <c r="C873" s="44">
        <v>1371</v>
      </c>
      <c r="D873" s="45" t="s">
        <v>339</v>
      </c>
    </row>
    <row r="874" spans="2:4">
      <c r="B874" s="43" t="s">
        <v>2475</v>
      </c>
      <c r="C874" s="44">
        <v>1372</v>
      </c>
      <c r="D874" s="45" t="s">
        <v>339</v>
      </c>
    </row>
    <row r="875" spans="2:4">
      <c r="B875" s="43" t="s">
        <v>2476</v>
      </c>
      <c r="C875" s="44">
        <v>1373</v>
      </c>
      <c r="D875" s="45" t="s">
        <v>339</v>
      </c>
    </row>
    <row r="876" spans="2:4">
      <c r="B876" s="43" t="s">
        <v>2477</v>
      </c>
      <c r="C876" s="44">
        <v>1374</v>
      </c>
      <c r="D876" s="45" t="s">
        <v>339</v>
      </c>
    </row>
    <row r="877" spans="2:4">
      <c r="B877" s="43" t="s">
        <v>2478</v>
      </c>
      <c r="C877" s="44">
        <v>1375</v>
      </c>
      <c r="D877" s="45" t="s">
        <v>339</v>
      </c>
    </row>
    <row r="878" spans="2:4">
      <c r="B878" s="43" t="s">
        <v>2479</v>
      </c>
      <c r="C878" s="44">
        <v>1376</v>
      </c>
      <c r="D878" s="45" t="s">
        <v>339</v>
      </c>
    </row>
    <row r="879" spans="2:4">
      <c r="B879" s="43" t="s">
        <v>2480</v>
      </c>
      <c r="C879" s="44">
        <v>1377</v>
      </c>
      <c r="D879" s="45" t="s">
        <v>339</v>
      </c>
    </row>
    <row r="880" spans="2:4">
      <c r="B880" s="43" t="s">
        <v>2481</v>
      </c>
      <c r="C880" s="44">
        <v>1378</v>
      </c>
      <c r="D880" s="45" t="s">
        <v>339</v>
      </c>
    </row>
    <row r="881" spans="2:4">
      <c r="B881" s="43" t="s">
        <v>2482</v>
      </c>
      <c r="C881" s="44">
        <v>1379</v>
      </c>
      <c r="D881" s="45" t="s">
        <v>339</v>
      </c>
    </row>
    <row r="882" spans="2:4">
      <c r="B882" s="43" t="s">
        <v>2483</v>
      </c>
      <c r="C882" s="44">
        <v>1380</v>
      </c>
      <c r="D882" s="45" t="s">
        <v>339</v>
      </c>
    </row>
    <row r="883" spans="2:4">
      <c r="B883" s="43" t="s">
        <v>2484</v>
      </c>
      <c r="C883" s="44">
        <v>1381</v>
      </c>
      <c r="D883" s="45" t="s">
        <v>339</v>
      </c>
    </row>
    <row r="884" spans="2:4">
      <c r="B884" s="43" t="s">
        <v>2485</v>
      </c>
      <c r="C884" s="44">
        <v>1382</v>
      </c>
      <c r="D884" s="45" t="s">
        <v>339</v>
      </c>
    </row>
    <row r="885" spans="2:4">
      <c r="B885" s="43" t="s">
        <v>2486</v>
      </c>
      <c r="C885" s="44">
        <v>1383</v>
      </c>
      <c r="D885" s="45" t="s">
        <v>339</v>
      </c>
    </row>
    <row r="886" spans="2:4">
      <c r="B886" s="43" t="s">
        <v>2487</v>
      </c>
      <c r="C886" s="44">
        <v>1384</v>
      </c>
      <c r="D886" s="45" t="s">
        <v>339</v>
      </c>
    </row>
    <row r="887" spans="2:4">
      <c r="B887" s="43" t="s">
        <v>2488</v>
      </c>
      <c r="C887" s="44">
        <v>1385</v>
      </c>
      <c r="D887" s="45" t="s">
        <v>339</v>
      </c>
    </row>
    <row r="888" spans="2:4">
      <c r="B888" s="43" t="s">
        <v>1139</v>
      </c>
      <c r="C888" s="44">
        <v>1386</v>
      </c>
      <c r="D888" s="45" t="s">
        <v>339</v>
      </c>
    </row>
    <row r="889" spans="2:4">
      <c r="B889" s="43" t="s">
        <v>2489</v>
      </c>
      <c r="C889" s="44">
        <v>1387</v>
      </c>
      <c r="D889" s="45" t="s">
        <v>339</v>
      </c>
    </row>
    <row r="890" spans="2:4">
      <c r="B890" s="43" t="s">
        <v>2490</v>
      </c>
      <c r="C890" s="44">
        <v>1388</v>
      </c>
      <c r="D890" s="45" t="s">
        <v>339</v>
      </c>
    </row>
    <row r="891" spans="2:4">
      <c r="B891" s="43" t="s">
        <v>2491</v>
      </c>
      <c r="C891" s="44">
        <v>1389</v>
      </c>
      <c r="D891" s="45" t="s">
        <v>339</v>
      </c>
    </row>
    <row r="892" spans="2:4">
      <c r="B892" s="43" t="s">
        <v>2492</v>
      </c>
      <c r="C892" s="44">
        <v>1390</v>
      </c>
      <c r="D892" s="45" t="s">
        <v>339</v>
      </c>
    </row>
    <row r="893" spans="2:4">
      <c r="B893" s="43" t="s">
        <v>2493</v>
      </c>
      <c r="C893" s="44">
        <v>1391</v>
      </c>
      <c r="D893" s="45" t="s">
        <v>339</v>
      </c>
    </row>
    <row r="894" spans="2:4">
      <c r="B894" s="43" t="s">
        <v>2494</v>
      </c>
      <c r="C894" s="44">
        <v>1392</v>
      </c>
      <c r="D894" s="45" t="s">
        <v>339</v>
      </c>
    </row>
    <row r="895" spans="2:4">
      <c r="B895" s="43" t="s">
        <v>2495</v>
      </c>
      <c r="C895" s="44">
        <v>1393</v>
      </c>
      <c r="D895" s="45" t="s">
        <v>339</v>
      </c>
    </row>
    <row r="896" spans="2:4">
      <c r="B896" s="43" t="s">
        <v>745</v>
      </c>
      <c r="C896" s="44">
        <v>1394</v>
      </c>
      <c r="D896" s="45" t="s">
        <v>339</v>
      </c>
    </row>
    <row r="897" spans="2:4">
      <c r="B897" s="43" t="s">
        <v>2496</v>
      </c>
      <c r="C897" s="44">
        <v>1395</v>
      </c>
      <c r="D897" s="45" t="s">
        <v>339</v>
      </c>
    </row>
    <row r="898" spans="2:4">
      <c r="B898" s="43" t="s">
        <v>2497</v>
      </c>
      <c r="C898" s="44">
        <v>1396</v>
      </c>
      <c r="D898" s="45" t="s">
        <v>339</v>
      </c>
    </row>
    <row r="899" spans="2:4">
      <c r="B899" s="43" t="s">
        <v>2498</v>
      </c>
      <c r="C899" s="44">
        <v>1397</v>
      </c>
      <c r="D899" s="45" t="s">
        <v>339</v>
      </c>
    </row>
    <row r="900" spans="2:4">
      <c r="B900" s="43" t="s">
        <v>2499</v>
      </c>
      <c r="C900" s="44">
        <v>1398</v>
      </c>
      <c r="D900" s="45" t="s">
        <v>339</v>
      </c>
    </row>
    <row r="901" spans="2:4">
      <c r="B901" s="43" t="s">
        <v>2500</v>
      </c>
      <c r="C901" s="44">
        <v>1399</v>
      </c>
      <c r="D901" s="45" t="s">
        <v>339</v>
      </c>
    </row>
    <row r="902" spans="2:4">
      <c r="B902" s="43" t="s">
        <v>2501</v>
      </c>
      <c r="C902" s="44">
        <v>1400</v>
      </c>
      <c r="D902" s="45" t="s">
        <v>339</v>
      </c>
    </row>
    <row r="903" spans="2:4">
      <c r="B903" s="43" t="s">
        <v>2502</v>
      </c>
      <c r="C903" s="44">
        <v>1401</v>
      </c>
      <c r="D903" s="45" t="s">
        <v>339</v>
      </c>
    </row>
    <row r="904" spans="2:4">
      <c r="B904" s="43" t="s">
        <v>2503</v>
      </c>
      <c r="C904" s="44">
        <v>1402</v>
      </c>
      <c r="D904" s="45" t="s">
        <v>339</v>
      </c>
    </row>
    <row r="905" spans="2:4">
      <c r="B905" s="43" t="s">
        <v>2504</v>
      </c>
      <c r="C905" s="44">
        <v>1403</v>
      </c>
      <c r="D905" s="45" t="s">
        <v>339</v>
      </c>
    </row>
    <row r="906" spans="2:4">
      <c r="B906" s="43" t="s">
        <v>2505</v>
      </c>
      <c r="C906" s="44">
        <v>1404</v>
      </c>
      <c r="D906" s="45" t="s">
        <v>339</v>
      </c>
    </row>
    <row r="907" spans="2:4">
      <c r="B907" s="43" t="s">
        <v>2506</v>
      </c>
      <c r="C907" s="44">
        <v>1405</v>
      </c>
      <c r="D907" s="45" t="s">
        <v>339</v>
      </c>
    </row>
    <row r="908" spans="2:4">
      <c r="B908" s="43" t="s">
        <v>2507</v>
      </c>
      <c r="C908" s="44">
        <v>1406</v>
      </c>
      <c r="D908" s="45" t="s">
        <v>339</v>
      </c>
    </row>
    <row r="909" spans="2:4">
      <c r="B909" s="43" t="s">
        <v>2508</v>
      </c>
      <c r="C909" s="44">
        <v>1407</v>
      </c>
      <c r="D909" s="45" t="s">
        <v>339</v>
      </c>
    </row>
    <row r="910" spans="2:4">
      <c r="B910" s="43" t="s">
        <v>2509</v>
      </c>
      <c r="C910" s="44">
        <v>1408</v>
      </c>
      <c r="D910" s="45" t="s">
        <v>339</v>
      </c>
    </row>
    <row r="911" spans="2:4">
      <c r="B911" s="43" t="s">
        <v>2510</v>
      </c>
      <c r="C911" s="44">
        <v>1409</v>
      </c>
      <c r="D911" s="45" t="s">
        <v>339</v>
      </c>
    </row>
    <row r="912" spans="2:4">
      <c r="B912" s="43" t="s">
        <v>2511</v>
      </c>
      <c r="C912" s="44">
        <v>1410</v>
      </c>
      <c r="D912" s="45" t="s">
        <v>339</v>
      </c>
    </row>
    <row r="913" spans="2:4">
      <c r="B913" s="43" t="s">
        <v>2512</v>
      </c>
      <c r="C913" s="44">
        <v>1411</v>
      </c>
      <c r="D913" s="45" t="s">
        <v>339</v>
      </c>
    </row>
    <row r="914" spans="2:4">
      <c r="B914" s="43" t="s">
        <v>2513</v>
      </c>
      <c r="C914" s="44">
        <v>1412</v>
      </c>
      <c r="D914" s="45" t="s">
        <v>339</v>
      </c>
    </row>
    <row r="915" spans="2:4">
      <c r="B915" s="43" t="s">
        <v>2514</v>
      </c>
      <c r="C915" s="44">
        <v>1413</v>
      </c>
      <c r="D915" s="45" t="s">
        <v>339</v>
      </c>
    </row>
    <row r="916" spans="2:4">
      <c r="B916" s="43" t="s">
        <v>2515</v>
      </c>
      <c r="C916" s="44">
        <v>1414</v>
      </c>
      <c r="D916" s="45" t="s">
        <v>339</v>
      </c>
    </row>
    <row r="917" spans="2:4">
      <c r="B917" s="43" t="s">
        <v>2516</v>
      </c>
      <c r="C917" s="44">
        <v>1415</v>
      </c>
      <c r="D917" s="45" t="s">
        <v>339</v>
      </c>
    </row>
    <row r="918" spans="2:4">
      <c r="B918" s="43" t="s">
        <v>2517</v>
      </c>
      <c r="C918" s="44">
        <v>1416</v>
      </c>
      <c r="D918" s="45" t="s">
        <v>339</v>
      </c>
    </row>
    <row r="919" spans="2:4">
      <c r="B919" s="43" t="s">
        <v>2518</v>
      </c>
      <c r="C919" s="44">
        <v>1417</v>
      </c>
      <c r="D919" s="45" t="s">
        <v>339</v>
      </c>
    </row>
    <row r="920" spans="2:4">
      <c r="B920" s="43" t="s">
        <v>2519</v>
      </c>
      <c r="C920" s="44">
        <v>1418</v>
      </c>
      <c r="D920" s="45" t="s">
        <v>339</v>
      </c>
    </row>
    <row r="921" spans="2:4">
      <c r="B921" s="43" t="s">
        <v>2520</v>
      </c>
      <c r="C921" s="44">
        <v>1419</v>
      </c>
      <c r="D921" s="45" t="s">
        <v>339</v>
      </c>
    </row>
    <row r="922" spans="2:4">
      <c r="B922" s="43" t="s">
        <v>2521</v>
      </c>
      <c r="C922" s="44">
        <v>1420</v>
      </c>
      <c r="D922" s="45" t="s">
        <v>339</v>
      </c>
    </row>
    <row r="923" spans="2:4">
      <c r="B923" s="43" t="s">
        <v>2522</v>
      </c>
      <c r="C923" s="44">
        <v>1421</v>
      </c>
      <c r="D923" s="45" t="s">
        <v>339</v>
      </c>
    </row>
    <row r="924" spans="2:4">
      <c r="B924" s="43" t="s">
        <v>2523</v>
      </c>
      <c r="C924" s="44">
        <v>1422</v>
      </c>
      <c r="D924" s="45" t="s">
        <v>339</v>
      </c>
    </row>
    <row r="925" spans="2:4">
      <c r="B925" s="43" t="s">
        <v>2524</v>
      </c>
      <c r="C925" s="44">
        <v>1423</v>
      </c>
      <c r="D925" s="45" t="s">
        <v>339</v>
      </c>
    </row>
    <row r="926" spans="2:4">
      <c r="B926" s="43" t="s">
        <v>2525</v>
      </c>
      <c r="C926" s="44">
        <v>1424</v>
      </c>
      <c r="D926" s="45" t="s">
        <v>339</v>
      </c>
    </row>
    <row r="927" spans="2:4">
      <c r="B927" s="43" t="s">
        <v>2526</v>
      </c>
      <c r="C927" s="44">
        <v>1425</v>
      </c>
      <c r="D927" s="45" t="s">
        <v>339</v>
      </c>
    </row>
    <row r="928" spans="2:4">
      <c r="B928" s="43" t="s">
        <v>2527</v>
      </c>
      <c r="C928" s="44">
        <v>1426</v>
      </c>
      <c r="D928" s="45" t="s">
        <v>339</v>
      </c>
    </row>
    <row r="929" spans="2:4">
      <c r="B929" s="43" t="s">
        <v>2528</v>
      </c>
      <c r="C929" s="44">
        <v>1427</v>
      </c>
      <c r="D929" s="45" t="s">
        <v>339</v>
      </c>
    </row>
    <row r="930" spans="2:4">
      <c r="B930" s="43" t="s">
        <v>2529</v>
      </c>
      <c r="C930" s="44">
        <v>1428</v>
      </c>
      <c r="D930" s="45" t="s">
        <v>339</v>
      </c>
    </row>
    <row r="931" spans="2:4">
      <c r="B931" s="43" t="s">
        <v>2530</v>
      </c>
      <c r="C931" s="44">
        <v>1429</v>
      </c>
      <c r="D931" s="45" t="s">
        <v>339</v>
      </c>
    </row>
    <row r="932" spans="2:4">
      <c r="B932" s="43" t="s">
        <v>1308</v>
      </c>
      <c r="C932" s="44">
        <v>1430</v>
      </c>
      <c r="D932" s="45" t="s">
        <v>339</v>
      </c>
    </row>
    <row r="933" spans="2:4">
      <c r="B933" s="43" t="s">
        <v>2531</v>
      </c>
      <c r="C933" s="44">
        <v>1431</v>
      </c>
      <c r="D933" s="45" t="s">
        <v>339</v>
      </c>
    </row>
    <row r="934" spans="2:4">
      <c r="B934" s="43" t="s">
        <v>2532</v>
      </c>
      <c r="C934" s="44">
        <v>1432</v>
      </c>
      <c r="D934" s="45" t="s">
        <v>339</v>
      </c>
    </row>
    <row r="935" spans="2:4">
      <c r="B935" s="43" t="s">
        <v>2533</v>
      </c>
      <c r="C935" s="44">
        <v>1433</v>
      </c>
      <c r="D935" s="45" t="s">
        <v>339</v>
      </c>
    </row>
    <row r="936" spans="2:4">
      <c r="B936" s="43" t="s">
        <v>2534</v>
      </c>
      <c r="C936" s="44">
        <v>1434</v>
      </c>
      <c r="D936" s="45" t="s">
        <v>339</v>
      </c>
    </row>
    <row r="937" spans="2:4">
      <c r="B937" s="43" t="s">
        <v>2535</v>
      </c>
      <c r="C937" s="44">
        <v>1435</v>
      </c>
      <c r="D937" s="45" t="s">
        <v>339</v>
      </c>
    </row>
    <row r="938" spans="2:4">
      <c r="B938" s="43" t="s">
        <v>2536</v>
      </c>
      <c r="C938" s="44">
        <v>1436</v>
      </c>
      <c r="D938" s="45" t="s">
        <v>339</v>
      </c>
    </row>
    <row r="939" spans="2:4">
      <c r="B939" s="43" t="s">
        <v>2537</v>
      </c>
      <c r="C939" s="44">
        <v>1437</v>
      </c>
      <c r="D939" s="45" t="s">
        <v>339</v>
      </c>
    </row>
    <row r="940" spans="2:4">
      <c r="B940" s="43" t="s">
        <v>2538</v>
      </c>
      <c r="C940" s="44">
        <v>1438</v>
      </c>
      <c r="D940" s="45" t="s">
        <v>339</v>
      </c>
    </row>
    <row r="941" spans="2:4">
      <c r="B941" s="43" t="s">
        <v>2539</v>
      </c>
      <c r="C941" s="44">
        <v>1439</v>
      </c>
      <c r="D941" s="45" t="s">
        <v>339</v>
      </c>
    </row>
    <row r="942" spans="2:4">
      <c r="B942" s="43" t="s">
        <v>2540</v>
      </c>
      <c r="C942" s="44">
        <v>1440</v>
      </c>
      <c r="D942" s="45" t="s">
        <v>339</v>
      </c>
    </row>
    <row r="943" spans="2:4">
      <c r="B943" s="43" t="s">
        <v>2541</v>
      </c>
      <c r="C943" s="44">
        <v>1441</v>
      </c>
      <c r="D943" s="45" t="s">
        <v>339</v>
      </c>
    </row>
    <row r="944" spans="2:4">
      <c r="B944" s="43" t="s">
        <v>2542</v>
      </c>
      <c r="C944" s="44">
        <v>1442</v>
      </c>
      <c r="D944" s="45" t="s">
        <v>339</v>
      </c>
    </row>
    <row r="945" spans="2:4">
      <c r="B945" s="43" t="s">
        <v>2543</v>
      </c>
      <c r="C945" s="44">
        <v>1443</v>
      </c>
      <c r="D945" s="45" t="s">
        <v>339</v>
      </c>
    </row>
    <row r="946" spans="2:4">
      <c r="B946" s="43" t="s">
        <v>2544</v>
      </c>
      <c r="C946" s="44">
        <v>1444</v>
      </c>
      <c r="D946" s="45" t="s">
        <v>339</v>
      </c>
    </row>
    <row r="947" spans="2:4">
      <c r="B947" s="43" t="s">
        <v>1742</v>
      </c>
      <c r="C947" s="44">
        <v>1445</v>
      </c>
      <c r="D947" s="45" t="s">
        <v>339</v>
      </c>
    </row>
    <row r="948" spans="2:4">
      <c r="B948" s="43" t="s">
        <v>2545</v>
      </c>
      <c r="C948" s="44">
        <v>1446</v>
      </c>
      <c r="D948" s="45" t="s">
        <v>339</v>
      </c>
    </row>
    <row r="949" spans="2:4">
      <c r="B949" s="43" t="s">
        <v>2546</v>
      </c>
      <c r="C949" s="44">
        <v>1447</v>
      </c>
      <c r="D949" s="45" t="s">
        <v>339</v>
      </c>
    </row>
    <row r="950" spans="2:4">
      <c r="B950" s="43" t="s">
        <v>2547</v>
      </c>
      <c r="C950" s="44">
        <v>1448</v>
      </c>
      <c r="D950" s="45" t="s">
        <v>339</v>
      </c>
    </row>
    <row r="951" spans="2:4">
      <c r="B951" s="43" t="s">
        <v>2548</v>
      </c>
      <c r="C951" s="44">
        <v>1449</v>
      </c>
      <c r="D951" s="45" t="s">
        <v>339</v>
      </c>
    </row>
    <row r="952" spans="2:4">
      <c r="B952" s="43" t="s">
        <v>2549</v>
      </c>
      <c r="C952" s="44">
        <v>1450</v>
      </c>
      <c r="D952" s="45" t="s">
        <v>339</v>
      </c>
    </row>
    <row r="953" spans="2:4">
      <c r="B953" s="43" t="s">
        <v>2550</v>
      </c>
      <c r="C953" s="44">
        <v>1451</v>
      </c>
      <c r="D953" s="45" t="s">
        <v>339</v>
      </c>
    </row>
    <row r="954" spans="2:4">
      <c r="B954" s="43" t="s">
        <v>2551</v>
      </c>
      <c r="C954" s="44">
        <v>1452</v>
      </c>
      <c r="D954" s="45" t="s">
        <v>339</v>
      </c>
    </row>
    <row r="955" spans="2:4">
      <c r="B955" s="43" t="s">
        <v>2552</v>
      </c>
      <c r="C955" s="44">
        <v>1453</v>
      </c>
      <c r="D955" s="45" t="s">
        <v>339</v>
      </c>
    </row>
    <row r="956" spans="2:4">
      <c r="B956" s="43" t="s">
        <v>2553</v>
      </c>
      <c r="C956" s="44">
        <v>1454</v>
      </c>
      <c r="D956" s="45" t="s">
        <v>339</v>
      </c>
    </row>
    <row r="957" spans="2:4">
      <c r="B957" s="43" t="s">
        <v>2554</v>
      </c>
      <c r="C957" s="44">
        <v>1455</v>
      </c>
      <c r="D957" s="45" t="s">
        <v>339</v>
      </c>
    </row>
    <row r="958" spans="2:4">
      <c r="B958" s="43" t="s">
        <v>2555</v>
      </c>
      <c r="C958" s="44">
        <v>1456</v>
      </c>
      <c r="D958" s="45" t="s">
        <v>339</v>
      </c>
    </row>
    <row r="959" spans="2:4">
      <c r="B959" s="43" t="s">
        <v>2556</v>
      </c>
      <c r="C959" s="44">
        <v>1457</v>
      </c>
      <c r="D959" s="45" t="s">
        <v>339</v>
      </c>
    </row>
    <row r="960" spans="2:4">
      <c r="B960" s="43" t="s">
        <v>569</v>
      </c>
      <c r="C960" s="44">
        <v>1458</v>
      </c>
      <c r="D960" s="45" t="s">
        <v>339</v>
      </c>
    </row>
    <row r="961" spans="2:4">
      <c r="B961" s="43" t="s">
        <v>2557</v>
      </c>
      <c r="C961" s="44">
        <v>1459</v>
      </c>
      <c r="D961" s="45" t="s">
        <v>339</v>
      </c>
    </row>
    <row r="962" spans="2:4">
      <c r="B962" s="43" t="s">
        <v>2558</v>
      </c>
      <c r="C962" s="44">
        <v>1460</v>
      </c>
      <c r="D962" s="45" t="s">
        <v>339</v>
      </c>
    </row>
    <row r="963" spans="2:4">
      <c r="B963" s="43" t="s">
        <v>2559</v>
      </c>
      <c r="C963" s="44">
        <v>1461</v>
      </c>
      <c r="D963" s="45" t="s">
        <v>339</v>
      </c>
    </row>
    <row r="964" spans="2:4">
      <c r="B964" s="43" t="s">
        <v>2560</v>
      </c>
      <c r="C964" s="44">
        <v>1462</v>
      </c>
      <c r="D964" s="45" t="s">
        <v>339</v>
      </c>
    </row>
    <row r="965" spans="2:4">
      <c r="B965" s="43" t="s">
        <v>1129</v>
      </c>
      <c r="C965" s="44">
        <v>1463</v>
      </c>
      <c r="D965" s="45" t="s">
        <v>339</v>
      </c>
    </row>
    <row r="966" spans="2:4">
      <c r="B966" s="43" t="s">
        <v>513</v>
      </c>
      <c r="C966" s="44">
        <v>1464</v>
      </c>
      <c r="D966" s="45" t="s">
        <v>339</v>
      </c>
    </row>
    <row r="967" spans="2:4">
      <c r="B967" s="43" t="s">
        <v>1828</v>
      </c>
      <c r="C967" s="44">
        <v>1465</v>
      </c>
      <c r="D967" s="45" t="s">
        <v>339</v>
      </c>
    </row>
    <row r="968" spans="2:4">
      <c r="B968" s="43" t="s">
        <v>2561</v>
      </c>
      <c r="C968" s="44">
        <v>1466</v>
      </c>
      <c r="D968" s="45" t="s">
        <v>339</v>
      </c>
    </row>
    <row r="969" spans="2:4">
      <c r="B969" s="43" t="s">
        <v>2562</v>
      </c>
      <c r="C969" s="44">
        <v>1467</v>
      </c>
      <c r="D969" s="45" t="s">
        <v>339</v>
      </c>
    </row>
    <row r="970" spans="2:4">
      <c r="B970" s="43" t="s">
        <v>2563</v>
      </c>
      <c r="C970" s="44">
        <v>1468</v>
      </c>
      <c r="D970" s="45" t="s">
        <v>339</v>
      </c>
    </row>
    <row r="971" spans="2:4">
      <c r="B971" s="43" t="s">
        <v>2564</v>
      </c>
      <c r="C971" s="44">
        <v>1469</v>
      </c>
      <c r="D971" s="45" t="s">
        <v>339</v>
      </c>
    </row>
    <row r="972" spans="2:4">
      <c r="B972" s="43" t="s">
        <v>2565</v>
      </c>
      <c r="C972" s="44">
        <v>1470</v>
      </c>
      <c r="D972" s="45" t="s">
        <v>339</v>
      </c>
    </row>
    <row r="973" spans="2:4">
      <c r="B973" s="43" t="s">
        <v>2566</v>
      </c>
      <c r="C973" s="44">
        <v>1471</v>
      </c>
      <c r="D973" s="45" t="s">
        <v>339</v>
      </c>
    </row>
    <row r="974" spans="2:4">
      <c r="B974" s="43" t="s">
        <v>1863</v>
      </c>
      <c r="C974" s="44">
        <v>1472</v>
      </c>
      <c r="D974" s="45" t="s">
        <v>339</v>
      </c>
    </row>
    <row r="975" spans="2:4">
      <c r="B975" s="43" t="s">
        <v>2567</v>
      </c>
      <c r="C975" s="44">
        <v>1473</v>
      </c>
      <c r="D975" s="45" t="s">
        <v>339</v>
      </c>
    </row>
    <row r="976" spans="2:4">
      <c r="B976" s="43" t="s">
        <v>2568</v>
      </c>
      <c r="C976" s="44">
        <v>1474</v>
      </c>
      <c r="D976" s="45" t="s">
        <v>339</v>
      </c>
    </row>
    <row r="977" spans="2:4">
      <c r="B977" s="43" t="s">
        <v>2569</v>
      </c>
      <c r="C977" s="44">
        <v>1475</v>
      </c>
      <c r="D977" s="45" t="s">
        <v>339</v>
      </c>
    </row>
    <row r="978" spans="2:4">
      <c r="B978" s="43" t="s">
        <v>2570</v>
      </c>
      <c r="C978" s="44">
        <v>1476</v>
      </c>
      <c r="D978" s="45" t="s">
        <v>339</v>
      </c>
    </row>
    <row r="979" spans="2:4">
      <c r="B979" s="43" t="s">
        <v>2571</v>
      </c>
      <c r="C979" s="44">
        <v>1477</v>
      </c>
      <c r="D979" s="45" t="s">
        <v>339</v>
      </c>
    </row>
    <row r="980" spans="2:4">
      <c r="B980" s="43" t="s">
        <v>2572</v>
      </c>
      <c r="C980" s="44">
        <v>1478</v>
      </c>
      <c r="D980" s="45" t="s">
        <v>339</v>
      </c>
    </row>
    <row r="981" spans="2:4">
      <c r="B981" s="43" t="s">
        <v>2573</v>
      </c>
      <c r="C981" s="44">
        <v>1479</v>
      </c>
      <c r="D981" s="45" t="s">
        <v>339</v>
      </c>
    </row>
    <row r="982" spans="2:4">
      <c r="B982" s="43" t="s">
        <v>622</v>
      </c>
      <c r="C982" s="44">
        <v>1480</v>
      </c>
      <c r="D982" s="45" t="s">
        <v>339</v>
      </c>
    </row>
    <row r="983" spans="2:4">
      <c r="B983" s="43" t="s">
        <v>2574</v>
      </c>
      <c r="C983" s="44">
        <v>1481</v>
      </c>
      <c r="D983" s="45" t="s">
        <v>339</v>
      </c>
    </row>
    <row r="984" spans="2:4">
      <c r="B984" s="43" t="s">
        <v>2575</v>
      </c>
      <c r="C984" s="44">
        <v>1482</v>
      </c>
      <c r="D984" s="45" t="s">
        <v>339</v>
      </c>
    </row>
    <row r="985" spans="2:4">
      <c r="B985" s="43" t="s">
        <v>2576</v>
      </c>
      <c r="C985" s="44">
        <v>1483</v>
      </c>
      <c r="D985" s="45" t="s">
        <v>339</v>
      </c>
    </row>
    <row r="986" spans="2:4">
      <c r="B986" s="43" t="s">
        <v>2577</v>
      </c>
      <c r="C986" s="44">
        <v>1484</v>
      </c>
      <c r="D986" s="45" t="s">
        <v>339</v>
      </c>
    </row>
    <row r="987" spans="2:4">
      <c r="B987" s="43" t="s">
        <v>2578</v>
      </c>
      <c r="C987" s="44">
        <v>1485</v>
      </c>
      <c r="D987" s="45" t="s">
        <v>339</v>
      </c>
    </row>
    <row r="988" spans="2:4">
      <c r="B988" s="43" t="s">
        <v>2579</v>
      </c>
      <c r="C988" s="44">
        <v>1486</v>
      </c>
      <c r="D988" s="45" t="s">
        <v>339</v>
      </c>
    </row>
    <row r="989" spans="2:4">
      <c r="B989" s="43" t="s">
        <v>2580</v>
      </c>
      <c r="C989" s="44">
        <v>1487</v>
      </c>
      <c r="D989" s="45" t="s">
        <v>339</v>
      </c>
    </row>
    <row r="990" spans="2:4">
      <c r="B990" s="43" t="s">
        <v>2581</v>
      </c>
      <c r="C990" s="44">
        <v>1488</v>
      </c>
      <c r="D990" s="45" t="s">
        <v>339</v>
      </c>
    </row>
    <row r="991" spans="2:4">
      <c r="B991" s="43" t="s">
        <v>2582</v>
      </c>
      <c r="C991" s="44">
        <v>1489</v>
      </c>
      <c r="D991" s="45" t="s">
        <v>339</v>
      </c>
    </row>
    <row r="992" spans="2:4">
      <c r="B992" s="43" t="s">
        <v>2583</v>
      </c>
      <c r="C992" s="44">
        <v>1490</v>
      </c>
      <c r="D992" s="45" t="s">
        <v>339</v>
      </c>
    </row>
    <row r="993" spans="2:4">
      <c r="B993" s="43" t="s">
        <v>2584</v>
      </c>
      <c r="C993" s="44">
        <v>1491</v>
      </c>
      <c r="D993" s="45" t="s">
        <v>339</v>
      </c>
    </row>
    <row r="994" spans="2:4">
      <c r="B994" s="43" t="s">
        <v>2585</v>
      </c>
      <c r="C994" s="44">
        <v>1492</v>
      </c>
      <c r="D994" s="45" t="s">
        <v>339</v>
      </c>
    </row>
    <row r="995" spans="2:4">
      <c r="B995" s="43" t="s">
        <v>2586</v>
      </c>
      <c r="C995" s="44">
        <v>1493</v>
      </c>
      <c r="D995" s="45" t="s">
        <v>339</v>
      </c>
    </row>
    <row r="996" spans="2:4">
      <c r="B996" s="43" t="s">
        <v>2587</v>
      </c>
      <c r="C996" s="44">
        <v>1494</v>
      </c>
      <c r="D996" s="45" t="s">
        <v>339</v>
      </c>
    </row>
    <row r="997" spans="2:4">
      <c r="B997" s="43" t="s">
        <v>2588</v>
      </c>
      <c r="C997" s="44">
        <v>1495</v>
      </c>
      <c r="D997" s="45" t="s">
        <v>339</v>
      </c>
    </row>
    <row r="998" spans="2:4">
      <c r="B998" s="43" t="s">
        <v>2589</v>
      </c>
      <c r="C998" s="44">
        <v>1496</v>
      </c>
      <c r="D998" s="45" t="s">
        <v>339</v>
      </c>
    </row>
    <row r="999" spans="2:4">
      <c r="B999" s="43" t="s">
        <v>2590</v>
      </c>
      <c r="C999" s="44">
        <v>1497</v>
      </c>
      <c r="D999" s="45" t="s">
        <v>339</v>
      </c>
    </row>
    <row r="1000" spans="2:4">
      <c r="B1000" s="43" t="s">
        <v>2591</v>
      </c>
      <c r="C1000" s="44">
        <v>1498</v>
      </c>
      <c r="D1000" s="45" t="s">
        <v>339</v>
      </c>
    </row>
    <row r="1001" spans="2:4">
      <c r="B1001" s="43" t="s">
        <v>2592</v>
      </c>
      <c r="C1001" s="44">
        <v>1499</v>
      </c>
      <c r="D1001" s="45" t="s">
        <v>339</v>
      </c>
    </row>
    <row r="1002" spans="2:4">
      <c r="B1002" s="43" t="s">
        <v>2593</v>
      </c>
      <c r="C1002" s="44">
        <v>1500</v>
      </c>
      <c r="D1002" s="45" t="s">
        <v>339</v>
      </c>
    </row>
    <row r="1003" spans="2:4">
      <c r="B1003" s="43" t="s">
        <v>1635</v>
      </c>
      <c r="C1003" s="44">
        <v>1501</v>
      </c>
      <c r="D1003" s="45" t="s">
        <v>339</v>
      </c>
    </row>
    <row r="1004" spans="2:4">
      <c r="B1004" s="43" t="s">
        <v>648</v>
      </c>
      <c r="C1004" s="44">
        <v>1502</v>
      </c>
      <c r="D1004" s="45" t="s">
        <v>339</v>
      </c>
    </row>
    <row r="1005" spans="2:4">
      <c r="B1005" s="43" t="s">
        <v>2594</v>
      </c>
      <c r="C1005" s="44">
        <v>1503</v>
      </c>
      <c r="D1005" s="45" t="s">
        <v>339</v>
      </c>
    </row>
    <row r="1006" spans="2:4">
      <c r="B1006" s="43" t="s">
        <v>644</v>
      </c>
      <c r="C1006" s="44">
        <v>1504</v>
      </c>
      <c r="D1006" s="45" t="s">
        <v>339</v>
      </c>
    </row>
    <row r="1007" spans="2:4">
      <c r="B1007" s="43" t="s">
        <v>2595</v>
      </c>
      <c r="C1007" s="44">
        <v>1505</v>
      </c>
      <c r="D1007" s="45" t="s">
        <v>339</v>
      </c>
    </row>
    <row r="1008" spans="2:4">
      <c r="B1008" s="43" t="s">
        <v>2596</v>
      </c>
      <c r="C1008" s="44">
        <v>1506</v>
      </c>
      <c r="D1008" s="45" t="s">
        <v>339</v>
      </c>
    </row>
    <row r="1009" spans="2:4">
      <c r="B1009" s="43" t="s">
        <v>2597</v>
      </c>
      <c r="C1009" s="44">
        <v>1507</v>
      </c>
      <c r="D1009" s="45" t="s">
        <v>339</v>
      </c>
    </row>
    <row r="1010" spans="2:4">
      <c r="B1010" s="43" t="s">
        <v>2598</v>
      </c>
      <c r="C1010" s="44">
        <v>1508</v>
      </c>
      <c r="D1010" s="45" t="s">
        <v>339</v>
      </c>
    </row>
    <row r="1011" spans="2:4">
      <c r="B1011" s="43" t="s">
        <v>2599</v>
      </c>
      <c r="C1011" s="44">
        <v>1509</v>
      </c>
      <c r="D1011" s="45" t="s">
        <v>339</v>
      </c>
    </row>
    <row r="1012" spans="2:4">
      <c r="B1012" s="43" t="s">
        <v>2600</v>
      </c>
      <c r="C1012" s="44">
        <v>1510</v>
      </c>
      <c r="D1012" s="45" t="s">
        <v>339</v>
      </c>
    </row>
    <row r="1013" spans="2:4">
      <c r="B1013" s="43" t="s">
        <v>2601</v>
      </c>
      <c r="C1013" s="44">
        <v>1511</v>
      </c>
      <c r="D1013" s="45" t="s">
        <v>339</v>
      </c>
    </row>
    <row r="1014" spans="2:4">
      <c r="B1014" s="43" t="s">
        <v>2602</v>
      </c>
      <c r="C1014" s="44">
        <v>1512</v>
      </c>
      <c r="D1014" s="45" t="s">
        <v>339</v>
      </c>
    </row>
    <row r="1015" spans="2:4">
      <c r="B1015" s="43" t="s">
        <v>2603</v>
      </c>
      <c r="C1015" s="44">
        <v>1513</v>
      </c>
      <c r="D1015" s="45" t="s">
        <v>339</v>
      </c>
    </row>
    <row r="1016" spans="2:4">
      <c r="B1016" s="43" t="s">
        <v>646</v>
      </c>
      <c r="C1016" s="44">
        <v>1514</v>
      </c>
      <c r="D1016" s="45" t="s">
        <v>339</v>
      </c>
    </row>
    <row r="1017" spans="2:4">
      <c r="B1017" s="43" t="s">
        <v>2604</v>
      </c>
      <c r="C1017" s="44">
        <v>1515</v>
      </c>
      <c r="D1017" s="45" t="s">
        <v>339</v>
      </c>
    </row>
    <row r="1018" spans="2:4">
      <c r="B1018" s="43" t="s">
        <v>642</v>
      </c>
      <c r="C1018" s="44">
        <v>1516</v>
      </c>
      <c r="D1018" s="45" t="s">
        <v>339</v>
      </c>
    </row>
    <row r="1019" spans="2:4">
      <c r="B1019" s="43" t="s">
        <v>2605</v>
      </c>
      <c r="C1019" s="44">
        <v>1517</v>
      </c>
      <c r="D1019" s="45" t="s">
        <v>339</v>
      </c>
    </row>
    <row r="1020" spans="2:4">
      <c r="B1020" s="43" t="s">
        <v>2606</v>
      </c>
      <c r="C1020" s="44">
        <v>1518</v>
      </c>
      <c r="D1020" s="45" t="s">
        <v>339</v>
      </c>
    </row>
    <row r="1021" spans="2:4">
      <c r="B1021" s="43" t="s">
        <v>2607</v>
      </c>
      <c r="C1021" s="44">
        <v>1519</v>
      </c>
      <c r="D1021" s="45" t="s">
        <v>339</v>
      </c>
    </row>
    <row r="1022" spans="2:4">
      <c r="B1022" s="43" t="s">
        <v>2608</v>
      </c>
      <c r="C1022" s="44">
        <v>1520</v>
      </c>
      <c r="D1022" s="45" t="s">
        <v>339</v>
      </c>
    </row>
    <row r="1023" spans="2:4">
      <c r="B1023" s="43" t="s">
        <v>2609</v>
      </c>
      <c r="C1023" s="44">
        <v>1521</v>
      </c>
      <c r="D1023" s="45" t="s">
        <v>339</v>
      </c>
    </row>
    <row r="1024" spans="2:4">
      <c r="B1024" s="43" t="s">
        <v>2610</v>
      </c>
      <c r="C1024" s="44">
        <v>1522</v>
      </c>
      <c r="D1024" s="45" t="s">
        <v>339</v>
      </c>
    </row>
    <row r="1025" spans="2:4">
      <c r="B1025" s="43" t="s">
        <v>2611</v>
      </c>
      <c r="C1025" s="44">
        <v>1523</v>
      </c>
      <c r="D1025" s="45" t="s">
        <v>339</v>
      </c>
    </row>
    <row r="1026" spans="2:4">
      <c r="B1026" s="43" t="s">
        <v>2612</v>
      </c>
      <c r="C1026" s="44">
        <v>1524</v>
      </c>
      <c r="D1026" s="45" t="s">
        <v>339</v>
      </c>
    </row>
    <row r="1027" spans="2:4">
      <c r="B1027" s="43" t="s">
        <v>2613</v>
      </c>
      <c r="C1027" s="44">
        <v>1525</v>
      </c>
      <c r="D1027" s="45" t="s">
        <v>339</v>
      </c>
    </row>
    <row r="1028" spans="2:4">
      <c r="B1028" s="43" t="s">
        <v>2614</v>
      </c>
      <c r="C1028" s="44">
        <v>1526</v>
      </c>
      <c r="D1028" s="45" t="s">
        <v>339</v>
      </c>
    </row>
    <row r="1029" spans="2:4">
      <c r="B1029" s="43" t="s">
        <v>2615</v>
      </c>
      <c r="C1029" s="44">
        <v>1527</v>
      </c>
      <c r="D1029" s="45" t="s">
        <v>339</v>
      </c>
    </row>
    <row r="1030" spans="2:4">
      <c r="B1030" s="43" t="s">
        <v>2616</v>
      </c>
      <c r="C1030" s="44">
        <v>1528</v>
      </c>
      <c r="D1030" s="45" t="s">
        <v>339</v>
      </c>
    </row>
    <row r="1031" spans="2:4">
      <c r="B1031" s="43" t="s">
        <v>1656</v>
      </c>
      <c r="C1031" s="44">
        <v>1529</v>
      </c>
      <c r="D1031" s="45" t="s">
        <v>339</v>
      </c>
    </row>
    <row r="1032" spans="2:4">
      <c r="B1032" s="43" t="s">
        <v>1658</v>
      </c>
      <c r="C1032" s="44">
        <v>1530</v>
      </c>
      <c r="D1032" s="45" t="s">
        <v>339</v>
      </c>
    </row>
    <row r="1033" spans="2:4">
      <c r="B1033" s="43" t="s">
        <v>1660</v>
      </c>
      <c r="C1033" s="44">
        <v>1531</v>
      </c>
      <c r="D1033" s="45" t="s">
        <v>339</v>
      </c>
    </row>
    <row r="1034" spans="2:4">
      <c r="B1034" s="43" t="s">
        <v>787</v>
      </c>
      <c r="C1034" s="44">
        <v>1532</v>
      </c>
      <c r="D1034" s="45" t="s">
        <v>339</v>
      </c>
    </row>
    <row r="1035" spans="2:4">
      <c r="B1035" s="43" t="s">
        <v>2617</v>
      </c>
      <c r="C1035" s="44">
        <v>1533</v>
      </c>
      <c r="D1035" s="45" t="s">
        <v>339</v>
      </c>
    </row>
    <row r="1036" spans="2:4">
      <c r="B1036" s="43" t="s">
        <v>2618</v>
      </c>
      <c r="C1036" s="44">
        <v>1534</v>
      </c>
      <c r="D1036" s="45" t="s">
        <v>339</v>
      </c>
    </row>
    <row r="1037" spans="2:4">
      <c r="B1037" s="43" t="s">
        <v>1662</v>
      </c>
      <c r="C1037" s="44">
        <v>1535</v>
      </c>
      <c r="D1037" s="45" t="s">
        <v>339</v>
      </c>
    </row>
    <row r="1038" spans="2:4">
      <c r="B1038" s="43" t="s">
        <v>865</v>
      </c>
      <c r="C1038" s="44">
        <v>1536</v>
      </c>
      <c r="D1038" s="45" t="s">
        <v>339</v>
      </c>
    </row>
    <row r="1039" spans="2:4">
      <c r="B1039" s="43" t="s">
        <v>880</v>
      </c>
      <c r="C1039" s="44">
        <v>1537</v>
      </c>
      <c r="D1039" s="45" t="s">
        <v>339</v>
      </c>
    </row>
    <row r="1040" spans="2:4">
      <c r="B1040" s="43" t="s">
        <v>878</v>
      </c>
      <c r="C1040" s="44">
        <v>1538</v>
      </c>
      <c r="D1040" s="45" t="s">
        <v>339</v>
      </c>
    </row>
    <row r="1041" spans="2:4">
      <c r="B1041" s="43" t="s">
        <v>2619</v>
      </c>
      <c r="C1041" s="44">
        <v>1539</v>
      </c>
      <c r="D1041" s="45" t="s">
        <v>339</v>
      </c>
    </row>
    <row r="1042" spans="2:4">
      <c r="B1042" s="43" t="s">
        <v>2620</v>
      </c>
      <c r="C1042" s="44">
        <v>1540</v>
      </c>
      <c r="D1042" s="45" t="s">
        <v>339</v>
      </c>
    </row>
    <row r="1043" spans="2:4">
      <c r="B1043" s="43" t="s">
        <v>2621</v>
      </c>
      <c r="C1043" s="44">
        <v>1541</v>
      </c>
      <c r="D1043" s="45" t="s">
        <v>339</v>
      </c>
    </row>
    <row r="1044" spans="2:4">
      <c r="B1044" s="43" t="s">
        <v>2622</v>
      </c>
      <c r="C1044" s="44">
        <v>1542</v>
      </c>
      <c r="D1044" s="45" t="s">
        <v>339</v>
      </c>
    </row>
    <row r="1045" spans="2:4">
      <c r="B1045" s="43" t="s">
        <v>2623</v>
      </c>
      <c r="C1045" s="44">
        <v>1543</v>
      </c>
      <c r="D1045" s="45" t="s">
        <v>339</v>
      </c>
    </row>
    <row r="1046" spans="2:4">
      <c r="B1046" s="43" t="s">
        <v>2624</v>
      </c>
      <c r="C1046" s="44">
        <v>1544</v>
      </c>
      <c r="D1046" s="45" t="s">
        <v>339</v>
      </c>
    </row>
    <row r="1047" spans="2:4">
      <c r="B1047" s="43" t="s">
        <v>2625</v>
      </c>
      <c r="C1047" s="44">
        <v>1545</v>
      </c>
      <c r="D1047" s="45" t="s">
        <v>339</v>
      </c>
    </row>
    <row r="1048" spans="2:4">
      <c r="B1048" s="43" t="s">
        <v>2626</v>
      </c>
      <c r="C1048" s="44">
        <v>1546</v>
      </c>
      <c r="D1048" s="45" t="s">
        <v>339</v>
      </c>
    </row>
    <row r="1049" spans="2:4">
      <c r="B1049" s="43" t="s">
        <v>2627</v>
      </c>
      <c r="C1049" s="44">
        <v>1547</v>
      </c>
      <c r="D1049" s="45" t="s">
        <v>339</v>
      </c>
    </row>
    <row r="1050" spans="2:4">
      <c r="B1050" s="43" t="s">
        <v>2628</v>
      </c>
      <c r="C1050" s="44">
        <v>1548</v>
      </c>
      <c r="D1050" s="45" t="s">
        <v>339</v>
      </c>
    </row>
    <row r="1051" spans="2:4">
      <c r="B1051" s="43" t="s">
        <v>1114</v>
      </c>
      <c r="C1051" s="44">
        <v>1549</v>
      </c>
      <c r="D1051" s="45" t="s">
        <v>339</v>
      </c>
    </row>
    <row r="1052" spans="2:4" ht="25.5">
      <c r="B1052" s="43" t="s">
        <v>2629</v>
      </c>
      <c r="C1052" s="44">
        <v>1550</v>
      </c>
      <c r="D1052" s="45" t="s">
        <v>339</v>
      </c>
    </row>
    <row r="1053" spans="2:4">
      <c r="B1053" s="43" t="s">
        <v>2630</v>
      </c>
      <c r="C1053" s="44">
        <v>1551</v>
      </c>
      <c r="D1053" s="45" t="s">
        <v>339</v>
      </c>
    </row>
    <row r="1054" spans="2:4">
      <c r="B1054" s="43" t="s">
        <v>2631</v>
      </c>
      <c r="C1054" s="44">
        <v>1552</v>
      </c>
      <c r="D1054" s="45" t="s">
        <v>339</v>
      </c>
    </row>
    <row r="1055" spans="2:4">
      <c r="B1055" s="43" t="s">
        <v>2632</v>
      </c>
      <c r="C1055" s="44">
        <v>1553</v>
      </c>
      <c r="D1055" s="45" t="s">
        <v>339</v>
      </c>
    </row>
    <row r="1056" spans="2:4">
      <c r="B1056" s="43" t="s">
        <v>2633</v>
      </c>
      <c r="C1056" s="44">
        <v>1554</v>
      </c>
      <c r="D1056" s="45" t="s">
        <v>339</v>
      </c>
    </row>
    <row r="1057" spans="2:4">
      <c r="B1057" s="43" t="s">
        <v>342</v>
      </c>
      <c r="C1057" s="44">
        <v>1555</v>
      </c>
      <c r="D1057" s="45" t="s">
        <v>339</v>
      </c>
    </row>
    <row r="1058" spans="2:4">
      <c r="B1058" s="43" t="s">
        <v>2634</v>
      </c>
      <c r="C1058" s="44">
        <v>1556</v>
      </c>
      <c r="D1058" s="45" t="s">
        <v>339</v>
      </c>
    </row>
    <row r="1059" spans="2:4">
      <c r="B1059" s="43" t="s">
        <v>2635</v>
      </c>
      <c r="C1059" s="44">
        <v>1557</v>
      </c>
      <c r="D1059" s="45" t="s">
        <v>339</v>
      </c>
    </row>
    <row r="1060" spans="2:4">
      <c r="B1060" s="43" t="s">
        <v>2636</v>
      </c>
      <c r="C1060" s="44">
        <v>1558</v>
      </c>
      <c r="D1060" s="45" t="s">
        <v>339</v>
      </c>
    </row>
    <row r="1061" spans="2:4">
      <c r="B1061" s="43" t="s">
        <v>2637</v>
      </c>
      <c r="C1061" s="44">
        <v>1559</v>
      </c>
      <c r="D1061" s="45" t="s">
        <v>339</v>
      </c>
    </row>
    <row r="1062" spans="2:4">
      <c r="B1062" s="43" t="s">
        <v>2638</v>
      </c>
      <c r="C1062" s="44">
        <v>1560</v>
      </c>
      <c r="D1062" s="45" t="s">
        <v>339</v>
      </c>
    </row>
    <row r="1063" spans="2:4">
      <c r="B1063" s="43" t="s">
        <v>2639</v>
      </c>
      <c r="C1063" s="44">
        <v>1561</v>
      </c>
      <c r="D1063" s="45" t="s">
        <v>339</v>
      </c>
    </row>
    <row r="1064" spans="2:4">
      <c r="B1064" s="43" t="s">
        <v>2640</v>
      </c>
      <c r="C1064" s="44">
        <v>1562</v>
      </c>
      <c r="D1064" s="45" t="s">
        <v>339</v>
      </c>
    </row>
    <row r="1065" spans="2:4">
      <c r="B1065" s="43" t="s">
        <v>2641</v>
      </c>
      <c r="C1065" s="44">
        <v>1563</v>
      </c>
      <c r="D1065" s="45" t="s">
        <v>339</v>
      </c>
    </row>
    <row r="1066" spans="2:4">
      <c r="B1066" s="43" t="s">
        <v>951</v>
      </c>
      <c r="C1066" s="44">
        <v>1564</v>
      </c>
      <c r="D1066" s="45" t="s">
        <v>339</v>
      </c>
    </row>
    <row r="1067" spans="2:4">
      <c r="B1067" s="43" t="s">
        <v>2642</v>
      </c>
      <c r="C1067" s="44">
        <v>1565</v>
      </c>
      <c r="D1067" s="45" t="s">
        <v>339</v>
      </c>
    </row>
    <row r="1068" spans="2:4">
      <c r="B1068" s="43" t="s">
        <v>2643</v>
      </c>
      <c r="C1068" s="44">
        <v>1566</v>
      </c>
      <c r="D1068" s="45" t="s">
        <v>339</v>
      </c>
    </row>
    <row r="1069" spans="2:4">
      <c r="B1069" s="43" t="s">
        <v>2644</v>
      </c>
      <c r="C1069" s="44">
        <v>1567</v>
      </c>
      <c r="D1069" s="45" t="s">
        <v>339</v>
      </c>
    </row>
    <row r="1070" spans="2:4">
      <c r="B1070" s="43" t="s">
        <v>2645</v>
      </c>
      <c r="C1070" s="44">
        <v>1568</v>
      </c>
      <c r="D1070" s="45" t="s">
        <v>339</v>
      </c>
    </row>
    <row r="1071" spans="2:4">
      <c r="B1071" s="43" t="s">
        <v>2646</v>
      </c>
      <c r="C1071" s="44">
        <v>1569</v>
      </c>
      <c r="D1071" s="45" t="s">
        <v>339</v>
      </c>
    </row>
    <row r="1072" spans="2:4">
      <c r="B1072" s="43" t="s">
        <v>2647</v>
      </c>
      <c r="C1072" s="44">
        <v>1570</v>
      </c>
      <c r="D1072" s="45" t="s">
        <v>339</v>
      </c>
    </row>
    <row r="1073" spans="2:4">
      <c r="B1073" s="43" t="s">
        <v>2648</v>
      </c>
      <c r="C1073" s="44">
        <v>1571</v>
      </c>
      <c r="D1073" s="45" t="s">
        <v>339</v>
      </c>
    </row>
    <row r="1074" spans="2:4">
      <c r="B1074" s="43" t="s">
        <v>2649</v>
      </c>
      <c r="C1074" s="44">
        <v>1572</v>
      </c>
      <c r="D1074" s="45" t="s">
        <v>339</v>
      </c>
    </row>
    <row r="1075" spans="2:4">
      <c r="B1075" s="43" t="s">
        <v>2650</v>
      </c>
      <c r="C1075" s="44">
        <v>1573</v>
      </c>
      <c r="D1075" s="45" t="s">
        <v>339</v>
      </c>
    </row>
    <row r="1076" spans="2:4">
      <c r="B1076" s="43" t="s">
        <v>2651</v>
      </c>
      <c r="C1076" s="44">
        <v>1574</v>
      </c>
      <c r="D1076" s="45" t="s">
        <v>339</v>
      </c>
    </row>
    <row r="1077" spans="2:4">
      <c r="B1077" s="43" t="s">
        <v>2652</v>
      </c>
      <c r="C1077" s="44">
        <v>1575</v>
      </c>
      <c r="D1077" s="45" t="s">
        <v>339</v>
      </c>
    </row>
    <row r="1078" spans="2:4">
      <c r="B1078" s="43" t="s">
        <v>2653</v>
      </c>
      <c r="C1078" s="44">
        <v>1576</v>
      </c>
      <c r="D1078" s="45" t="s">
        <v>339</v>
      </c>
    </row>
    <row r="1079" spans="2:4">
      <c r="B1079" s="43" t="s">
        <v>2654</v>
      </c>
      <c r="C1079" s="44">
        <v>1577</v>
      </c>
      <c r="D1079" s="45" t="s">
        <v>339</v>
      </c>
    </row>
    <row r="1080" spans="2:4">
      <c r="B1080" s="43" t="s">
        <v>2655</v>
      </c>
      <c r="C1080" s="44">
        <v>1578</v>
      </c>
      <c r="D1080" s="45" t="s">
        <v>339</v>
      </c>
    </row>
    <row r="1081" spans="2:4">
      <c r="B1081" s="43" t="s">
        <v>2656</v>
      </c>
      <c r="C1081" s="44">
        <v>1579</v>
      </c>
      <c r="D1081" s="45" t="s">
        <v>339</v>
      </c>
    </row>
    <row r="1082" spans="2:4">
      <c r="B1082" s="43" t="s">
        <v>2657</v>
      </c>
      <c r="C1082" s="44">
        <v>1580</v>
      </c>
      <c r="D1082" s="45" t="s">
        <v>339</v>
      </c>
    </row>
    <row r="1083" spans="2:4">
      <c r="B1083" s="43" t="s">
        <v>2658</v>
      </c>
      <c r="C1083" s="44">
        <v>1581</v>
      </c>
      <c r="D1083" s="45" t="s">
        <v>339</v>
      </c>
    </row>
    <row r="1084" spans="2:4">
      <c r="B1084" s="43" t="s">
        <v>2659</v>
      </c>
      <c r="C1084" s="44">
        <v>1582</v>
      </c>
      <c r="D1084" s="45" t="s">
        <v>339</v>
      </c>
    </row>
    <row r="1085" spans="2:4">
      <c r="B1085" s="43" t="s">
        <v>2660</v>
      </c>
      <c r="C1085" s="44">
        <v>1583</v>
      </c>
      <c r="D1085" s="45" t="s">
        <v>339</v>
      </c>
    </row>
    <row r="1086" spans="2:4">
      <c r="B1086" s="43" t="s">
        <v>2661</v>
      </c>
      <c r="C1086" s="44">
        <v>1584</v>
      </c>
      <c r="D1086" s="45" t="s">
        <v>339</v>
      </c>
    </row>
    <row r="1087" spans="2:4">
      <c r="B1087" s="43" t="s">
        <v>2662</v>
      </c>
      <c r="C1087" s="44">
        <v>1585</v>
      </c>
      <c r="D1087" s="45" t="s">
        <v>339</v>
      </c>
    </row>
    <row r="1088" spans="2:4">
      <c r="B1088" s="43" t="s">
        <v>2663</v>
      </c>
      <c r="C1088" s="44">
        <v>1586</v>
      </c>
      <c r="D1088" s="45" t="s">
        <v>339</v>
      </c>
    </row>
    <row r="1089" spans="2:4">
      <c r="B1089" s="43" t="s">
        <v>2664</v>
      </c>
      <c r="C1089" s="44">
        <v>1587</v>
      </c>
      <c r="D1089" s="45" t="s">
        <v>339</v>
      </c>
    </row>
    <row r="1090" spans="2:4">
      <c r="B1090" s="43" t="s">
        <v>2665</v>
      </c>
      <c r="C1090" s="44">
        <v>1588</v>
      </c>
      <c r="D1090" s="45" t="s">
        <v>339</v>
      </c>
    </row>
    <row r="1091" spans="2:4">
      <c r="B1091" s="43" t="s">
        <v>2666</v>
      </c>
      <c r="C1091" s="44">
        <v>1589</v>
      </c>
      <c r="D1091" s="45" t="s">
        <v>339</v>
      </c>
    </row>
    <row r="1092" spans="2:4">
      <c r="B1092" s="43" t="s">
        <v>2667</v>
      </c>
      <c r="C1092" s="44">
        <v>1590</v>
      </c>
      <c r="D1092" s="45" t="s">
        <v>339</v>
      </c>
    </row>
    <row r="1093" spans="2:4">
      <c r="B1093" s="43" t="s">
        <v>2668</v>
      </c>
      <c r="C1093" s="44">
        <v>1591</v>
      </c>
      <c r="D1093" s="45" t="s">
        <v>339</v>
      </c>
    </row>
    <row r="1094" spans="2:4">
      <c r="B1094" s="43" t="s">
        <v>2669</v>
      </c>
      <c r="C1094" s="44">
        <v>1592</v>
      </c>
      <c r="D1094" s="45" t="s">
        <v>339</v>
      </c>
    </row>
    <row r="1095" spans="2:4">
      <c r="B1095" s="43" t="s">
        <v>2670</v>
      </c>
      <c r="C1095" s="44">
        <v>1593</v>
      </c>
      <c r="D1095" s="45" t="s">
        <v>339</v>
      </c>
    </row>
    <row r="1096" spans="2:4">
      <c r="B1096" s="43" t="s">
        <v>2671</v>
      </c>
      <c r="C1096" s="44">
        <v>1594</v>
      </c>
      <c r="D1096" s="45" t="s">
        <v>339</v>
      </c>
    </row>
    <row r="1097" spans="2:4">
      <c r="B1097" s="43" t="s">
        <v>2672</v>
      </c>
      <c r="C1097" s="44">
        <v>1595</v>
      </c>
      <c r="D1097" s="45" t="s">
        <v>339</v>
      </c>
    </row>
    <row r="1098" spans="2:4">
      <c r="B1098" s="43" t="s">
        <v>2673</v>
      </c>
      <c r="C1098" s="44">
        <v>1596</v>
      </c>
      <c r="D1098" s="45" t="s">
        <v>339</v>
      </c>
    </row>
    <row r="1099" spans="2:4">
      <c r="B1099" s="43" t="s">
        <v>2674</v>
      </c>
      <c r="C1099" s="44">
        <v>1597</v>
      </c>
      <c r="D1099" s="45" t="s">
        <v>339</v>
      </c>
    </row>
    <row r="1100" spans="2:4">
      <c r="B1100" s="43" t="s">
        <v>2675</v>
      </c>
      <c r="C1100" s="44">
        <v>1598</v>
      </c>
      <c r="D1100" s="45" t="s">
        <v>339</v>
      </c>
    </row>
    <row r="1101" spans="2:4">
      <c r="B1101" s="43" t="s">
        <v>2676</v>
      </c>
      <c r="C1101" s="44">
        <v>1599</v>
      </c>
      <c r="D1101" s="45" t="s">
        <v>339</v>
      </c>
    </row>
    <row r="1102" spans="2:4">
      <c r="B1102" s="43" t="s">
        <v>2677</v>
      </c>
      <c r="C1102" s="44">
        <v>1600</v>
      </c>
      <c r="D1102" s="45" t="s">
        <v>339</v>
      </c>
    </row>
    <row r="1103" spans="2:4">
      <c r="B1103" s="43" t="s">
        <v>1134</v>
      </c>
      <c r="C1103" s="44">
        <v>1601</v>
      </c>
      <c r="D1103" s="45" t="s">
        <v>339</v>
      </c>
    </row>
    <row r="1104" spans="2:4">
      <c r="B1104" s="43" t="s">
        <v>2678</v>
      </c>
      <c r="C1104" s="44">
        <v>1602</v>
      </c>
      <c r="D1104" s="45" t="s">
        <v>339</v>
      </c>
    </row>
    <row r="1105" spans="2:4">
      <c r="B1105" s="43" t="s">
        <v>768</v>
      </c>
      <c r="C1105" s="44">
        <v>1603</v>
      </c>
      <c r="D1105" s="45" t="s">
        <v>339</v>
      </c>
    </row>
    <row r="1106" spans="2:4">
      <c r="B1106" s="43" t="s">
        <v>2679</v>
      </c>
      <c r="C1106" s="44">
        <v>1604</v>
      </c>
      <c r="D1106" s="45" t="s">
        <v>339</v>
      </c>
    </row>
    <row r="1107" spans="2:4">
      <c r="B1107" s="43" t="s">
        <v>2680</v>
      </c>
      <c r="C1107" s="44">
        <v>1605</v>
      </c>
      <c r="D1107" s="45" t="s">
        <v>339</v>
      </c>
    </row>
    <row r="1108" spans="2:4">
      <c r="B1108" s="43" t="s">
        <v>2681</v>
      </c>
      <c r="C1108" s="44">
        <v>1606</v>
      </c>
      <c r="D1108" s="45" t="s">
        <v>339</v>
      </c>
    </row>
    <row r="1109" spans="2:4">
      <c r="B1109" s="43" t="s">
        <v>2682</v>
      </c>
      <c r="C1109" s="44">
        <v>1607</v>
      </c>
      <c r="D1109" s="45" t="s">
        <v>339</v>
      </c>
    </row>
    <row r="1110" spans="2:4">
      <c r="B1110" s="43" t="s">
        <v>2683</v>
      </c>
      <c r="C1110" s="44">
        <v>1608</v>
      </c>
      <c r="D1110" s="45" t="s">
        <v>339</v>
      </c>
    </row>
    <row r="1111" spans="2:4">
      <c r="B1111" s="43" t="s">
        <v>1112</v>
      </c>
      <c r="C1111" s="44">
        <v>1609</v>
      </c>
      <c r="D1111" s="45" t="s">
        <v>339</v>
      </c>
    </row>
    <row r="1112" spans="2:4">
      <c r="B1112" s="43" t="s">
        <v>2684</v>
      </c>
      <c r="C1112" s="44">
        <v>1610</v>
      </c>
      <c r="D1112" s="45" t="s">
        <v>339</v>
      </c>
    </row>
    <row r="1113" spans="2:4">
      <c r="B1113" s="43" t="s">
        <v>2685</v>
      </c>
      <c r="C1113" s="44">
        <v>1611</v>
      </c>
      <c r="D1113" s="45" t="s">
        <v>339</v>
      </c>
    </row>
    <row r="1114" spans="2:4">
      <c r="B1114" s="43" t="s">
        <v>2686</v>
      </c>
      <c r="C1114" s="44">
        <v>1612</v>
      </c>
      <c r="D1114" s="45" t="s">
        <v>339</v>
      </c>
    </row>
    <row r="1115" spans="2:4">
      <c r="B1115" s="43" t="s">
        <v>2687</v>
      </c>
      <c r="C1115" s="44">
        <v>1613</v>
      </c>
      <c r="D1115" s="45" t="s">
        <v>339</v>
      </c>
    </row>
    <row r="1116" spans="2:4">
      <c r="B1116" s="43" t="s">
        <v>2688</v>
      </c>
      <c r="C1116" s="44">
        <v>1614</v>
      </c>
      <c r="D1116" s="45" t="s">
        <v>339</v>
      </c>
    </row>
    <row r="1117" spans="2:4">
      <c r="B1117" s="43" t="s">
        <v>2689</v>
      </c>
      <c r="C1117" s="44">
        <v>1615</v>
      </c>
      <c r="D1117" s="45" t="s">
        <v>339</v>
      </c>
    </row>
    <row r="1118" spans="2:4">
      <c r="B1118" s="43" t="s">
        <v>770</v>
      </c>
      <c r="C1118" s="44">
        <v>1616</v>
      </c>
      <c r="D1118" s="45" t="s">
        <v>339</v>
      </c>
    </row>
    <row r="1119" spans="2:4">
      <c r="B1119" s="43" t="s">
        <v>2690</v>
      </c>
      <c r="C1119" s="44">
        <v>1617</v>
      </c>
      <c r="D1119" s="45" t="s">
        <v>339</v>
      </c>
    </row>
    <row r="1120" spans="2:4">
      <c r="B1120" s="43" t="s">
        <v>2691</v>
      </c>
      <c r="C1120" s="44">
        <v>1618</v>
      </c>
      <c r="D1120" s="45" t="s">
        <v>339</v>
      </c>
    </row>
    <row r="1121" spans="2:4">
      <c r="B1121" s="43" t="s">
        <v>1197</v>
      </c>
      <c r="C1121" s="44">
        <v>1619</v>
      </c>
      <c r="D1121" s="45" t="s">
        <v>339</v>
      </c>
    </row>
    <row r="1122" spans="2:4">
      <c r="B1122" s="43" t="s">
        <v>2692</v>
      </c>
      <c r="C1122" s="44">
        <v>1620</v>
      </c>
      <c r="D1122" s="45" t="s">
        <v>339</v>
      </c>
    </row>
    <row r="1123" spans="2:4">
      <c r="B1123" s="43" t="s">
        <v>2693</v>
      </c>
      <c r="C1123" s="44">
        <v>1621</v>
      </c>
      <c r="D1123" s="45" t="s">
        <v>339</v>
      </c>
    </row>
    <row r="1124" spans="2:4">
      <c r="B1124" s="43" t="s">
        <v>2694</v>
      </c>
      <c r="C1124" s="44">
        <v>1622</v>
      </c>
      <c r="D1124" s="45" t="s">
        <v>339</v>
      </c>
    </row>
    <row r="1125" spans="2:4">
      <c r="B1125" s="43" t="s">
        <v>2695</v>
      </c>
      <c r="C1125" s="44">
        <v>1623</v>
      </c>
      <c r="D1125" s="45" t="s">
        <v>339</v>
      </c>
    </row>
    <row r="1126" spans="2:4">
      <c r="B1126" s="43" t="s">
        <v>2696</v>
      </c>
      <c r="C1126" s="44">
        <v>1624</v>
      </c>
      <c r="D1126" s="45" t="s">
        <v>339</v>
      </c>
    </row>
    <row r="1127" spans="2:4">
      <c r="B1127" s="43" t="s">
        <v>2697</v>
      </c>
      <c r="C1127" s="44">
        <v>1625</v>
      </c>
      <c r="D1127" s="45" t="s">
        <v>339</v>
      </c>
    </row>
    <row r="1128" spans="2:4">
      <c r="B1128" s="43" t="s">
        <v>2698</v>
      </c>
      <c r="C1128" s="44">
        <v>1626</v>
      </c>
      <c r="D1128" s="45" t="s">
        <v>339</v>
      </c>
    </row>
    <row r="1129" spans="2:4">
      <c r="B1129" s="43" t="s">
        <v>2699</v>
      </c>
      <c r="C1129" s="44">
        <v>1627</v>
      </c>
      <c r="D1129" s="45" t="s">
        <v>339</v>
      </c>
    </row>
    <row r="1130" spans="2:4">
      <c r="B1130" s="43" t="s">
        <v>2700</v>
      </c>
      <c r="C1130" s="44">
        <v>1628</v>
      </c>
      <c r="D1130" s="45" t="s">
        <v>339</v>
      </c>
    </row>
    <row r="1131" spans="2:4">
      <c r="B1131" s="43" t="s">
        <v>2701</v>
      </c>
      <c r="C1131" s="44">
        <v>1629</v>
      </c>
      <c r="D1131" s="45" t="s">
        <v>339</v>
      </c>
    </row>
    <row r="1132" spans="2:4">
      <c r="B1132" s="43" t="s">
        <v>2702</v>
      </c>
      <c r="C1132" s="44">
        <v>1630</v>
      </c>
      <c r="D1132" s="45" t="s">
        <v>339</v>
      </c>
    </row>
    <row r="1133" spans="2:4">
      <c r="B1133" s="43" t="s">
        <v>2703</v>
      </c>
      <c r="C1133" s="44">
        <v>1631</v>
      </c>
      <c r="D1133" s="45" t="s">
        <v>339</v>
      </c>
    </row>
    <row r="1134" spans="2:4">
      <c r="B1134" s="43" t="s">
        <v>2704</v>
      </c>
      <c r="C1134" s="44">
        <v>1632</v>
      </c>
      <c r="D1134" s="45" t="s">
        <v>339</v>
      </c>
    </row>
    <row r="1135" spans="2:4">
      <c r="B1135" s="43" t="s">
        <v>2705</v>
      </c>
      <c r="C1135" s="44">
        <v>1633</v>
      </c>
      <c r="D1135" s="45" t="s">
        <v>339</v>
      </c>
    </row>
    <row r="1136" spans="2:4">
      <c r="B1136" s="43" t="s">
        <v>2706</v>
      </c>
      <c r="C1136" s="44">
        <v>1634</v>
      </c>
      <c r="D1136" s="45" t="s">
        <v>339</v>
      </c>
    </row>
    <row r="1137" spans="2:4">
      <c r="B1137" s="43" t="s">
        <v>2707</v>
      </c>
      <c r="C1137" s="44">
        <v>1635</v>
      </c>
      <c r="D1137" s="45" t="s">
        <v>339</v>
      </c>
    </row>
    <row r="1138" spans="2:4">
      <c r="B1138" s="43" t="s">
        <v>2708</v>
      </c>
      <c r="C1138" s="44">
        <v>1636</v>
      </c>
      <c r="D1138" s="45" t="s">
        <v>339</v>
      </c>
    </row>
    <row r="1139" spans="2:4">
      <c r="B1139" s="43" t="s">
        <v>2709</v>
      </c>
      <c r="C1139" s="44">
        <v>1637</v>
      </c>
      <c r="D1139" s="45" t="s">
        <v>339</v>
      </c>
    </row>
    <row r="1140" spans="2:4">
      <c r="B1140" s="43" t="s">
        <v>2710</v>
      </c>
      <c r="C1140" s="44">
        <v>1638</v>
      </c>
      <c r="D1140" s="45" t="s">
        <v>339</v>
      </c>
    </row>
    <row r="1141" spans="2:4">
      <c r="B1141" s="43" t="s">
        <v>2711</v>
      </c>
      <c r="C1141" s="44">
        <v>1639</v>
      </c>
      <c r="D1141" s="45" t="s">
        <v>339</v>
      </c>
    </row>
    <row r="1142" spans="2:4">
      <c r="B1142" s="43" t="s">
        <v>2712</v>
      </c>
      <c r="C1142" s="44">
        <v>1640</v>
      </c>
      <c r="D1142" s="45" t="s">
        <v>339</v>
      </c>
    </row>
    <row r="1143" spans="2:4">
      <c r="B1143" s="43" t="s">
        <v>1387</v>
      </c>
      <c r="C1143" s="44">
        <v>1641</v>
      </c>
      <c r="D1143" s="45" t="s">
        <v>339</v>
      </c>
    </row>
    <row r="1144" spans="2:4">
      <c r="B1144" s="43" t="s">
        <v>1389</v>
      </c>
      <c r="C1144" s="44">
        <v>1642</v>
      </c>
      <c r="D1144" s="45" t="s">
        <v>339</v>
      </c>
    </row>
    <row r="1145" spans="2:4">
      <c r="B1145" s="43" t="s">
        <v>2713</v>
      </c>
      <c r="C1145" s="44">
        <v>1643</v>
      </c>
      <c r="D1145" s="45" t="s">
        <v>339</v>
      </c>
    </row>
    <row r="1146" spans="2:4">
      <c r="B1146" s="43" t="s">
        <v>2714</v>
      </c>
      <c r="C1146" s="44">
        <v>1644</v>
      </c>
      <c r="D1146" s="45" t="s">
        <v>339</v>
      </c>
    </row>
    <row r="1147" spans="2:4">
      <c r="B1147" s="43" t="s">
        <v>2715</v>
      </c>
      <c r="C1147" s="44">
        <v>1645</v>
      </c>
      <c r="D1147" s="45" t="s">
        <v>339</v>
      </c>
    </row>
    <row r="1148" spans="2:4">
      <c r="B1148" s="43" t="s">
        <v>2716</v>
      </c>
      <c r="C1148" s="44">
        <v>1646</v>
      </c>
      <c r="D1148" s="45" t="s">
        <v>339</v>
      </c>
    </row>
    <row r="1149" spans="2:4">
      <c r="B1149" s="43" t="s">
        <v>2717</v>
      </c>
      <c r="C1149" s="44">
        <v>1647</v>
      </c>
      <c r="D1149" s="45" t="s">
        <v>339</v>
      </c>
    </row>
    <row r="1150" spans="2:4">
      <c r="B1150" s="43" t="s">
        <v>2718</v>
      </c>
      <c r="C1150" s="44">
        <v>1648</v>
      </c>
      <c r="D1150" s="45" t="s">
        <v>339</v>
      </c>
    </row>
    <row r="1151" spans="2:4">
      <c r="B1151" s="43" t="s">
        <v>2719</v>
      </c>
      <c r="C1151" s="44">
        <v>1649</v>
      </c>
      <c r="D1151" s="45" t="s">
        <v>339</v>
      </c>
    </row>
    <row r="1152" spans="2:4">
      <c r="B1152" s="43" t="s">
        <v>2720</v>
      </c>
      <c r="C1152" s="44">
        <v>1650</v>
      </c>
      <c r="D1152" s="45" t="s">
        <v>339</v>
      </c>
    </row>
    <row r="1153" spans="2:4">
      <c r="B1153" s="43" t="s">
        <v>2721</v>
      </c>
      <c r="C1153" s="44">
        <v>1651</v>
      </c>
      <c r="D1153" s="45" t="s">
        <v>339</v>
      </c>
    </row>
    <row r="1154" spans="2:4">
      <c r="B1154" s="43" t="s">
        <v>2722</v>
      </c>
      <c r="C1154" s="44">
        <v>1652</v>
      </c>
      <c r="D1154" s="45" t="s">
        <v>339</v>
      </c>
    </row>
    <row r="1155" spans="2:4">
      <c r="B1155" s="43" t="s">
        <v>2723</v>
      </c>
      <c r="C1155" s="44">
        <v>1653</v>
      </c>
      <c r="D1155" s="45" t="s">
        <v>339</v>
      </c>
    </row>
    <row r="1156" spans="2:4">
      <c r="B1156" s="43" t="s">
        <v>2724</v>
      </c>
      <c r="C1156" s="44">
        <v>1654</v>
      </c>
      <c r="D1156" s="45" t="s">
        <v>339</v>
      </c>
    </row>
    <row r="1157" spans="2:4">
      <c r="B1157" s="43" t="s">
        <v>2725</v>
      </c>
      <c r="C1157" s="44">
        <v>1655</v>
      </c>
      <c r="D1157" s="45" t="s">
        <v>339</v>
      </c>
    </row>
    <row r="1158" spans="2:4">
      <c r="B1158" s="43" t="s">
        <v>2726</v>
      </c>
      <c r="C1158" s="44">
        <v>1656</v>
      </c>
      <c r="D1158" s="45" t="s">
        <v>339</v>
      </c>
    </row>
    <row r="1159" spans="2:4">
      <c r="B1159" s="43" t="s">
        <v>2727</v>
      </c>
      <c r="C1159" s="44">
        <v>1657</v>
      </c>
      <c r="D1159" s="45" t="s">
        <v>339</v>
      </c>
    </row>
    <row r="1160" spans="2:4">
      <c r="B1160" s="43" t="s">
        <v>2728</v>
      </c>
      <c r="C1160" s="44">
        <v>1658</v>
      </c>
      <c r="D1160" s="45" t="s">
        <v>339</v>
      </c>
    </row>
    <row r="1161" spans="2:4">
      <c r="B1161" s="43" t="s">
        <v>2729</v>
      </c>
      <c r="C1161" s="44">
        <v>1659</v>
      </c>
      <c r="D1161" s="45" t="s">
        <v>339</v>
      </c>
    </row>
    <row r="1162" spans="2:4">
      <c r="B1162" s="43" t="s">
        <v>2730</v>
      </c>
      <c r="C1162" s="44">
        <v>1660</v>
      </c>
      <c r="D1162" s="45" t="s">
        <v>339</v>
      </c>
    </row>
    <row r="1163" spans="2:4">
      <c r="B1163" s="43" t="s">
        <v>2731</v>
      </c>
      <c r="C1163" s="44">
        <v>1661</v>
      </c>
      <c r="D1163" s="45" t="s">
        <v>339</v>
      </c>
    </row>
    <row r="1164" spans="2:4">
      <c r="B1164" s="43" t="s">
        <v>2732</v>
      </c>
      <c r="C1164" s="44">
        <v>1662</v>
      </c>
      <c r="D1164" s="45" t="s">
        <v>339</v>
      </c>
    </row>
    <row r="1165" spans="2:4">
      <c r="B1165" s="43" t="s">
        <v>2733</v>
      </c>
      <c r="C1165" s="44">
        <v>1663</v>
      </c>
      <c r="D1165" s="45" t="s">
        <v>339</v>
      </c>
    </row>
    <row r="1166" spans="2:4">
      <c r="B1166" s="43" t="s">
        <v>2734</v>
      </c>
      <c r="C1166" s="44">
        <v>1664</v>
      </c>
      <c r="D1166" s="45" t="s">
        <v>339</v>
      </c>
    </row>
    <row r="1167" spans="2:4">
      <c r="B1167" s="43" t="s">
        <v>2735</v>
      </c>
      <c r="C1167" s="44">
        <v>1665</v>
      </c>
      <c r="D1167" s="45" t="s">
        <v>339</v>
      </c>
    </row>
    <row r="1168" spans="2:4">
      <c r="B1168" s="43" t="s">
        <v>2736</v>
      </c>
      <c r="C1168" s="44">
        <v>1666</v>
      </c>
      <c r="D1168" s="45" t="s">
        <v>339</v>
      </c>
    </row>
    <row r="1169" spans="2:4">
      <c r="B1169" s="43" t="s">
        <v>2737</v>
      </c>
      <c r="C1169" s="44">
        <v>1667</v>
      </c>
      <c r="D1169" s="45" t="s">
        <v>339</v>
      </c>
    </row>
    <row r="1170" spans="2:4">
      <c r="B1170" s="43" t="s">
        <v>2738</v>
      </c>
      <c r="C1170" s="44">
        <v>1668</v>
      </c>
      <c r="D1170" s="45" t="s">
        <v>339</v>
      </c>
    </row>
    <row r="1171" spans="2:4">
      <c r="B1171" s="43" t="s">
        <v>2739</v>
      </c>
      <c r="C1171" s="44">
        <v>1669</v>
      </c>
      <c r="D1171" s="45" t="s">
        <v>339</v>
      </c>
    </row>
    <row r="1172" spans="2:4">
      <c r="B1172" s="43" t="s">
        <v>2740</v>
      </c>
      <c r="C1172" s="44">
        <v>1670</v>
      </c>
      <c r="D1172" s="45" t="s">
        <v>339</v>
      </c>
    </row>
    <row r="1173" spans="2:4">
      <c r="B1173" s="43" t="s">
        <v>2741</v>
      </c>
      <c r="C1173" s="44">
        <v>1671</v>
      </c>
      <c r="D1173" s="45" t="s">
        <v>339</v>
      </c>
    </row>
    <row r="1174" spans="2:4">
      <c r="B1174" s="43" t="s">
        <v>2742</v>
      </c>
      <c r="C1174" s="44">
        <v>1672</v>
      </c>
      <c r="D1174" s="45" t="s">
        <v>339</v>
      </c>
    </row>
    <row r="1175" spans="2:4">
      <c r="B1175" s="43" t="s">
        <v>1160</v>
      </c>
      <c r="C1175" s="44">
        <v>1673</v>
      </c>
      <c r="D1175" s="45" t="s">
        <v>339</v>
      </c>
    </row>
    <row r="1176" spans="2:4">
      <c r="B1176" s="43" t="s">
        <v>2743</v>
      </c>
      <c r="C1176" s="44">
        <v>1674</v>
      </c>
      <c r="D1176" s="45" t="s">
        <v>339</v>
      </c>
    </row>
    <row r="1177" spans="2:4">
      <c r="B1177" s="43" t="s">
        <v>2744</v>
      </c>
      <c r="C1177" s="44">
        <v>1675</v>
      </c>
      <c r="D1177" s="45" t="s">
        <v>339</v>
      </c>
    </row>
    <row r="1178" spans="2:4">
      <c r="B1178" s="43" t="s">
        <v>1063</v>
      </c>
      <c r="C1178" s="44">
        <v>1676</v>
      </c>
      <c r="D1178" s="45" t="s">
        <v>339</v>
      </c>
    </row>
    <row r="1179" spans="2:4">
      <c r="B1179" s="43" t="s">
        <v>2745</v>
      </c>
      <c r="C1179" s="44">
        <v>1677</v>
      </c>
      <c r="D1179" s="45" t="s">
        <v>339</v>
      </c>
    </row>
    <row r="1180" spans="2:4">
      <c r="B1180" s="43" t="s">
        <v>2746</v>
      </c>
      <c r="C1180" s="44">
        <v>1678</v>
      </c>
      <c r="D1180" s="45" t="s">
        <v>339</v>
      </c>
    </row>
    <row r="1181" spans="2:4">
      <c r="B1181" s="43" t="s">
        <v>2747</v>
      </c>
      <c r="C1181" s="44">
        <v>1679</v>
      </c>
      <c r="D1181" s="45" t="s">
        <v>339</v>
      </c>
    </row>
    <row r="1182" spans="2:4">
      <c r="B1182" s="43" t="s">
        <v>2748</v>
      </c>
      <c r="C1182" s="44">
        <v>1680</v>
      </c>
      <c r="D1182" s="45" t="s">
        <v>339</v>
      </c>
    </row>
    <row r="1183" spans="2:4">
      <c r="B1183" s="43" t="s">
        <v>2749</v>
      </c>
      <c r="C1183" s="44">
        <v>1681</v>
      </c>
      <c r="D1183" s="45" t="s">
        <v>339</v>
      </c>
    </row>
    <row r="1184" spans="2:4">
      <c r="B1184" s="43" t="s">
        <v>573</v>
      </c>
      <c r="C1184" s="44">
        <v>1682</v>
      </c>
      <c r="D1184" s="45" t="s">
        <v>339</v>
      </c>
    </row>
    <row r="1185" spans="2:4">
      <c r="B1185" s="43" t="s">
        <v>2750</v>
      </c>
      <c r="C1185" s="44">
        <v>1683</v>
      </c>
      <c r="D1185" s="45" t="s">
        <v>339</v>
      </c>
    </row>
    <row r="1186" spans="2:4">
      <c r="B1186" s="43" t="s">
        <v>2751</v>
      </c>
      <c r="C1186" s="44">
        <v>1684</v>
      </c>
      <c r="D1186" s="45" t="s">
        <v>339</v>
      </c>
    </row>
    <row r="1187" spans="2:4">
      <c r="B1187" s="43" t="s">
        <v>2752</v>
      </c>
      <c r="C1187" s="44">
        <v>1685</v>
      </c>
      <c r="D1187" s="45" t="s">
        <v>339</v>
      </c>
    </row>
    <row r="1188" spans="2:4">
      <c r="B1188" s="43" t="s">
        <v>2753</v>
      </c>
      <c r="C1188" s="44">
        <v>1686</v>
      </c>
      <c r="D1188" s="45" t="s">
        <v>339</v>
      </c>
    </row>
    <row r="1189" spans="2:4">
      <c r="B1189" s="43" t="s">
        <v>2754</v>
      </c>
      <c r="C1189" s="44">
        <v>1687</v>
      </c>
      <c r="D1189" s="45" t="s">
        <v>339</v>
      </c>
    </row>
    <row r="1190" spans="2:4">
      <c r="B1190" s="43" t="s">
        <v>2755</v>
      </c>
      <c r="C1190" s="44">
        <v>1688</v>
      </c>
      <c r="D1190" s="45" t="s">
        <v>339</v>
      </c>
    </row>
    <row r="1191" spans="2:4">
      <c r="B1191" s="43" t="s">
        <v>2756</v>
      </c>
      <c r="C1191" s="44">
        <v>1689</v>
      </c>
      <c r="D1191" s="45" t="s">
        <v>339</v>
      </c>
    </row>
    <row r="1192" spans="2:4">
      <c r="B1192" s="43" t="s">
        <v>2757</v>
      </c>
      <c r="C1192" s="44">
        <v>1690</v>
      </c>
      <c r="D1192" s="45" t="s">
        <v>339</v>
      </c>
    </row>
    <row r="1193" spans="2:4">
      <c r="B1193" s="43" t="s">
        <v>2758</v>
      </c>
      <c r="C1193" s="44">
        <v>1691</v>
      </c>
      <c r="D1193" s="45" t="s">
        <v>339</v>
      </c>
    </row>
    <row r="1194" spans="2:4">
      <c r="B1194" s="43" t="s">
        <v>2759</v>
      </c>
      <c r="C1194" s="44">
        <v>1692</v>
      </c>
      <c r="D1194" s="45" t="s">
        <v>339</v>
      </c>
    </row>
    <row r="1195" spans="2:4">
      <c r="B1195" s="43" t="s">
        <v>673</v>
      </c>
      <c r="C1195" s="44">
        <v>1693</v>
      </c>
      <c r="D1195" s="45" t="s">
        <v>339</v>
      </c>
    </row>
    <row r="1196" spans="2:4">
      <c r="B1196" s="43" t="s">
        <v>2760</v>
      </c>
      <c r="C1196" s="44">
        <v>1694</v>
      </c>
      <c r="D1196" s="45" t="s">
        <v>339</v>
      </c>
    </row>
    <row r="1197" spans="2:4">
      <c r="B1197" s="43" t="s">
        <v>1175</v>
      </c>
      <c r="C1197" s="44">
        <v>1695</v>
      </c>
      <c r="D1197" s="45" t="s">
        <v>339</v>
      </c>
    </row>
    <row r="1198" spans="2:4">
      <c r="B1198" s="43" t="s">
        <v>2761</v>
      </c>
      <c r="C1198" s="44">
        <v>1696</v>
      </c>
      <c r="D1198" s="45" t="s">
        <v>339</v>
      </c>
    </row>
    <row r="1199" spans="2:4">
      <c r="B1199" s="43" t="s">
        <v>2762</v>
      </c>
      <c r="C1199" s="44">
        <v>1697</v>
      </c>
      <c r="D1199" s="45" t="s">
        <v>339</v>
      </c>
    </row>
    <row r="1200" spans="2:4">
      <c r="B1200" s="43" t="s">
        <v>2763</v>
      </c>
      <c r="C1200" s="44">
        <v>1698</v>
      </c>
      <c r="D1200" s="45" t="s">
        <v>339</v>
      </c>
    </row>
    <row r="1201" spans="2:4">
      <c r="B1201" s="43" t="s">
        <v>2764</v>
      </c>
      <c r="C1201" s="44">
        <v>1699</v>
      </c>
      <c r="D1201" s="45" t="s">
        <v>339</v>
      </c>
    </row>
    <row r="1202" spans="2:4">
      <c r="B1202" s="43" t="s">
        <v>2765</v>
      </c>
      <c r="C1202" s="44">
        <v>1700</v>
      </c>
      <c r="D1202" s="45" t="s">
        <v>339</v>
      </c>
    </row>
    <row r="1203" spans="2:4">
      <c r="B1203" s="43" t="s">
        <v>2766</v>
      </c>
      <c r="C1203" s="44">
        <v>1701</v>
      </c>
      <c r="D1203" s="45" t="s">
        <v>339</v>
      </c>
    </row>
    <row r="1204" spans="2:4">
      <c r="B1204" s="43" t="s">
        <v>2767</v>
      </c>
      <c r="C1204" s="44">
        <v>1702</v>
      </c>
      <c r="D1204" s="45" t="s">
        <v>339</v>
      </c>
    </row>
    <row r="1205" spans="2:4">
      <c r="B1205" s="43" t="s">
        <v>2768</v>
      </c>
      <c r="C1205" s="44">
        <v>1703</v>
      </c>
      <c r="D1205" s="45" t="s">
        <v>339</v>
      </c>
    </row>
    <row r="1206" spans="2:4">
      <c r="B1206" s="43" t="s">
        <v>2769</v>
      </c>
      <c r="C1206" s="44">
        <v>1704</v>
      </c>
      <c r="D1206" s="45" t="s">
        <v>339</v>
      </c>
    </row>
    <row r="1207" spans="2:4">
      <c r="B1207" s="43" t="s">
        <v>2770</v>
      </c>
      <c r="C1207" s="44">
        <v>1705</v>
      </c>
      <c r="D1207" s="45" t="s">
        <v>339</v>
      </c>
    </row>
    <row r="1208" spans="2:4">
      <c r="B1208" s="43" t="s">
        <v>2771</v>
      </c>
      <c r="C1208" s="44">
        <v>1706</v>
      </c>
      <c r="D1208" s="45" t="s">
        <v>339</v>
      </c>
    </row>
    <row r="1209" spans="2:4">
      <c r="B1209" s="43" t="s">
        <v>2772</v>
      </c>
      <c r="C1209" s="44">
        <v>1707</v>
      </c>
      <c r="D1209" s="45" t="s">
        <v>339</v>
      </c>
    </row>
    <row r="1210" spans="2:4">
      <c r="B1210" s="43" t="s">
        <v>2773</v>
      </c>
      <c r="C1210" s="44">
        <v>1708</v>
      </c>
      <c r="D1210" s="45" t="s">
        <v>339</v>
      </c>
    </row>
    <row r="1211" spans="2:4">
      <c r="B1211" s="43" t="s">
        <v>2774</v>
      </c>
      <c r="C1211" s="44">
        <v>1709</v>
      </c>
      <c r="D1211" s="45" t="s">
        <v>339</v>
      </c>
    </row>
    <row r="1212" spans="2:4">
      <c r="B1212" s="43" t="s">
        <v>1232</v>
      </c>
      <c r="C1212" s="44">
        <v>1710</v>
      </c>
      <c r="D1212" s="45" t="s">
        <v>339</v>
      </c>
    </row>
    <row r="1213" spans="2:4">
      <c r="B1213" s="43" t="s">
        <v>2775</v>
      </c>
      <c r="C1213" s="44">
        <v>1711</v>
      </c>
      <c r="D1213" s="45" t="s">
        <v>339</v>
      </c>
    </row>
    <row r="1214" spans="2:4">
      <c r="B1214" s="43" t="s">
        <v>2776</v>
      </c>
      <c r="C1214" s="44">
        <v>1712</v>
      </c>
      <c r="D1214" s="45" t="s">
        <v>339</v>
      </c>
    </row>
    <row r="1215" spans="2:4">
      <c r="B1215" s="43" t="s">
        <v>2777</v>
      </c>
      <c r="C1215" s="44">
        <v>1713</v>
      </c>
      <c r="D1215" s="45" t="s">
        <v>339</v>
      </c>
    </row>
    <row r="1216" spans="2:4">
      <c r="B1216" s="43" t="s">
        <v>2778</v>
      </c>
      <c r="C1216" s="44">
        <v>1714</v>
      </c>
      <c r="D1216" s="45" t="s">
        <v>339</v>
      </c>
    </row>
    <row r="1217" spans="2:4">
      <c r="B1217" s="43" t="s">
        <v>2779</v>
      </c>
      <c r="C1217" s="44">
        <v>1715</v>
      </c>
      <c r="D1217" s="45" t="s">
        <v>339</v>
      </c>
    </row>
    <row r="1218" spans="2:4">
      <c r="B1218" s="43" t="s">
        <v>2780</v>
      </c>
      <c r="C1218" s="44">
        <v>1716</v>
      </c>
      <c r="D1218" s="45" t="s">
        <v>339</v>
      </c>
    </row>
    <row r="1219" spans="2:4">
      <c r="B1219" s="43" t="s">
        <v>2781</v>
      </c>
      <c r="C1219" s="44">
        <v>1717</v>
      </c>
      <c r="D1219" s="45" t="s">
        <v>339</v>
      </c>
    </row>
    <row r="1220" spans="2:4">
      <c r="B1220" s="43" t="s">
        <v>2782</v>
      </c>
      <c r="C1220" s="44">
        <v>1718</v>
      </c>
      <c r="D1220" s="45" t="s">
        <v>339</v>
      </c>
    </row>
    <row r="1221" spans="2:4">
      <c r="B1221" s="43" t="s">
        <v>1162</v>
      </c>
      <c r="C1221" s="44">
        <v>1719</v>
      </c>
      <c r="D1221" s="45" t="s">
        <v>339</v>
      </c>
    </row>
    <row r="1222" spans="2:4">
      <c r="B1222" s="43" t="s">
        <v>1211</v>
      </c>
      <c r="C1222" s="44">
        <v>1720</v>
      </c>
      <c r="D1222" s="45" t="s">
        <v>339</v>
      </c>
    </row>
    <row r="1223" spans="2:4">
      <c r="B1223" s="43" t="s">
        <v>2783</v>
      </c>
      <c r="C1223" s="44">
        <v>1721</v>
      </c>
      <c r="D1223" s="45" t="s">
        <v>339</v>
      </c>
    </row>
    <row r="1224" spans="2:4">
      <c r="B1224" s="43" t="s">
        <v>2784</v>
      </c>
      <c r="C1224" s="44">
        <v>1722</v>
      </c>
      <c r="D1224" s="45" t="s">
        <v>339</v>
      </c>
    </row>
    <row r="1225" spans="2:4">
      <c r="B1225" s="43" t="s">
        <v>2785</v>
      </c>
      <c r="C1225" s="44">
        <v>1723</v>
      </c>
      <c r="D1225" s="45" t="s">
        <v>339</v>
      </c>
    </row>
    <row r="1226" spans="2:4">
      <c r="B1226" s="43" t="s">
        <v>2786</v>
      </c>
      <c r="C1226" s="44">
        <v>1724</v>
      </c>
      <c r="D1226" s="45" t="s">
        <v>339</v>
      </c>
    </row>
    <row r="1227" spans="2:4">
      <c r="B1227" s="43" t="s">
        <v>2787</v>
      </c>
      <c r="C1227" s="44">
        <v>1725</v>
      </c>
      <c r="D1227" s="45" t="s">
        <v>339</v>
      </c>
    </row>
    <row r="1228" spans="2:4">
      <c r="B1228" s="43" t="s">
        <v>2788</v>
      </c>
      <c r="C1228" s="44">
        <v>1726</v>
      </c>
      <c r="D1228" s="45" t="s">
        <v>339</v>
      </c>
    </row>
    <row r="1229" spans="2:4">
      <c r="B1229" s="43" t="s">
        <v>2789</v>
      </c>
      <c r="C1229" s="44">
        <v>1727</v>
      </c>
      <c r="D1229" s="45" t="s">
        <v>339</v>
      </c>
    </row>
    <row r="1230" spans="2:4">
      <c r="B1230" s="43" t="s">
        <v>2790</v>
      </c>
      <c r="C1230" s="44">
        <v>1728</v>
      </c>
      <c r="D1230" s="45" t="s">
        <v>339</v>
      </c>
    </row>
    <row r="1231" spans="2:4">
      <c r="B1231" s="43" t="s">
        <v>2791</v>
      </c>
      <c r="C1231" s="44">
        <v>1729</v>
      </c>
      <c r="D1231" s="45" t="s">
        <v>339</v>
      </c>
    </row>
    <row r="1232" spans="2:4">
      <c r="B1232" s="43" t="s">
        <v>2792</v>
      </c>
      <c r="C1232" s="44">
        <v>1730</v>
      </c>
      <c r="D1232" s="45" t="s">
        <v>339</v>
      </c>
    </row>
    <row r="1233" spans="2:4">
      <c r="B1233" s="43" t="s">
        <v>2793</v>
      </c>
      <c r="C1233" s="44">
        <v>1731</v>
      </c>
      <c r="D1233" s="45" t="s">
        <v>339</v>
      </c>
    </row>
    <row r="1234" spans="2:4">
      <c r="B1234" s="43" t="s">
        <v>2794</v>
      </c>
      <c r="C1234" s="44">
        <v>1732</v>
      </c>
      <c r="D1234" s="45" t="s">
        <v>339</v>
      </c>
    </row>
    <row r="1235" spans="2:4">
      <c r="B1235" s="43" t="s">
        <v>1353</v>
      </c>
      <c r="C1235" s="44">
        <v>1733</v>
      </c>
      <c r="D1235" s="45" t="s">
        <v>339</v>
      </c>
    </row>
    <row r="1236" spans="2:4">
      <c r="B1236" s="43" t="s">
        <v>2795</v>
      </c>
      <c r="C1236" s="44">
        <v>1734</v>
      </c>
      <c r="D1236" s="45" t="s">
        <v>339</v>
      </c>
    </row>
    <row r="1237" spans="2:4">
      <c r="B1237" s="43" t="s">
        <v>2796</v>
      </c>
      <c r="C1237" s="44">
        <v>1735</v>
      </c>
      <c r="D1237" s="45" t="s">
        <v>339</v>
      </c>
    </row>
    <row r="1238" spans="2:4">
      <c r="B1238" s="43" t="s">
        <v>2797</v>
      </c>
      <c r="C1238" s="44">
        <v>1736</v>
      </c>
      <c r="D1238" s="45" t="s">
        <v>339</v>
      </c>
    </row>
    <row r="1239" spans="2:4">
      <c r="B1239" s="43" t="s">
        <v>2798</v>
      </c>
      <c r="C1239" s="44">
        <v>1737</v>
      </c>
      <c r="D1239" s="45" t="s">
        <v>339</v>
      </c>
    </row>
    <row r="1240" spans="2:4">
      <c r="B1240" s="43" t="s">
        <v>2799</v>
      </c>
      <c r="C1240" s="44">
        <v>1738</v>
      </c>
      <c r="D1240" s="45" t="s">
        <v>339</v>
      </c>
    </row>
    <row r="1241" spans="2:4">
      <c r="B1241" s="43" t="s">
        <v>2800</v>
      </c>
      <c r="C1241" s="44">
        <v>1739</v>
      </c>
      <c r="D1241" s="45" t="s">
        <v>339</v>
      </c>
    </row>
    <row r="1242" spans="2:4">
      <c r="B1242" s="43" t="s">
        <v>2801</v>
      </c>
      <c r="C1242" s="44">
        <v>1740</v>
      </c>
      <c r="D1242" s="45" t="s">
        <v>339</v>
      </c>
    </row>
    <row r="1243" spans="2:4">
      <c r="B1243" s="43" t="s">
        <v>1213</v>
      </c>
      <c r="C1243" s="44">
        <v>1741</v>
      </c>
      <c r="D1243" s="45" t="s">
        <v>339</v>
      </c>
    </row>
    <row r="1244" spans="2:4">
      <c r="B1244" s="43" t="s">
        <v>2802</v>
      </c>
      <c r="C1244" s="44">
        <v>1742</v>
      </c>
      <c r="D1244" s="45" t="s">
        <v>339</v>
      </c>
    </row>
    <row r="1245" spans="2:4">
      <c r="B1245" s="43" t="s">
        <v>2803</v>
      </c>
      <c r="C1245" s="44">
        <v>1743</v>
      </c>
      <c r="D1245" s="45" t="s">
        <v>339</v>
      </c>
    </row>
    <row r="1246" spans="2:4">
      <c r="B1246" s="43" t="s">
        <v>2804</v>
      </c>
      <c r="C1246" s="44">
        <v>1744</v>
      </c>
      <c r="D1246" s="45" t="s">
        <v>339</v>
      </c>
    </row>
    <row r="1247" spans="2:4">
      <c r="B1247" s="43" t="s">
        <v>2805</v>
      </c>
      <c r="C1247" s="44">
        <v>1745</v>
      </c>
      <c r="D1247" s="45" t="s">
        <v>339</v>
      </c>
    </row>
    <row r="1248" spans="2:4">
      <c r="B1248" s="43" t="s">
        <v>2806</v>
      </c>
      <c r="C1248" s="44">
        <v>1746</v>
      </c>
      <c r="D1248" s="45" t="s">
        <v>339</v>
      </c>
    </row>
    <row r="1249" spans="2:4">
      <c r="B1249" s="43" t="s">
        <v>2807</v>
      </c>
      <c r="C1249" s="44">
        <v>1747</v>
      </c>
      <c r="D1249" s="45" t="s">
        <v>339</v>
      </c>
    </row>
    <row r="1250" spans="2:4">
      <c r="B1250" s="43" t="s">
        <v>2808</v>
      </c>
      <c r="C1250" s="44">
        <v>1748</v>
      </c>
      <c r="D1250" s="45" t="s">
        <v>339</v>
      </c>
    </row>
    <row r="1251" spans="2:4">
      <c r="B1251" s="43" t="s">
        <v>2809</v>
      </c>
      <c r="C1251" s="44">
        <v>1749</v>
      </c>
      <c r="D1251" s="45" t="s">
        <v>339</v>
      </c>
    </row>
    <row r="1252" spans="2:4">
      <c r="B1252" s="43" t="s">
        <v>2810</v>
      </c>
      <c r="C1252" s="44">
        <v>1750</v>
      </c>
      <c r="D1252" s="45" t="s">
        <v>339</v>
      </c>
    </row>
    <row r="1253" spans="2:4">
      <c r="B1253" s="43" t="s">
        <v>2811</v>
      </c>
      <c r="C1253" s="44">
        <v>1751</v>
      </c>
      <c r="D1253" s="45" t="s">
        <v>339</v>
      </c>
    </row>
    <row r="1254" spans="2:4">
      <c r="B1254" s="43" t="s">
        <v>2812</v>
      </c>
      <c r="C1254" s="44">
        <v>1752</v>
      </c>
      <c r="D1254" s="45" t="s">
        <v>339</v>
      </c>
    </row>
    <row r="1255" spans="2:4">
      <c r="B1255" s="43" t="s">
        <v>2813</v>
      </c>
      <c r="C1255" s="44">
        <v>1753</v>
      </c>
      <c r="D1255" s="45" t="s">
        <v>339</v>
      </c>
    </row>
    <row r="1256" spans="2:4">
      <c r="B1256" s="43" t="s">
        <v>2814</v>
      </c>
      <c r="C1256" s="44">
        <v>1754</v>
      </c>
      <c r="D1256" s="45" t="s">
        <v>339</v>
      </c>
    </row>
    <row r="1257" spans="2:4">
      <c r="B1257" s="43" t="s">
        <v>2815</v>
      </c>
      <c r="C1257" s="44">
        <v>1755</v>
      </c>
      <c r="D1257" s="45" t="s">
        <v>339</v>
      </c>
    </row>
    <row r="1258" spans="2:4">
      <c r="B1258" s="43" t="s">
        <v>1553</v>
      </c>
      <c r="C1258" s="44">
        <v>1756</v>
      </c>
      <c r="D1258" s="45" t="s">
        <v>339</v>
      </c>
    </row>
    <row r="1259" spans="2:4">
      <c r="B1259" s="43" t="s">
        <v>1555</v>
      </c>
      <c r="C1259" s="44">
        <v>1757</v>
      </c>
      <c r="D1259" s="45" t="s">
        <v>339</v>
      </c>
    </row>
    <row r="1260" spans="2:4">
      <c r="B1260" s="43" t="s">
        <v>2816</v>
      </c>
      <c r="C1260" s="44">
        <v>1758</v>
      </c>
      <c r="D1260" s="45" t="s">
        <v>339</v>
      </c>
    </row>
    <row r="1261" spans="2:4">
      <c r="B1261" s="43" t="s">
        <v>2817</v>
      </c>
      <c r="C1261" s="44">
        <v>1759</v>
      </c>
      <c r="D1261" s="45" t="s">
        <v>339</v>
      </c>
    </row>
    <row r="1262" spans="2:4">
      <c r="B1262" s="43" t="s">
        <v>2818</v>
      </c>
      <c r="C1262" s="44">
        <v>1760</v>
      </c>
      <c r="D1262" s="45" t="s">
        <v>339</v>
      </c>
    </row>
    <row r="1263" spans="2:4">
      <c r="B1263" s="43" t="s">
        <v>2819</v>
      </c>
      <c r="C1263" s="44">
        <v>1761</v>
      </c>
      <c r="D1263" s="45" t="s">
        <v>339</v>
      </c>
    </row>
    <row r="1264" spans="2:4">
      <c r="B1264" s="43" t="s">
        <v>2820</v>
      </c>
      <c r="C1264" s="44">
        <v>1762</v>
      </c>
      <c r="D1264" s="45" t="s">
        <v>339</v>
      </c>
    </row>
    <row r="1265" spans="2:4">
      <c r="B1265" s="43" t="s">
        <v>2821</v>
      </c>
      <c r="C1265" s="44">
        <v>1763</v>
      </c>
      <c r="D1265" s="45" t="s">
        <v>339</v>
      </c>
    </row>
    <row r="1266" spans="2:4">
      <c r="B1266" s="43" t="s">
        <v>2822</v>
      </c>
      <c r="C1266" s="44">
        <v>1764</v>
      </c>
      <c r="D1266" s="45" t="s">
        <v>339</v>
      </c>
    </row>
    <row r="1267" spans="2:4">
      <c r="B1267" s="43" t="s">
        <v>2823</v>
      </c>
      <c r="C1267" s="44">
        <v>1765</v>
      </c>
      <c r="D1267" s="45" t="s">
        <v>339</v>
      </c>
    </row>
    <row r="1268" spans="2:4">
      <c r="B1268" s="43" t="s">
        <v>2824</v>
      </c>
      <c r="C1268" s="44">
        <v>1766</v>
      </c>
      <c r="D1268" s="45" t="s">
        <v>339</v>
      </c>
    </row>
    <row r="1269" spans="2:4">
      <c r="B1269" s="43" t="s">
        <v>2825</v>
      </c>
      <c r="C1269" s="44">
        <v>1767</v>
      </c>
      <c r="D1269" s="45" t="s">
        <v>339</v>
      </c>
    </row>
    <row r="1270" spans="2:4">
      <c r="B1270" s="43" t="s">
        <v>2826</v>
      </c>
      <c r="C1270" s="44">
        <v>1768</v>
      </c>
      <c r="D1270" s="45" t="s">
        <v>339</v>
      </c>
    </row>
    <row r="1271" spans="2:4">
      <c r="B1271" s="43" t="s">
        <v>2827</v>
      </c>
      <c r="C1271" s="44">
        <v>1769</v>
      </c>
      <c r="D1271" s="45" t="s">
        <v>339</v>
      </c>
    </row>
    <row r="1272" spans="2:4">
      <c r="B1272" s="43" t="s">
        <v>1637</v>
      </c>
      <c r="C1272" s="44">
        <v>1770</v>
      </c>
      <c r="D1272" s="45" t="s">
        <v>339</v>
      </c>
    </row>
    <row r="1273" spans="2:4">
      <c r="B1273" s="43" t="s">
        <v>2828</v>
      </c>
      <c r="C1273" s="44">
        <v>1771</v>
      </c>
      <c r="D1273" s="45" t="s">
        <v>339</v>
      </c>
    </row>
    <row r="1274" spans="2:4">
      <c r="B1274" s="43" t="s">
        <v>2829</v>
      </c>
      <c r="C1274" s="44">
        <v>1772</v>
      </c>
      <c r="D1274" s="45" t="s">
        <v>339</v>
      </c>
    </row>
    <row r="1275" spans="2:4">
      <c r="B1275" s="43" t="s">
        <v>2830</v>
      </c>
      <c r="C1275" s="44">
        <v>1773</v>
      </c>
      <c r="D1275" s="45" t="s">
        <v>339</v>
      </c>
    </row>
    <row r="1276" spans="2:4">
      <c r="B1276" s="43" t="s">
        <v>2831</v>
      </c>
      <c r="C1276" s="44">
        <v>1774</v>
      </c>
      <c r="D1276" s="45" t="s">
        <v>339</v>
      </c>
    </row>
    <row r="1277" spans="2:4">
      <c r="B1277" s="43" t="s">
        <v>2832</v>
      </c>
      <c r="C1277" s="44">
        <v>1775</v>
      </c>
      <c r="D1277" s="45" t="s">
        <v>339</v>
      </c>
    </row>
    <row r="1278" spans="2:4">
      <c r="B1278" s="43" t="s">
        <v>2833</v>
      </c>
      <c r="C1278" s="44">
        <v>1776</v>
      </c>
      <c r="D1278" s="45" t="s">
        <v>339</v>
      </c>
    </row>
    <row r="1279" spans="2:4">
      <c r="B1279" s="43" t="s">
        <v>444</v>
      </c>
      <c r="C1279" s="44">
        <v>1777</v>
      </c>
      <c r="D1279" s="45" t="s">
        <v>339</v>
      </c>
    </row>
    <row r="1280" spans="2:4">
      <c r="B1280" s="43" t="s">
        <v>408</v>
      </c>
      <c r="C1280" s="44">
        <v>1778</v>
      </c>
      <c r="D1280" s="45" t="s">
        <v>339</v>
      </c>
    </row>
    <row r="1281" spans="2:4">
      <c r="B1281" s="43" t="s">
        <v>454</v>
      </c>
      <c r="C1281" s="44">
        <v>1779</v>
      </c>
      <c r="D1281" s="45" t="s">
        <v>339</v>
      </c>
    </row>
    <row r="1282" spans="2:4">
      <c r="B1282" s="43" t="s">
        <v>424</v>
      </c>
      <c r="C1282" s="44">
        <v>1780</v>
      </c>
      <c r="D1282" s="45" t="s">
        <v>339</v>
      </c>
    </row>
    <row r="1283" spans="2:4">
      <c r="B1283" s="43" t="s">
        <v>2834</v>
      </c>
      <c r="C1283" s="44">
        <v>1781</v>
      </c>
      <c r="D1283" s="45" t="s">
        <v>339</v>
      </c>
    </row>
    <row r="1284" spans="2:4">
      <c r="B1284" s="43" t="s">
        <v>477</v>
      </c>
      <c r="C1284" s="44">
        <v>1782</v>
      </c>
      <c r="D1284" s="45" t="s">
        <v>339</v>
      </c>
    </row>
    <row r="1285" spans="2:4">
      <c r="B1285" s="43" t="s">
        <v>482</v>
      </c>
      <c r="C1285" s="44">
        <v>1783</v>
      </c>
      <c r="D1285" s="45" t="s">
        <v>339</v>
      </c>
    </row>
    <row r="1286" spans="2:4">
      <c r="B1286" s="43" t="s">
        <v>2835</v>
      </c>
      <c r="C1286" s="44">
        <v>1784</v>
      </c>
      <c r="D1286" s="45" t="s">
        <v>339</v>
      </c>
    </row>
    <row r="1287" spans="2:4">
      <c r="B1287" s="43" t="s">
        <v>350</v>
      </c>
      <c r="C1287" s="44">
        <v>1785</v>
      </c>
      <c r="D1287" s="45" t="s">
        <v>339</v>
      </c>
    </row>
    <row r="1288" spans="2:4">
      <c r="B1288" s="43" t="s">
        <v>2836</v>
      </c>
      <c r="C1288" s="44">
        <v>1786</v>
      </c>
      <c r="D1288" s="45" t="s">
        <v>339</v>
      </c>
    </row>
    <row r="1289" spans="2:4">
      <c r="B1289" s="43" t="s">
        <v>2837</v>
      </c>
      <c r="C1289" s="44">
        <v>1787</v>
      </c>
      <c r="D1289" s="45" t="s">
        <v>339</v>
      </c>
    </row>
    <row r="1290" spans="2:4">
      <c r="B1290" s="43" t="s">
        <v>2838</v>
      </c>
      <c r="C1290" s="44">
        <v>1788</v>
      </c>
      <c r="D1290" s="45" t="s">
        <v>339</v>
      </c>
    </row>
    <row r="1291" spans="2:4">
      <c r="B1291" s="43" t="s">
        <v>2839</v>
      </c>
      <c r="C1291" s="44">
        <v>1789</v>
      </c>
      <c r="D1291" s="45" t="s">
        <v>339</v>
      </c>
    </row>
    <row r="1292" spans="2:4">
      <c r="B1292" s="43" t="s">
        <v>2840</v>
      </c>
      <c r="C1292" s="44">
        <v>1790</v>
      </c>
      <c r="D1292" s="45" t="s">
        <v>339</v>
      </c>
    </row>
    <row r="1293" spans="2:4">
      <c r="B1293" s="43" t="s">
        <v>2841</v>
      </c>
      <c r="C1293" s="44">
        <v>1791</v>
      </c>
      <c r="D1293" s="45" t="s">
        <v>339</v>
      </c>
    </row>
    <row r="1294" spans="2:4">
      <c r="B1294" s="43" t="s">
        <v>382</v>
      </c>
      <c r="C1294" s="44">
        <v>1792</v>
      </c>
      <c r="D1294" s="45" t="s">
        <v>339</v>
      </c>
    </row>
    <row r="1295" spans="2:4">
      <c r="B1295" s="43" t="s">
        <v>384</v>
      </c>
      <c r="C1295" s="44">
        <v>1793</v>
      </c>
      <c r="D1295" s="45" t="s">
        <v>339</v>
      </c>
    </row>
    <row r="1296" spans="2:4">
      <c r="B1296" s="43" t="s">
        <v>2842</v>
      </c>
      <c r="C1296" s="44">
        <v>1794</v>
      </c>
      <c r="D1296" s="45" t="s">
        <v>339</v>
      </c>
    </row>
    <row r="1297" spans="2:4">
      <c r="B1297" s="43" t="s">
        <v>2843</v>
      </c>
      <c r="C1297" s="44">
        <v>1795</v>
      </c>
      <c r="D1297" s="45" t="s">
        <v>339</v>
      </c>
    </row>
    <row r="1298" spans="2:4">
      <c r="B1298" s="43" t="s">
        <v>2844</v>
      </c>
      <c r="C1298" s="44">
        <v>1796</v>
      </c>
      <c r="D1298" s="45" t="s">
        <v>339</v>
      </c>
    </row>
    <row r="1299" spans="2:4">
      <c r="B1299" s="43" t="s">
        <v>2845</v>
      </c>
      <c r="C1299" s="44">
        <v>1797</v>
      </c>
      <c r="D1299" s="45" t="s">
        <v>339</v>
      </c>
    </row>
    <row r="1300" spans="2:4">
      <c r="B1300" s="43" t="s">
        <v>2846</v>
      </c>
      <c r="C1300" s="44">
        <v>1798</v>
      </c>
      <c r="D1300" s="45" t="s">
        <v>339</v>
      </c>
    </row>
    <row r="1301" spans="2:4">
      <c r="B1301" s="43" t="s">
        <v>2847</v>
      </c>
      <c r="C1301" s="44">
        <v>1799</v>
      </c>
      <c r="D1301" s="45" t="s">
        <v>339</v>
      </c>
    </row>
    <row r="1302" spans="2:4">
      <c r="B1302" s="43" t="s">
        <v>1164</v>
      </c>
      <c r="C1302" s="44">
        <v>1800</v>
      </c>
      <c r="D1302" s="45" t="s">
        <v>339</v>
      </c>
    </row>
    <row r="1303" spans="2:4">
      <c r="B1303" s="43" t="s">
        <v>1544</v>
      </c>
      <c r="C1303" s="44">
        <v>1801</v>
      </c>
      <c r="D1303" s="45" t="s">
        <v>339</v>
      </c>
    </row>
    <row r="1304" spans="2:4">
      <c r="B1304" s="43" t="s">
        <v>1814</v>
      </c>
      <c r="C1304" s="44">
        <v>1802</v>
      </c>
      <c r="D1304" s="45" t="s">
        <v>339</v>
      </c>
    </row>
    <row r="1305" spans="2:4">
      <c r="B1305" s="43" t="s">
        <v>1143</v>
      </c>
      <c r="C1305" s="44">
        <v>1803</v>
      </c>
      <c r="D1305" s="45" t="s">
        <v>339</v>
      </c>
    </row>
    <row r="1306" spans="2:4">
      <c r="B1306" s="43" t="s">
        <v>1145</v>
      </c>
      <c r="C1306" s="44">
        <v>1804</v>
      </c>
      <c r="D1306" s="45" t="s">
        <v>339</v>
      </c>
    </row>
    <row r="1307" spans="2:4">
      <c r="B1307" s="43" t="s">
        <v>1537</v>
      </c>
      <c r="C1307" s="44">
        <v>1805</v>
      </c>
      <c r="D1307" s="45" t="s">
        <v>339</v>
      </c>
    </row>
    <row r="1308" spans="2:4">
      <c r="B1308" s="43" t="s">
        <v>2848</v>
      </c>
      <c r="C1308" s="44">
        <v>1806</v>
      </c>
      <c r="D1308" s="45" t="s">
        <v>339</v>
      </c>
    </row>
    <row r="1309" spans="2:4">
      <c r="B1309" s="43" t="s">
        <v>2849</v>
      </c>
      <c r="C1309" s="44">
        <v>1807</v>
      </c>
      <c r="D1309" s="45" t="s">
        <v>339</v>
      </c>
    </row>
    <row r="1310" spans="2:4">
      <c r="B1310" s="43" t="s">
        <v>2850</v>
      </c>
      <c r="C1310" s="44">
        <v>1808</v>
      </c>
      <c r="D1310" s="45" t="s">
        <v>339</v>
      </c>
    </row>
    <row r="1311" spans="2:4">
      <c r="B1311" s="43" t="s">
        <v>1281</v>
      </c>
      <c r="C1311" s="44">
        <v>1809</v>
      </c>
      <c r="D1311" s="45" t="s">
        <v>339</v>
      </c>
    </row>
    <row r="1312" spans="2:4">
      <c r="B1312" s="43" t="s">
        <v>2851</v>
      </c>
      <c r="C1312" s="44">
        <v>1810</v>
      </c>
      <c r="D1312" s="45" t="s">
        <v>339</v>
      </c>
    </row>
    <row r="1313" spans="2:4">
      <c r="B1313" s="43" t="s">
        <v>2852</v>
      </c>
      <c r="C1313" s="44">
        <v>1811</v>
      </c>
      <c r="D1313" s="45" t="s">
        <v>339</v>
      </c>
    </row>
    <row r="1314" spans="2:4">
      <c r="B1314" s="43" t="s">
        <v>2853</v>
      </c>
      <c r="C1314" s="44">
        <v>1812</v>
      </c>
      <c r="D1314" s="45" t="s">
        <v>339</v>
      </c>
    </row>
    <row r="1315" spans="2:4">
      <c r="B1315" s="43" t="s">
        <v>2854</v>
      </c>
      <c r="C1315" s="44">
        <v>1813</v>
      </c>
      <c r="D1315" s="45" t="s">
        <v>339</v>
      </c>
    </row>
    <row r="1316" spans="2:4">
      <c r="B1316" s="43" t="s">
        <v>2855</v>
      </c>
      <c r="C1316" s="44">
        <v>1814</v>
      </c>
      <c r="D1316" s="45" t="s">
        <v>339</v>
      </c>
    </row>
    <row r="1317" spans="2:4">
      <c r="B1317" s="43" t="s">
        <v>2856</v>
      </c>
      <c r="C1317" s="44">
        <v>1815</v>
      </c>
      <c r="D1317" s="45" t="s">
        <v>339</v>
      </c>
    </row>
    <row r="1318" spans="2:4">
      <c r="B1318" s="43" t="s">
        <v>2857</v>
      </c>
      <c r="C1318" s="44">
        <v>1816</v>
      </c>
      <c r="D1318" s="45" t="s">
        <v>339</v>
      </c>
    </row>
    <row r="1319" spans="2:4">
      <c r="B1319" s="43" t="s">
        <v>2858</v>
      </c>
      <c r="C1319" s="44">
        <v>1817</v>
      </c>
      <c r="D1319" s="45" t="s">
        <v>339</v>
      </c>
    </row>
    <row r="1320" spans="2:4">
      <c r="B1320" s="43" t="s">
        <v>2859</v>
      </c>
      <c r="C1320" s="44">
        <v>1818</v>
      </c>
      <c r="D1320" s="45" t="s">
        <v>339</v>
      </c>
    </row>
    <row r="1321" spans="2:4">
      <c r="B1321" s="43" t="s">
        <v>2860</v>
      </c>
      <c r="C1321" s="44">
        <v>1819</v>
      </c>
      <c r="D1321" s="45" t="s">
        <v>339</v>
      </c>
    </row>
    <row r="1322" spans="2:4">
      <c r="B1322" s="43" t="s">
        <v>2861</v>
      </c>
      <c r="C1322" s="44">
        <v>1820</v>
      </c>
      <c r="D1322" s="45" t="s">
        <v>339</v>
      </c>
    </row>
    <row r="1323" spans="2:4">
      <c r="B1323" s="43" t="s">
        <v>1147</v>
      </c>
      <c r="C1323" s="44">
        <v>1821</v>
      </c>
      <c r="D1323" s="45" t="s">
        <v>339</v>
      </c>
    </row>
    <row r="1324" spans="2:4">
      <c r="B1324" s="43" t="s">
        <v>1149</v>
      </c>
      <c r="C1324" s="44">
        <v>1822</v>
      </c>
      <c r="D1324" s="45" t="s">
        <v>339</v>
      </c>
    </row>
    <row r="1325" spans="2:4">
      <c r="B1325" s="43" t="s">
        <v>1153</v>
      </c>
      <c r="C1325" s="44">
        <v>1823</v>
      </c>
      <c r="D1325" s="45" t="s">
        <v>339</v>
      </c>
    </row>
    <row r="1326" spans="2:4">
      <c r="B1326" s="43" t="s">
        <v>1380</v>
      </c>
      <c r="C1326" s="44">
        <v>1824</v>
      </c>
      <c r="D1326" s="45" t="s">
        <v>339</v>
      </c>
    </row>
    <row r="1327" spans="2:4">
      <c r="B1327" s="43" t="s">
        <v>1333</v>
      </c>
      <c r="C1327" s="44">
        <v>1825</v>
      </c>
      <c r="D1327" s="45" t="s">
        <v>339</v>
      </c>
    </row>
    <row r="1328" spans="2:4">
      <c r="B1328" s="43" t="s">
        <v>1335</v>
      </c>
      <c r="C1328" s="44">
        <v>1826</v>
      </c>
      <c r="D1328" s="45" t="s">
        <v>339</v>
      </c>
    </row>
    <row r="1329" spans="2:4">
      <c r="B1329" s="43" t="s">
        <v>1337</v>
      </c>
      <c r="C1329" s="44">
        <v>1827</v>
      </c>
      <c r="D1329" s="45" t="s">
        <v>339</v>
      </c>
    </row>
    <row r="1330" spans="2:4">
      <c r="B1330" s="43" t="s">
        <v>1340</v>
      </c>
      <c r="C1330" s="44">
        <v>1828</v>
      </c>
      <c r="D1330" s="45" t="s">
        <v>339</v>
      </c>
    </row>
    <row r="1331" spans="2:4">
      <c r="B1331" s="43" t="s">
        <v>1225</v>
      </c>
      <c r="C1331" s="44">
        <v>1829</v>
      </c>
      <c r="D1331" s="45" t="s">
        <v>339</v>
      </c>
    </row>
    <row r="1332" spans="2:4">
      <c r="B1332" s="43" t="s">
        <v>1227</v>
      </c>
      <c r="C1332" s="44">
        <v>1830</v>
      </c>
      <c r="D1332" s="45" t="s">
        <v>339</v>
      </c>
    </row>
    <row r="1333" spans="2:4">
      <c r="B1333" s="43" t="s">
        <v>1343</v>
      </c>
      <c r="C1333" s="44">
        <v>1831</v>
      </c>
      <c r="D1333" s="45" t="s">
        <v>339</v>
      </c>
    </row>
    <row r="1334" spans="2:4">
      <c r="B1334" s="43" t="s">
        <v>1347</v>
      </c>
      <c r="C1334" s="44">
        <v>1832</v>
      </c>
      <c r="D1334" s="45" t="s">
        <v>339</v>
      </c>
    </row>
    <row r="1335" spans="2:4">
      <c r="B1335" s="43" t="s">
        <v>1345</v>
      </c>
      <c r="C1335" s="44">
        <v>1833</v>
      </c>
      <c r="D1335" s="45" t="s">
        <v>339</v>
      </c>
    </row>
    <row r="1336" spans="2:4">
      <c r="B1336" s="43" t="s">
        <v>1349</v>
      </c>
      <c r="C1336" s="44">
        <v>1834</v>
      </c>
      <c r="D1336" s="45" t="s">
        <v>339</v>
      </c>
    </row>
    <row r="1337" spans="2:4">
      <c r="B1337" s="43" t="s">
        <v>1364</v>
      </c>
      <c r="C1337" s="44">
        <v>1835</v>
      </c>
      <c r="D1337" s="45" t="s">
        <v>339</v>
      </c>
    </row>
    <row r="1338" spans="2:4">
      <c r="B1338" s="43" t="s">
        <v>2862</v>
      </c>
      <c r="C1338" s="44">
        <v>1836</v>
      </c>
      <c r="D1338" s="45" t="s">
        <v>339</v>
      </c>
    </row>
    <row r="1339" spans="2:4">
      <c r="B1339" s="43" t="s">
        <v>1360</v>
      </c>
      <c r="C1339" s="44">
        <v>1837</v>
      </c>
      <c r="D1339" s="45" t="s">
        <v>339</v>
      </c>
    </row>
    <row r="1340" spans="2:4">
      <c r="B1340" s="43" t="s">
        <v>1362</v>
      </c>
      <c r="C1340" s="44">
        <v>1838</v>
      </c>
      <c r="D1340" s="45" t="s">
        <v>339</v>
      </c>
    </row>
    <row r="1341" spans="2:4">
      <c r="B1341" s="43" t="s">
        <v>2863</v>
      </c>
      <c r="C1341" s="44">
        <v>1839</v>
      </c>
      <c r="D1341" s="45" t="s">
        <v>339</v>
      </c>
    </row>
    <row r="1342" spans="2:4">
      <c r="B1342" s="43" t="s">
        <v>2864</v>
      </c>
      <c r="C1342" s="44">
        <v>1840</v>
      </c>
      <c r="D1342" s="45" t="s">
        <v>339</v>
      </c>
    </row>
    <row r="1343" spans="2:4">
      <c r="B1343" s="43" t="s">
        <v>2865</v>
      </c>
      <c r="C1343" s="44">
        <v>1841</v>
      </c>
      <c r="D1343" s="45" t="s">
        <v>339</v>
      </c>
    </row>
    <row r="1344" spans="2:4">
      <c r="B1344" s="43" t="s">
        <v>2866</v>
      </c>
      <c r="C1344" s="44">
        <v>1842</v>
      </c>
      <c r="D1344" s="45" t="s">
        <v>339</v>
      </c>
    </row>
    <row r="1345" spans="2:4">
      <c r="B1345" s="43" t="s">
        <v>1676</v>
      </c>
      <c r="C1345" s="44">
        <v>1843</v>
      </c>
      <c r="D1345" s="45" t="s">
        <v>339</v>
      </c>
    </row>
    <row r="1346" spans="2:4">
      <c r="B1346" s="43" t="s">
        <v>1678</v>
      </c>
      <c r="C1346" s="44">
        <v>1844</v>
      </c>
      <c r="D1346" s="45" t="s">
        <v>339</v>
      </c>
    </row>
    <row r="1347" spans="2:4">
      <c r="B1347" s="43" t="s">
        <v>1155</v>
      </c>
      <c r="C1347" s="44">
        <v>1845</v>
      </c>
      <c r="D1347" s="45" t="s">
        <v>339</v>
      </c>
    </row>
    <row r="1348" spans="2:4">
      <c r="B1348" s="43" t="s">
        <v>1157</v>
      </c>
      <c r="C1348" s="44">
        <v>1846</v>
      </c>
      <c r="D1348" s="45" t="s">
        <v>339</v>
      </c>
    </row>
    <row r="1349" spans="2:4">
      <c r="B1349" s="43" t="s">
        <v>1351</v>
      </c>
      <c r="C1349" s="44">
        <v>1847</v>
      </c>
      <c r="D1349" s="45" t="s">
        <v>339</v>
      </c>
    </row>
    <row r="1350" spans="2:4">
      <c r="B1350" s="43" t="s">
        <v>1355</v>
      </c>
      <c r="C1350" s="44">
        <v>1848</v>
      </c>
      <c r="D1350" s="45" t="s">
        <v>339</v>
      </c>
    </row>
    <row r="1351" spans="2:4">
      <c r="B1351" s="43" t="s">
        <v>2867</v>
      </c>
      <c r="C1351" s="44">
        <v>1849</v>
      </c>
      <c r="D1351" s="45" t="s">
        <v>339</v>
      </c>
    </row>
    <row r="1352" spans="2:4">
      <c r="B1352" s="43" t="s">
        <v>509</v>
      </c>
      <c r="C1352" s="44">
        <v>1850</v>
      </c>
      <c r="D1352" s="45" t="s">
        <v>339</v>
      </c>
    </row>
    <row r="1353" spans="2:4">
      <c r="B1353" s="43" t="s">
        <v>2868</v>
      </c>
      <c r="C1353" s="44">
        <v>1851</v>
      </c>
      <c r="D1353" s="45" t="s">
        <v>339</v>
      </c>
    </row>
    <row r="1354" spans="2:4">
      <c r="B1354" s="43" t="s">
        <v>2869</v>
      </c>
      <c r="C1354" s="44">
        <v>1852</v>
      </c>
      <c r="D1354" s="45" t="s">
        <v>339</v>
      </c>
    </row>
    <row r="1355" spans="2:4">
      <c r="B1355" s="43" t="s">
        <v>2870</v>
      </c>
      <c r="C1355" s="44">
        <v>1853</v>
      </c>
      <c r="D1355" s="45" t="s">
        <v>339</v>
      </c>
    </row>
    <row r="1356" spans="2:4">
      <c r="B1356" s="43" t="s">
        <v>2871</v>
      </c>
      <c r="C1356" s="44">
        <v>1854</v>
      </c>
      <c r="D1356" s="45" t="s">
        <v>339</v>
      </c>
    </row>
    <row r="1357" spans="2:4">
      <c r="B1357" s="43" t="s">
        <v>2872</v>
      </c>
      <c r="C1357" s="44">
        <v>1855</v>
      </c>
      <c r="D1357" s="45" t="s">
        <v>339</v>
      </c>
    </row>
    <row r="1358" spans="2:4">
      <c r="B1358" s="43" t="s">
        <v>2873</v>
      </c>
      <c r="C1358" s="44">
        <v>1856</v>
      </c>
      <c r="D1358" s="45" t="s">
        <v>339</v>
      </c>
    </row>
    <row r="1359" spans="2:4">
      <c r="B1359" s="43" t="s">
        <v>2874</v>
      </c>
      <c r="C1359" s="44">
        <v>1857</v>
      </c>
      <c r="D1359" s="45" t="s">
        <v>339</v>
      </c>
    </row>
    <row r="1360" spans="2:4">
      <c r="B1360" s="43" t="s">
        <v>1871</v>
      </c>
      <c r="C1360" s="44">
        <v>1858</v>
      </c>
      <c r="D1360" s="45" t="s">
        <v>339</v>
      </c>
    </row>
    <row r="1361" spans="2:4">
      <c r="B1361" s="43" t="s">
        <v>1257</v>
      </c>
      <c r="C1361" s="44">
        <v>1859</v>
      </c>
      <c r="D1361" s="45" t="s">
        <v>339</v>
      </c>
    </row>
    <row r="1362" spans="2:4">
      <c r="B1362" s="43" t="s">
        <v>1259</v>
      </c>
      <c r="C1362" s="44">
        <v>1860</v>
      </c>
      <c r="D1362" s="45" t="s">
        <v>339</v>
      </c>
    </row>
    <row r="1363" spans="2:4">
      <c r="B1363" s="43" t="s">
        <v>2875</v>
      </c>
      <c r="C1363" s="44">
        <v>1861</v>
      </c>
      <c r="D1363" s="45" t="s">
        <v>339</v>
      </c>
    </row>
    <row r="1364" spans="2:4">
      <c r="B1364" s="43" t="s">
        <v>2876</v>
      </c>
      <c r="C1364" s="44">
        <v>1862</v>
      </c>
      <c r="D1364" s="45" t="s">
        <v>339</v>
      </c>
    </row>
    <row r="1365" spans="2:4">
      <c r="B1365" s="43" t="s">
        <v>2877</v>
      </c>
      <c r="C1365" s="44">
        <v>1863</v>
      </c>
      <c r="D1365" s="45" t="s">
        <v>339</v>
      </c>
    </row>
    <row r="1366" spans="2:4">
      <c r="B1366" s="43" t="s">
        <v>2878</v>
      </c>
      <c r="C1366" s="44">
        <v>1864</v>
      </c>
      <c r="D1366" s="45" t="s">
        <v>339</v>
      </c>
    </row>
    <row r="1367" spans="2:4">
      <c r="B1367" s="43" t="s">
        <v>2879</v>
      </c>
      <c r="C1367" s="44">
        <v>1865</v>
      </c>
      <c r="D1367" s="45" t="s">
        <v>339</v>
      </c>
    </row>
    <row r="1368" spans="2:4">
      <c r="B1368" s="43" t="s">
        <v>2880</v>
      </c>
      <c r="C1368" s="44">
        <v>1866</v>
      </c>
      <c r="D1368" s="45" t="s">
        <v>339</v>
      </c>
    </row>
    <row r="1369" spans="2:4">
      <c r="B1369" s="43" t="s">
        <v>2881</v>
      </c>
      <c r="C1369" s="44">
        <v>1867</v>
      </c>
      <c r="D1369" s="45" t="s">
        <v>339</v>
      </c>
    </row>
    <row r="1370" spans="2:4">
      <c r="B1370" s="43" t="s">
        <v>2882</v>
      </c>
      <c r="C1370" s="44">
        <v>1868</v>
      </c>
      <c r="D1370" s="45" t="s">
        <v>339</v>
      </c>
    </row>
    <row r="1371" spans="2:4">
      <c r="B1371" s="43" t="s">
        <v>2883</v>
      </c>
      <c r="C1371" s="44">
        <v>1869</v>
      </c>
      <c r="D1371" s="45" t="s">
        <v>339</v>
      </c>
    </row>
    <row r="1372" spans="2:4">
      <c r="B1372" s="43" t="s">
        <v>2884</v>
      </c>
      <c r="C1372" s="44">
        <v>1870</v>
      </c>
      <c r="D1372" s="45" t="s">
        <v>339</v>
      </c>
    </row>
    <row r="1373" spans="2:4">
      <c r="B1373" s="43" t="s">
        <v>2885</v>
      </c>
      <c r="C1373" s="44">
        <v>1871</v>
      </c>
      <c r="D1373" s="45" t="s">
        <v>339</v>
      </c>
    </row>
    <row r="1374" spans="2:4">
      <c r="B1374" s="43" t="s">
        <v>2886</v>
      </c>
      <c r="C1374" s="44">
        <v>1872</v>
      </c>
      <c r="D1374" s="45" t="s">
        <v>339</v>
      </c>
    </row>
    <row r="1375" spans="2:4">
      <c r="B1375" s="43" t="s">
        <v>2887</v>
      </c>
      <c r="C1375" s="44">
        <v>1873</v>
      </c>
      <c r="D1375" s="45" t="s">
        <v>339</v>
      </c>
    </row>
    <row r="1376" spans="2:4">
      <c r="B1376" s="43" t="s">
        <v>2888</v>
      </c>
      <c r="C1376" s="44">
        <v>1874</v>
      </c>
      <c r="D1376" s="45" t="s">
        <v>339</v>
      </c>
    </row>
    <row r="1377" spans="2:4">
      <c r="B1377" s="43" t="s">
        <v>2889</v>
      </c>
      <c r="C1377" s="44">
        <v>1875</v>
      </c>
      <c r="D1377" s="45" t="s">
        <v>339</v>
      </c>
    </row>
    <row r="1378" spans="2:4">
      <c r="B1378" s="43" t="s">
        <v>2890</v>
      </c>
      <c r="C1378" s="44">
        <v>1876</v>
      </c>
      <c r="D1378" s="45" t="s">
        <v>339</v>
      </c>
    </row>
    <row r="1379" spans="2:4">
      <c r="B1379" s="43" t="s">
        <v>2891</v>
      </c>
      <c r="C1379" s="44">
        <v>1877</v>
      </c>
      <c r="D1379" s="45" t="s">
        <v>339</v>
      </c>
    </row>
    <row r="1380" spans="2:4">
      <c r="B1380" s="43" t="s">
        <v>2892</v>
      </c>
      <c r="C1380" s="44">
        <v>1878</v>
      </c>
      <c r="D1380" s="45" t="s">
        <v>339</v>
      </c>
    </row>
    <row r="1381" spans="2:4">
      <c r="B1381" s="43" t="s">
        <v>2893</v>
      </c>
      <c r="C1381" s="44">
        <v>1879</v>
      </c>
      <c r="D1381" s="45" t="s">
        <v>339</v>
      </c>
    </row>
    <row r="1382" spans="2:4">
      <c r="B1382" s="43" t="s">
        <v>2894</v>
      </c>
      <c r="C1382" s="44">
        <v>1880</v>
      </c>
      <c r="D1382" s="45" t="s">
        <v>339</v>
      </c>
    </row>
    <row r="1383" spans="2:4">
      <c r="B1383" s="43" t="s">
        <v>2895</v>
      </c>
      <c r="C1383" s="44">
        <v>1881</v>
      </c>
      <c r="D1383" s="45" t="s">
        <v>339</v>
      </c>
    </row>
    <row r="1384" spans="2:4">
      <c r="B1384" s="43" t="s">
        <v>2896</v>
      </c>
      <c r="C1384" s="44">
        <v>1882</v>
      </c>
      <c r="D1384" s="45" t="s">
        <v>339</v>
      </c>
    </row>
    <row r="1385" spans="2:4">
      <c r="B1385" s="43" t="s">
        <v>2897</v>
      </c>
      <c r="C1385" s="44">
        <v>1883</v>
      </c>
      <c r="D1385" s="45" t="s">
        <v>339</v>
      </c>
    </row>
    <row r="1386" spans="2:4">
      <c r="B1386" s="43" t="s">
        <v>2898</v>
      </c>
      <c r="C1386" s="44">
        <v>1884</v>
      </c>
      <c r="D1386" s="45" t="s">
        <v>339</v>
      </c>
    </row>
    <row r="1387" spans="2:4">
      <c r="B1387" s="43" t="s">
        <v>2899</v>
      </c>
      <c r="C1387" s="44">
        <v>1885</v>
      </c>
      <c r="D1387" s="45" t="s">
        <v>339</v>
      </c>
    </row>
    <row r="1388" spans="2:4">
      <c r="B1388" s="43" t="s">
        <v>2900</v>
      </c>
      <c r="C1388" s="44">
        <v>1886</v>
      </c>
      <c r="D1388" s="45" t="s">
        <v>339</v>
      </c>
    </row>
    <row r="1389" spans="2:4">
      <c r="B1389" s="43" t="s">
        <v>1324</v>
      </c>
      <c r="C1389" s="44">
        <v>1887</v>
      </c>
      <c r="D1389" s="45" t="s">
        <v>339</v>
      </c>
    </row>
    <row r="1390" spans="2:4">
      <c r="B1390" s="43" t="s">
        <v>2901</v>
      </c>
      <c r="C1390" s="44">
        <v>1888</v>
      </c>
      <c r="D1390" s="45" t="s">
        <v>339</v>
      </c>
    </row>
    <row r="1391" spans="2:4">
      <c r="B1391" s="43" t="s">
        <v>2902</v>
      </c>
      <c r="C1391" s="44">
        <v>1889</v>
      </c>
      <c r="D1391" s="45" t="s">
        <v>339</v>
      </c>
    </row>
    <row r="1392" spans="2:4">
      <c r="B1392" s="43" t="s">
        <v>2903</v>
      </c>
      <c r="C1392" s="44">
        <v>1890</v>
      </c>
      <c r="D1392" s="45" t="s">
        <v>339</v>
      </c>
    </row>
    <row r="1393" spans="2:4">
      <c r="B1393" s="43" t="s">
        <v>2904</v>
      </c>
      <c r="C1393" s="44">
        <v>1891</v>
      </c>
      <c r="D1393" s="45" t="s">
        <v>339</v>
      </c>
    </row>
    <row r="1394" spans="2:4">
      <c r="B1394" s="43" t="s">
        <v>2905</v>
      </c>
      <c r="C1394" s="44">
        <v>1892</v>
      </c>
      <c r="D1394" s="45" t="s">
        <v>339</v>
      </c>
    </row>
    <row r="1395" spans="2:4">
      <c r="B1395" s="43" t="s">
        <v>2906</v>
      </c>
      <c r="C1395" s="44">
        <v>1893</v>
      </c>
      <c r="D1395" s="45" t="s">
        <v>339</v>
      </c>
    </row>
    <row r="1396" spans="2:4">
      <c r="B1396" s="43" t="s">
        <v>1525</v>
      </c>
      <c r="C1396" s="44">
        <v>1894</v>
      </c>
      <c r="D1396" s="45" t="s">
        <v>339</v>
      </c>
    </row>
    <row r="1397" spans="2:4">
      <c r="B1397" s="43" t="s">
        <v>2907</v>
      </c>
      <c r="C1397" s="44">
        <v>1895</v>
      </c>
      <c r="D1397" s="45" t="s">
        <v>339</v>
      </c>
    </row>
    <row r="1398" spans="2:4">
      <c r="B1398" s="43" t="s">
        <v>2908</v>
      </c>
      <c r="C1398" s="44">
        <v>1896</v>
      </c>
      <c r="D1398" s="45" t="s">
        <v>339</v>
      </c>
    </row>
    <row r="1399" spans="2:4">
      <c r="B1399" s="43" t="s">
        <v>2909</v>
      </c>
      <c r="C1399" s="44">
        <v>1897</v>
      </c>
      <c r="D1399" s="45" t="s">
        <v>339</v>
      </c>
    </row>
    <row r="1400" spans="2:4">
      <c r="B1400" s="43" t="s">
        <v>956</v>
      </c>
      <c r="C1400" s="44">
        <v>1898</v>
      </c>
      <c r="D1400" s="45" t="s">
        <v>339</v>
      </c>
    </row>
    <row r="1401" spans="2:4">
      <c r="B1401" s="43" t="s">
        <v>2910</v>
      </c>
      <c r="C1401" s="44">
        <v>1899</v>
      </c>
      <c r="D1401" s="45" t="s">
        <v>339</v>
      </c>
    </row>
    <row r="1402" spans="2:4">
      <c r="B1402" s="43" t="s">
        <v>2911</v>
      </c>
      <c r="C1402" s="44">
        <v>1900</v>
      </c>
      <c r="D1402" s="45" t="s">
        <v>339</v>
      </c>
    </row>
    <row r="1403" spans="2:4">
      <c r="B1403" s="43" t="s">
        <v>2912</v>
      </c>
      <c r="C1403" s="44">
        <v>1901</v>
      </c>
      <c r="D1403" s="45" t="s">
        <v>339</v>
      </c>
    </row>
    <row r="1404" spans="2:4">
      <c r="B1404" s="43" t="s">
        <v>2913</v>
      </c>
      <c r="C1404" s="44">
        <v>1902</v>
      </c>
      <c r="D1404" s="45" t="s">
        <v>339</v>
      </c>
    </row>
    <row r="1405" spans="2:4">
      <c r="B1405" s="43" t="s">
        <v>2914</v>
      </c>
      <c r="C1405" s="44">
        <v>1903</v>
      </c>
      <c r="D1405" s="45" t="s">
        <v>339</v>
      </c>
    </row>
    <row r="1406" spans="2:4">
      <c r="B1406" s="43" t="s">
        <v>1749</v>
      </c>
      <c r="C1406" s="44">
        <v>1904</v>
      </c>
      <c r="D1406" s="45" t="s">
        <v>339</v>
      </c>
    </row>
    <row r="1407" spans="2:4">
      <c r="B1407" s="43" t="s">
        <v>2915</v>
      </c>
      <c r="C1407" s="44">
        <v>1905</v>
      </c>
      <c r="D1407" s="45" t="s">
        <v>339</v>
      </c>
    </row>
    <row r="1408" spans="2:4">
      <c r="B1408" s="43" t="s">
        <v>2916</v>
      </c>
      <c r="C1408" s="44">
        <v>1906</v>
      </c>
      <c r="D1408" s="45" t="s">
        <v>339</v>
      </c>
    </row>
    <row r="1409" spans="2:4">
      <c r="B1409" s="43" t="s">
        <v>774</v>
      </c>
      <c r="C1409" s="44">
        <v>1907</v>
      </c>
      <c r="D1409" s="45" t="s">
        <v>339</v>
      </c>
    </row>
    <row r="1410" spans="2:4">
      <c r="B1410" s="43" t="s">
        <v>2917</v>
      </c>
      <c r="C1410" s="44">
        <v>1908</v>
      </c>
      <c r="D1410" s="45" t="s">
        <v>339</v>
      </c>
    </row>
    <row r="1411" spans="2:4">
      <c r="B1411" s="43" t="s">
        <v>494</v>
      </c>
      <c r="C1411" s="44">
        <v>1909</v>
      </c>
      <c r="D1411" s="45" t="s">
        <v>339</v>
      </c>
    </row>
    <row r="1412" spans="2:4">
      <c r="B1412" s="43" t="s">
        <v>2918</v>
      </c>
      <c r="C1412" s="44">
        <v>1910</v>
      </c>
      <c r="D1412" s="45" t="s">
        <v>339</v>
      </c>
    </row>
    <row r="1413" spans="2:4">
      <c r="B1413" s="43" t="s">
        <v>2919</v>
      </c>
      <c r="C1413" s="44">
        <v>1911</v>
      </c>
      <c r="D1413" s="45" t="s">
        <v>339</v>
      </c>
    </row>
    <row r="1414" spans="2:4">
      <c r="B1414" s="43" t="s">
        <v>2920</v>
      </c>
      <c r="C1414" s="44">
        <v>1912</v>
      </c>
      <c r="D1414" s="45" t="s">
        <v>339</v>
      </c>
    </row>
    <row r="1415" spans="2:4">
      <c r="B1415" s="43" t="s">
        <v>2921</v>
      </c>
      <c r="C1415" s="44">
        <v>1913</v>
      </c>
      <c r="D1415" s="45" t="s">
        <v>339</v>
      </c>
    </row>
    <row r="1416" spans="2:4">
      <c r="B1416" s="43" t="s">
        <v>2922</v>
      </c>
      <c r="C1416" s="44">
        <v>1914</v>
      </c>
      <c r="D1416" s="45" t="s">
        <v>339</v>
      </c>
    </row>
    <row r="1417" spans="2:4">
      <c r="B1417" s="43" t="s">
        <v>2923</v>
      </c>
      <c r="C1417" s="44">
        <v>1915</v>
      </c>
      <c r="D1417" s="45" t="s">
        <v>339</v>
      </c>
    </row>
    <row r="1418" spans="2:4">
      <c r="B1418" s="43" t="s">
        <v>2924</v>
      </c>
      <c r="C1418" s="44">
        <v>1916</v>
      </c>
      <c r="D1418" s="45" t="s">
        <v>339</v>
      </c>
    </row>
    <row r="1419" spans="2:4">
      <c r="B1419" s="43" t="s">
        <v>2925</v>
      </c>
      <c r="C1419" s="44">
        <v>1917</v>
      </c>
      <c r="D1419" s="45" t="s">
        <v>339</v>
      </c>
    </row>
    <row r="1420" spans="2:4">
      <c r="B1420" s="43" t="s">
        <v>2926</v>
      </c>
      <c r="C1420" s="44">
        <v>1918</v>
      </c>
      <c r="D1420" s="45" t="s">
        <v>339</v>
      </c>
    </row>
    <row r="1421" spans="2:4">
      <c r="B1421" s="43" t="s">
        <v>2927</v>
      </c>
      <c r="C1421" s="44">
        <v>1919</v>
      </c>
      <c r="D1421" s="45" t="s">
        <v>339</v>
      </c>
    </row>
    <row r="1422" spans="2:4">
      <c r="B1422" s="43" t="s">
        <v>2928</v>
      </c>
      <c r="C1422" s="44">
        <v>1920</v>
      </c>
      <c r="D1422" s="45" t="s">
        <v>339</v>
      </c>
    </row>
    <row r="1423" spans="2:4">
      <c r="B1423" s="43" t="s">
        <v>2929</v>
      </c>
      <c r="C1423" s="44">
        <v>1921</v>
      </c>
      <c r="D1423" s="45" t="s">
        <v>339</v>
      </c>
    </row>
    <row r="1424" spans="2:4">
      <c r="B1424" s="43" t="s">
        <v>2930</v>
      </c>
      <c r="C1424" s="44">
        <v>1922</v>
      </c>
      <c r="D1424" s="45" t="s">
        <v>339</v>
      </c>
    </row>
    <row r="1425" spans="2:4">
      <c r="B1425" s="43" t="s">
        <v>2931</v>
      </c>
      <c r="C1425" s="44">
        <v>1923</v>
      </c>
      <c r="D1425" s="45" t="s">
        <v>339</v>
      </c>
    </row>
    <row r="1426" spans="2:4">
      <c r="B1426" s="43" t="s">
        <v>2932</v>
      </c>
      <c r="C1426" s="44">
        <v>1924</v>
      </c>
      <c r="D1426" s="45" t="s">
        <v>339</v>
      </c>
    </row>
    <row r="1427" spans="2:4">
      <c r="B1427" s="43" t="s">
        <v>2933</v>
      </c>
      <c r="C1427" s="44">
        <v>1925</v>
      </c>
      <c r="D1427" s="45" t="s">
        <v>339</v>
      </c>
    </row>
    <row r="1428" spans="2:4">
      <c r="B1428" s="43" t="s">
        <v>2934</v>
      </c>
      <c r="C1428" s="44">
        <v>1926</v>
      </c>
      <c r="D1428" s="45" t="s">
        <v>339</v>
      </c>
    </row>
    <row r="1429" spans="2:4">
      <c r="B1429" s="43" t="s">
        <v>2935</v>
      </c>
      <c r="C1429" s="44">
        <v>1927</v>
      </c>
      <c r="D1429" s="45" t="s">
        <v>339</v>
      </c>
    </row>
    <row r="1430" spans="2:4">
      <c r="B1430" s="43" t="s">
        <v>2936</v>
      </c>
      <c r="C1430" s="44">
        <v>1928</v>
      </c>
      <c r="D1430" s="45" t="s">
        <v>339</v>
      </c>
    </row>
    <row r="1431" spans="2:4">
      <c r="B1431" s="43" t="s">
        <v>2937</v>
      </c>
      <c r="C1431" s="44">
        <v>1929</v>
      </c>
      <c r="D1431" s="45" t="s">
        <v>339</v>
      </c>
    </row>
    <row r="1432" spans="2:4">
      <c r="B1432" s="43" t="s">
        <v>2938</v>
      </c>
      <c r="C1432" s="44">
        <v>1930</v>
      </c>
      <c r="D1432" s="45" t="s">
        <v>339</v>
      </c>
    </row>
    <row r="1433" spans="2:4">
      <c r="B1433" s="43" t="s">
        <v>2939</v>
      </c>
      <c r="C1433" s="44">
        <v>1931</v>
      </c>
      <c r="D1433" s="45" t="s">
        <v>339</v>
      </c>
    </row>
    <row r="1434" spans="2:4">
      <c r="B1434" s="43" t="s">
        <v>2940</v>
      </c>
      <c r="C1434" s="44">
        <v>1932</v>
      </c>
      <c r="D1434" s="45" t="s">
        <v>339</v>
      </c>
    </row>
    <row r="1435" spans="2:4">
      <c r="B1435" s="43" t="s">
        <v>2941</v>
      </c>
      <c r="C1435" s="44">
        <v>1933</v>
      </c>
      <c r="D1435" s="45" t="s">
        <v>339</v>
      </c>
    </row>
    <row r="1436" spans="2:4">
      <c r="B1436" s="43" t="s">
        <v>2942</v>
      </c>
      <c r="C1436" s="44">
        <v>1934</v>
      </c>
      <c r="D1436" s="45" t="s">
        <v>339</v>
      </c>
    </row>
    <row r="1437" spans="2:4">
      <c r="B1437" s="43" t="s">
        <v>872</v>
      </c>
      <c r="C1437" s="44">
        <v>1935</v>
      </c>
      <c r="D1437" s="45" t="s">
        <v>339</v>
      </c>
    </row>
    <row r="1438" spans="2:4">
      <c r="B1438" s="43" t="s">
        <v>874</v>
      </c>
      <c r="C1438" s="44">
        <v>1936</v>
      </c>
      <c r="D1438" s="45" t="s">
        <v>339</v>
      </c>
    </row>
    <row r="1439" spans="2:4">
      <c r="B1439" s="43" t="s">
        <v>1567</v>
      </c>
      <c r="C1439" s="44">
        <v>1937</v>
      </c>
      <c r="D1439" s="45" t="s">
        <v>339</v>
      </c>
    </row>
    <row r="1440" spans="2:4">
      <c r="B1440" s="43" t="s">
        <v>2943</v>
      </c>
      <c r="C1440" s="44">
        <v>1938</v>
      </c>
      <c r="D1440" s="45" t="s">
        <v>339</v>
      </c>
    </row>
    <row r="1441" spans="2:4">
      <c r="B1441" s="43" t="s">
        <v>1384</v>
      </c>
      <c r="C1441" s="44">
        <v>1939</v>
      </c>
      <c r="D1441" s="45" t="s">
        <v>339</v>
      </c>
    </row>
    <row r="1442" spans="2:4">
      <c r="B1442" s="43" t="s">
        <v>2944</v>
      </c>
      <c r="C1442" s="44">
        <v>1940</v>
      </c>
      <c r="D1442" s="45" t="s">
        <v>339</v>
      </c>
    </row>
    <row r="1443" spans="2:4">
      <c r="B1443" s="43" t="s">
        <v>1357</v>
      </c>
      <c r="C1443" s="44">
        <v>1941</v>
      </c>
      <c r="D1443" s="45" t="s">
        <v>339</v>
      </c>
    </row>
    <row r="1444" spans="2:4">
      <c r="B1444" s="43" t="s">
        <v>2945</v>
      </c>
      <c r="C1444" s="44">
        <v>1942</v>
      </c>
      <c r="D1444" s="45" t="s">
        <v>339</v>
      </c>
    </row>
    <row r="1445" spans="2:4">
      <c r="B1445" s="43" t="s">
        <v>2946</v>
      </c>
      <c r="C1445" s="44">
        <v>1943</v>
      </c>
      <c r="D1445" s="45" t="s">
        <v>339</v>
      </c>
    </row>
    <row r="1446" spans="2:4">
      <c r="B1446" s="43" t="s">
        <v>2947</v>
      </c>
      <c r="C1446" s="44">
        <v>1944</v>
      </c>
      <c r="D1446" s="45" t="s">
        <v>339</v>
      </c>
    </row>
    <row r="1447" spans="2:4">
      <c r="B1447" s="43" t="s">
        <v>2948</v>
      </c>
      <c r="C1447" s="44">
        <v>1945</v>
      </c>
      <c r="D1447" s="45" t="s">
        <v>339</v>
      </c>
    </row>
    <row r="1448" spans="2:4">
      <c r="B1448" s="43" t="s">
        <v>2949</v>
      </c>
      <c r="C1448" s="44">
        <v>1946</v>
      </c>
      <c r="D1448" s="45" t="s">
        <v>339</v>
      </c>
    </row>
    <row r="1449" spans="2:4">
      <c r="B1449" s="43" t="s">
        <v>2950</v>
      </c>
      <c r="C1449" s="44">
        <v>1947</v>
      </c>
      <c r="D1449" s="45" t="s">
        <v>339</v>
      </c>
    </row>
    <row r="1450" spans="2:4">
      <c r="B1450" s="43" t="s">
        <v>2951</v>
      </c>
      <c r="C1450" s="44">
        <v>1948</v>
      </c>
      <c r="D1450" s="45" t="s">
        <v>339</v>
      </c>
    </row>
    <row r="1451" spans="2:4">
      <c r="B1451" s="43" t="s">
        <v>2952</v>
      </c>
      <c r="C1451" s="44">
        <v>1949</v>
      </c>
      <c r="D1451" s="45" t="s">
        <v>339</v>
      </c>
    </row>
    <row r="1452" spans="2:4">
      <c r="B1452" s="43" t="s">
        <v>1523</v>
      </c>
      <c r="C1452" s="44">
        <v>1950</v>
      </c>
      <c r="D1452" s="45" t="s">
        <v>339</v>
      </c>
    </row>
    <row r="1453" spans="2:4">
      <c r="B1453" s="43" t="s">
        <v>1557</v>
      </c>
      <c r="C1453" s="44">
        <v>1951</v>
      </c>
      <c r="D1453" s="45" t="s">
        <v>339</v>
      </c>
    </row>
    <row r="1454" spans="2:4">
      <c r="B1454" s="43" t="s">
        <v>2953</v>
      </c>
      <c r="C1454" s="44">
        <v>1952</v>
      </c>
      <c r="D1454" s="45" t="s">
        <v>339</v>
      </c>
    </row>
    <row r="1455" spans="2:4">
      <c r="B1455" s="43" t="s">
        <v>2954</v>
      </c>
      <c r="C1455" s="44">
        <v>1953</v>
      </c>
      <c r="D1455" s="45" t="s">
        <v>339</v>
      </c>
    </row>
    <row r="1456" spans="2:4">
      <c r="B1456" s="43" t="s">
        <v>2955</v>
      </c>
      <c r="C1456" s="44">
        <v>1954</v>
      </c>
      <c r="D1456" s="45" t="s">
        <v>339</v>
      </c>
    </row>
    <row r="1457" spans="2:4">
      <c r="B1457" s="43" t="s">
        <v>2956</v>
      </c>
      <c r="C1457" s="44">
        <v>1955</v>
      </c>
      <c r="D1457" s="45" t="s">
        <v>339</v>
      </c>
    </row>
    <row r="1458" spans="2:4">
      <c r="B1458" s="43" t="s">
        <v>2957</v>
      </c>
      <c r="C1458" s="44">
        <v>1956</v>
      </c>
      <c r="D1458" s="45" t="s">
        <v>339</v>
      </c>
    </row>
    <row r="1459" spans="2:4">
      <c r="B1459" s="43" t="s">
        <v>2958</v>
      </c>
      <c r="C1459" s="44">
        <v>1957</v>
      </c>
      <c r="D1459" s="45" t="s">
        <v>339</v>
      </c>
    </row>
    <row r="1460" spans="2:4">
      <c r="B1460" s="43" t="s">
        <v>2959</v>
      </c>
      <c r="C1460" s="44">
        <v>1958</v>
      </c>
      <c r="D1460" s="45" t="s">
        <v>339</v>
      </c>
    </row>
    <row r="1461" spans="2:4">
      <c r="B1461" s="43" t="s">
        <v>2960</v>
      </c>
      <c r="C1461" s="44">
        <v>1959</v>
      </c>
      <c r="D1461" s="45" t="s">
        <v>339</v>
      </c>
    </row>
    <row r="1462" spans="2:4">
      <c r="B1462" s="43" t="s">
        <v>2961</v>
      </c>
      <c r="C1462" s="44">
        <v>1960</v>
      </c>
      <c r="D1462" s="45" t="s">
        <v>339</v>
      </c>
    </row>
    <row r="1463" spans="2:4">
      <c r="B1463" s="43" t="s">
        <v>2962</v>
      </c>
      <c r="C1463" s="44">
        <v>1961</v>
      </c>
      <c r="D1463" s="45" t="s">
        <v>339</v>
      </c>
    </row>
    <row r="1464" spans="2:4">
      <c r="B1464" s="43" t="s">
        <v>2963</v>
      </c>
      <c r="C1464" s="44">
        <v>1962</v>
      </c>
      <c r="D1464" s="45" t="s">
        <v>339</v>
      </c>
    </row>
    <row r="1465" spans="2:4">
      <c r="B1465" s="43" t="s">
        <v>2964</v>
      </c>
      <c r="C1465" s="44">
        <v>1963</v>
      </c>
      <c r="D1465" s="45" t="s">
        <v>339</v>
      </c>
    </row>
    <row r="1466" spans="2:4">
      <c r="B1466" s="43" t="s">
        <v>2965</v>
      </c>
      <c r="C1466" s="44">
        <v>1964</v>
      </c>
      <c r="D1466" s="45" t="s">
        <v>339</v>
      </c>
    </row>
    <row r="1467" spans="2:4">
      <c r="B1467" s="43" t="s">
        <v>2966</v>
      </c>
      <c r="C1467" s="44">
        <v>1965</v>
      </c>
      <c r="D1467" s="45" t="s">
        <v>339</v>
      </c>
    </row>
    <row r="1468" spans="2:4">
      <c r="B1468" s="43" t="s">
        <v>2967</v>
      </c>
      <c r="C1468" s="44">
        <v>1966</v>
      </c>
      <c r="D1468" s="45" t="s">
        <v>339</v>
      </c>
    </row>
    <row r="1469" spans="2:4">
      <c r="B1469" s="43" t="s">
        <v>2968</v>
      </c>
      <c r="C1469" s="44">
        <v>1967</v>
      </c>
      <c r="D1469" s="45" t="s">
        <v>339</v>
      </c>
    </row>
    <row r="1470" spans="2:4">
      <c r="B1470" s="43" t="s">
        <v>2969</v>
      </c>
      <c r="C1470" s="44">
        <v>1968</v>
      </c>
      <c r="D1470" s="45" t="s">
        <v>339</v>
      </c>
    </row>
    <row r="1471" spans="2:4">
      <c r="B1471" s="43" t="s">
        <v>2970</v>
      </c>
      <c r="C1471" s="44">
        <v>1969</v>
      </c>
      <c r="D1471" s="45" t="s">
        <v>339</v>
      </c>
    </row>
    <row r="1472" spans="2:4">
      <c r="B1472" s="43" t="s">
        <v>2971</v>
      </c>
      <c r="C1472" s="44">
        <v>1970</v>
      </c>
      <c r="D1472" s="45" t="s">
        <v>339</v>
      </c>
    </row>
    <row r="1473" spans="2:4">
      <c r="B1473" s="43" t="s">
        <v>2972</v>
      </c>
      <c r="C1473" s="44">
        <v>1971</v>
      </c>
      <c r="D1473" s="45" t="s">
        <v>339</v>
      </c>
    </row>
    <row r="1474" spans="2:4">
      <c r="B1474" s="43" t="s">
        <v>2973</v>
      </c>
      <c r="C1474" s="44">
        <v>1972</v>
      </c>
      <c r="D1474" s="45" t="s">
        <v>339</v>
      </c>
    </row>
    <row r="1475" spans="2:4">
      <c r="B1475" s="43" t="s">
        <v>2974</v>
      </c>
      <c r="C1475" s="44">
        <v>1973</v>
      </c>
      <c r="D1475" s="45" t="s">
        <v>339</v>
      </c>
    </row>
    <row r="1476" spans="2:4">
      <c r="B1476" s="43" t="s">
        <v>2975</v>
      </c>
      <c r="C1476" s="44">
        <v>1974</v>
      </c>
      <c r="D1476" s="45" t="s">
        <v>339</v>
      </c>
    </row>
    <row r="1477" spans="2:4">
      <c r="B1477" s="43" t="s">
        <v>2976</v>
      </c>
      <c r="C1477" s="44">
        <v>1975</v>
      </c>
      <c r="D1477" s="45" t="s">
        <v>339</v>
      </c>
    </row>
    <row r="1478" spans="2:4">
      <c r="B1478" s="43" t="s">
        <v>2977</v>
      </c>
      <c r="C1478" s="44">
        <v>1976</v>
      </c>
      <c r="D1478" s="45" t="s">
        <v>339</v>
      </c>
    </row>
    <row r="1479" spans="2:4">
      <c r="B1479" s="43" t="s">
        <v>2978</v>
      </c>
      <c r="C1479" s="44">
        <v>1977</v>
      </c>
      <c r="D1479" s="45" t="s">
        <v>339</v>
      </c>
    </row>
    <row r="1480" spans="2:4">
      <c r="B1480" s="43" t="s">
        <v>2979</v>
      </c>
      <c r="C1480" s="44">
        <v>1978</v>
      </c>
      <c r="D1480" s="45" t="s">
        <v>339</v>
      </c>
    </row>
    <row r="1481" spans="2:4">
      <c r="B1481" s="43" t="s">
        <v>2980</v>
      </c>
      <c r="C1481" s="44">
        <v>1979</v>
      </c>
      <c r="D1481" s="45" t="s">
        <v>339</v>
      </c>
    </row>
    <row r="1482" spans="2:4">
      <c r="B1482" s="43" t="s">
        <v>652</v>
      </c>
      <c r="C1482" s="44">
        <v>1980</v>
      </c>
      <c r="D1482" s="45" t="s">
        <v>339</v>
      </c>
    </row>
    <row r="1483" spans="2:4">
      <c r="B1483" s="43" t="s">
        <v>631</v>
      </c>
      <c r="C1483" s="44">
        <v>1981</v>
      </c>
      <c r="D1483" s="45" t="s">
        <v>339</v>
      </c>
    </row>
    <row r="1484" spans="2:4">
      <c r="B1484" s="43" t="s">
        <v>2981</v>
      </c>
      <c r="C1484" s="44">
        <v>1982</v>
      </c>
      <c r="D1484" s="45" t="s">
        <v>339</v>
      </c>
    </row>
    <row r="1485" spans="2:4">
      <c r="B1485" s="43" t="s">
        <v>2982</v>
      </c>
      <c r="C1485" s="44">
        <v>1983</v>
      </c>
      <c r="D1485" s="45" t="s">
        <v>339</v>
      </c>
    </row>
    <row r="1486" spans="2:4">
      <c r="B1486" s="43" t="s">
        <v>1824</v>
      </c>
      <c r="C1486" s="44">
        <v>1984</v>
      </c>
      <c r="D1486" s="45" t="s">
        <v>339</v>
      </c>
    </row>
    <row r="1487" spans="2:4">
      <c r="B1487" s="43" t="s">
        <v>2983</v>
      </c>
      <c r="C1487" s="44">
        <v>1985</v>
      </c>
      <c r="D1487" s="45" t="s">
        <v>339</v>
      </c>
    </row>
    <row r="1488" spans="2:4">
      <c r="B1488" s="43" t="s">
        <v>2984</v>
      </c>
      <c r="C1488" s="44">
        <v>1986</v>
      </c>
      <c r="D1488" s="45" t="s">
        <v>339</v>
      </c>
    </row>
    <row r="1489" spans="2:4">
      <c r="B1489" s="43" t="s">
        <v>2985</v>
      </c>
      <c r="C1489" s="44">
        <v>1987</v>
      </c>
      <c r="D1489" s="45" t="s">
        <v>339</v>
      </c>
    </row>
    <row r="1490" spans="2:4">
      <c r="B1490" s="43" t="s">
        <v>2986</v>
      </c>
      <c r="C1490" s="44">
        <v>1988</v>
      </c>
      <c r="D1490" s="45" t="s">
        <v>339</v>
      </c>
    </row>
    <row r="1491" spans="2:4">
      <c r="B1491" s="43" t="s">
        <v>2987</v>
      </c>
      <c r="C1491" s="44">
        <v>1989</v>
      </c>
      <c r="D1491" s="45" t="s">
        <v>339</v>
      </c>
    </row>
    <row r="1492" spans="2:4">
      <c r="B1492" s="43" t="s">
        <v>2988</v>
      </c>
      <c r="C1492" s="44">
        <v>1990</v>
      </c>
      <c r="D1492" s="45" t="s">
        <v>339</v>
      </c>
    </row>
    <row r="1493" spans="2:4">
      <c r="B1493" s="43" t="s">
        <v>563</v>
      </c>
      <c r="C1493" s="44">
        <v>1991</v>
      </c>
      <c r="D1493" s="45" t="s">
        <v>339</v>
      </c>
    </row>
    <row r="1494" spans="2:4">
      <c r="B1494" s="43" t="s">
        <v>2989</v>
      </c>
      <c r="C1494" s="44">
        <v>1992</v>
      </c>
      <c r="D1494" s="45" t="s">
        <v>339</v>
      </c>
    </row>
    <row r="1495" spans="2:4">
      <c r="B1495" s="43" t="s">
        <v>2990</v>
      </c>
      <c r="C1495" s="44">
        <v>1993</v>
      </c>
      <c r="D1495" s="45" t="s">
        <v>339</v>
      </c>
    </row>
    <row r="1496" spans="2:4">
      <c r="B1496" s="43" t="s">
        <v>2991</v>
      </c>
      <c r="C1496" s="44">
        <v>1994</v>
      </c>
      <c r="D1496" s="45" t="s">
        <v>339</v>
      </c>
    </row>
    <row r="1497" spans="2:4">
      <c r="B1497" s="43" t="s">
        <v>2992</v>
      </c>
      <c r="C1497" s="44">
        <v>1995</v>
      </c>
      <c r="D1497" s="45" t="s">
        <v>339</v>
      </c>
    </row>
    <row r="1498" spans="2:4">
      <c r="B1498" s="43" t="s">
        <v>2993</v>
      </c>
      <c r="C1498" s="44">
        <v>1996</v>
      </c>
      <c r="D1498" s="45" t="s">
        <v>339</v>
      </c>
    </row>
    <row r="1499" spans="2:4">
      <c r="B1499" s="43" t="s">
        <v>2994</v>
      </c>
      <c r="C1499" s="44">
        <v>1997</v>
      </c>
      <c r="D1499" s="45" t="s">
        <v>339</v>
      </c>
    </row>
    <row r="1500" spans="2:4">
      <c r="B1500" s="43" t="s">
        <v>2995</v>
      </c>
      <c r="C1500" s="44">
        <v>1998</v>
      </c>
      <c r="D1500" s="45" t="s">
        <v>339</v>
      </c>
    </row>
    <row r="1501" spans="2:4">
      <c r="B1501" s="43" t="s">
        <v>364</v>
      </c>
      <c r="C1501" s="44">
        <v>1999</v>
      </c>
      <c r="D1501" s="45" t="s">
        <v>339</v>
      </c>
    </row>
    <row r="1502" spans="2:4">
      <c r="B1502" s="43" t="s">
        <v>2996</v>
      </c>
      <c r="C1502" s="44">
        <v>2000</v>
      </c>
      <c r="D1502" s="45" t="s">
        <v>339</v>
      </c>
    </row>
    <row r="1503" spans="2:4">
      <c r="B1503" s="43" t="s">
        <v>2997</v>
      </c>
      <c r="C1503" s="44">
        <v>2001</v>
      </c>
      <c r="D1503" s="45" t="s">
        <v>339</v>
      </c>
    </row>
    <row r="1504" spans="2:4">
      <c r="B1504" s="43" t="s">
        <v>2998</v>
      </c>
      <c r="C1504" s="44">
        <v>2002</v>
      </c>
      <c r="D1504" s="45" t="s">
        <v>339</v>
      </c>
    </row>
    <row r="1505" spans="2:4">
      <c r="B1505" s="43" t="s">
        <v>2999</v>
      </c>
      <c r="C1505" s="44">
        <v>2003</v>
      </c>
      <c r="D1505" s="45" t="s">
        <v>339</v>
      </c>
    </row>
    <row r="1506" spans="2:4">
      <c r="B1506" s="43" t="s">
        <v>3000</v>
      </c>
      <c r="C1506" s="44">
        <v>2004</v>
      </c>
      <c r="D1506" s="45" t="s">
        <v>339</v>
      </c>
    </row>
    <row r="1507" spans="2:4">
      <c r="B1507" s="43" t="s">
        <v>3001</v>
      </c>
      <c r="C1507" s="44">
        <v>2005</v>
      </c>
      <c r="D1507" s="45" t="s">
        <v>339</v>
      </c>
    </row>
    <row r="1508" spans="2:4">
      <c r="B1508" s="43" t="s">
        <v>1780</v>
      </c>
      <c r="C1508" s="44">
        <v>2006</v>
      </c>
      <c r="D1508" s="45" t="s">
        <v>339</v>
      </c>
    </row>
    <row r="1509" spans="2:4">
      <c r="B1509" s="43" t="s">
        <v>3002</v>
      </c>
      <c r="C1509" s="44">
        <v>2007</v>
      </c>
      <c r="D1509" s="45" t="s">
        <v>339</v>
      </c>
    </row>
    <row r="1510" spans="2:4">
      <c r="B1510" s="43" t="s">
        <v>3003</v>
      </c>
      <c r="C1510" s="44">
        <v>2008</v>
      </c>
      <c r="D1510" s="45" t="s">
        <v>339</v>
      </c>
    </row>
    <row r="1511" spans="2:4">
      <c r="B1511" s="43" t="s">
        <v>3004</v>
      </c>
      <c r="C1511" s="44">
        <v>2009</v>
      </c>
      <c r="D1511" s="45" t="s">
        <v>339</v>
      </c>
    </row>
    <row r="1512" spans="2:4">
      <c r="B1512" s="43" t="s">
        <v>3005</v>
      </c>
      <c r="C1512" s="44">
        <v>2010</v>
      </c>
      <c r="D1512" s="45" t="s">
        <v>339</v>
      </c>
    </row>
    <row r="1513" spans="2:4">
      <c r="B1513" s="43" t="s">
        <v>3006</v>
      </c>
      <c r="C1513" s="44">
        <v>2011</v>
      </c>
      <c r="D1513" s="45" t="s">
        <v>339</v>
      </c>
    </row>
    <row r="1514" spans="2:4">
      <c r="B1514" s="43" t="s">
        <v>3007</v>
      </c>
      <c r="C1514" s="44">
        <v>2012</v>
      </c>
      <c r="D1514" s="45" t="s">
        <v>339</v>
      </c>
    </row>
    <row r="1515" spans="2:4">
      <c r="B1515" s="43" t="s">
        <v>3008</v>
      </c>
      <c r="C1515" s="44">
        <v>2013</v>
      </c>
      <c r="D1515" s="45" t="s">
        <v>339</v>
      </c>
    </row>
    <row r="1516" spans="2:4">
      <c r="B1516" s="43" t="s">
        <v>3009</v>
      </c>
      <c r="C1516" s="44">
        <v>2014</v>
      </c>
      <c r="D1516" s="45" t="s">
        <v>339</v>
      </c>
    </row>
    <row r="1517" spans="2:4">
      <c r="B1517" s="43" t="s">
        <v>3010</v>
      </c>
      <c r="C1517" s="44">
        <v>2015</v>
      </c>
      <c r="D1517" s="45" t="s">
        <v>339</v>
      </c>
    </row>
    <row r="1518" spans="2:4">
      <c r="B1518" s="43" t="s">
        <v>3011</v>
      </c>
      <c r="C1518" s="44">
        <v>2016</v>
      </c>
      <c r="D1518" s="45" t="s">
        <v>339</v>
      </c>
    </row>
    <row r="1519" spans="2:4">
      <c r="B1519" s="43" t="s">
        <v>3012</v>
      </c>
      <c r="C1519" s="44">
        <v>2017</v>
      </c>
      <c r="D1519" s="45" t="s">
        <v>339</v>
      </c>
    </row>
    <row r="1520" spans="2:4">
      <c r="B1520" s="43" t="s">
        <v>3013</v>
      </c>
      <c r="C1520" s="44">
        <v>2018</v>
      </c>
      <c r="D1520" s="45" t="s">
        <v>339</v>
      </c>
    </row>
    <row r="1521" spans="2:4">
      <c r="B1521" s="43" t="s">
        <v>3014</v>
      </c>
      <c r="C1521" s="44">
        <v>2019</v>
      </c>
      <c r="D1521" s="45" t="s">
        <v>339</v>
      </c>
    </row>
    <row r="1522" spans="2:4">
      <c r="B1522" s="43" t="s">
        <v>3015</v>
      </c>
      <c r="C1522" s="44">
        <v>2020</v>
      </c>
      <c r="D1522" s="45" t="s">
        <v>339</v>
      </c>
    </row>
    <row r="1523" spans="2:4">
      <c r="B1523" s="43" t="s">
        <v>3016</v>
      </c>
      <c r="C1523" s="44">
        <v>2021</v>
      </c>
      <c r="D1523" s="45" t="s">
        <v>339</v>
      </c>
    </row>
    <row r="1524" spans="2:4">
      <c r="B1524" s="43" t="s">
        <v>3017</v>
      </c>
      <c r="C1524" s="44">
        <v>2022</v>
      </c>
      <c r="D1524" s="45" t="s">
        <v>339</v>
      </c>
    </row>
    <row r="1525" spans="2:4">
      <c r="B1525" s="43" t="s">
        <v>3018</v>
      </c>
      <c r="C1525" s="44">
        <v>2023</v>
      </c>
      <c r="D1525" s="45" t="s">
        <v>339</v>
      </c>
    </row>
    <row r="1526" spans="2:4">
      <c r="B1526" s="43" t="s">
        <v>3019</v>
      </c>
      <c r="C1526" s="44">
        <v>2024</v>
      </c>
      <c r="D1526" s="45" t="s">
        <v>339</v>
      </c>
    </row>
    <row r="1527" spans="2:4">
      <c r="B1527" s="43" t="s">
        <v>3020</v>
      </c>
      <c r="C1527" s="44">
        <v>2025</v>
      </c>
      <c r="D1527" s="45" t="s">
        <v>339</v>
      </c>
    </row>
    <row r="1528" spans="2:4">
      <c r="B1528" s="43" t="s">
        <v>3021</v>
      </c>
      <c r="C1528" s="44">
        <v>2026</v>
      </c>
      <c r="D1528" s="45" t="s">
        <v>339</v>
      </c>
    </row>
    <row r="1529" spans="2:4">
      <c r="B1529" s="43" t="s">
        <v>3022</v>
      </c>
      <c r="C1529" s="44">
        <v>2027</v>
      </c>
      <c r="D1529" s="45" t="s">
        <v>339</v>
      </c>
    </row>
    <row r="1530" spans="2:4">
      <c r="B1530" s="43" t="s">
        <v>3023</v>
      </c>
      <c r="C1530" s="44">
        <v>2028</v>
      </c>
      <c r="D1530" s="45" t="s">
        <v>339</v>
      </c>
    </row>
    <row r="1531" spans="2:4">
      <c r="B1531" s="43" t="s">
        <v>3024</v>
      </c>
      <c r="C1531" s="44">
        <v>2029</v>
      </c>
      <c r="D1531" s="45" t="s">
        <v>339</v>
      </c>
    </row>
    <row r="1532" spans="2:4">
      <c r="B1532" s="43" t="s">
        <v>3025</v>
      </c>
      <c r="C1532" s="44">
        <v>2030</v>
      </c>
      <c r="D1532" s="45" t="s">
        <v>339</v>
      </c>
    </row>
    <row r="1533" spans="2:4">
      <c r="B1533" s="43" t="s">
        <v>3026</v>
      </c>
      <c r="C1533" s="44">
        <v>2031</v>
      </c>
      <c r="D1533" s="45" t="s">
        <v>339</v>
      </c>
    </row>
    <row r="1534" spans="2:4">
      <c r="B1534" s="43" t="s">
        <v>3027</v>
      </c>
      <c r="C1534" s="44">
        <v>2032</v>
      </c>
      <c r="D1534" s="45" t="s">
        <v>339</v>
      </c>
    </row>
    <row r="1535" spans="2:4">
      <c r="B1535" s="43" t="s">
        <v>3028</v>
      </c>
      <c r="C1535" s="44">
        <v>2033</v>
      </c>
      <c r="D1535" s="45" t="s">
        <v>339</v>
      </c>
    </row>
    <row r="1536" spans="2:4">
      <c r="B1536" s="43" t="s">
        <v>3029</v>
      </c>
      <c r="C1536" s="44">
        <v>2034</v>
      </c>
      <c r="D1536" s="45" t="s">
        <v>339</v>
      </c>
    </row>
    <row r="1537" spans="2:4">
      <c r="B1537" s="43" t="s">
        <v>3030</v>
      </c>
      <c r="C1537" s="44">
        <v>2035</v>
      </c>
      <c r="D1537" s="45" t="s">
        <v>339</v>
      </c>
    </row>
    <row r="1538" spans="2:4">
      <c r="B1538" s="43" t="s">
        <v>3031</v>
      </c>
      <c r="C1538" s="44">
        <v>2036</v>
      </c>
      <c r="D1538" s="45" t="s">
        <v>339</v>
      </c>
    </row>
    <row r="1539" spans="2:4">
      <c r="B1539" s="43" t="s">
        <v>3032</v>
      </c>
      <c r="C1539" s="44">
        <v>2037</v>
      </c>
      <c r="D1539" s="45" t="s">
        <v>339</v>
      </c>
    </row>
    <row r="1540" spans="2:4">
      <c r="B1540" s="43" t="s">
        <v>3033</v>
      </c>
      <c r="C1540" s="44">
        <v>2038</v>
      </c>
      <c r="D1540" s="45" t="s">
        <v>339</v>
      </c>
    </row>
    <row r="1541" spans="2:4">
      <c r="B1541" s="43" t="s">
        <v>3034</v>
      </c>
      <c r="C1541" s="44">
        <v>2039</v>
      </c>
      <c r="D1541" s="45" t="s">
        <v>339</v>
      </c>
    </row>
    <row r="1542" spans="2:4">
      <c r="B1542" s="43" t="s">
        <v>3035</v>
      </c>
      <c r="C1542" s="44">
        <v>2040</v>
      </c>
      <c r="D1542" s="45" t="s">
        <v>339</v>
      </c>
    </row>
    <row r="1543" spans="2:4">
      <c r="B1543" s="43" t="s">
        <v>3036</v>
      </c>
      <c r="C1543" s="44">
        <v>2041</v>
      </c>
      <c r="D1543" s="45" t="s">
        <v>339</v>
      </c>
    </row>
    <row r="1544" spans="2:4">
      <c r="B1544" s="43" t="s">
        <v>3037</v>
      </c>
      <c r="C1544" s="44">
        <v>2042</v>
      </c>
      <c r="D1544" s="45" t="s">
        <v>339</v>
      </c>
    </row>
    <row r="1545" spans="2:4">
      <c r="B1545" s="43" t="s">
        <v>3038</v>
      </c>
      <c r="C1545" s="44">
        <v>2043</v>
      </c>
      <c r="D1545" s="45" t="s">
        <v>339</v>
      </c>
    </row>
    <row r="1546" spans="2:4">
      <c r="B1546" s="43" t="s">
        <v>1630</v>
      </c>
      <c r="C1546" s="44">
        <v>2044</v>
      </c>
      <c r="D1546" s="45" t="s">
        <v>339</v>
      </c>
    </row>
    <row r="1547" spans="2:4">
      <c r="B1547" s="43" t="s">
        <v>1632</v>
      </c>
      <c r="C1547" s="44">
        <v>2045</v>
      </c>
      <c r="D1547" s="45" t="s">
        <v>339</v>
      </c>
    </row>
    <row r="1548" spans="2:4">
      <c r="B1548" s="43" t="s">
        <v>3039</v>
      </c>
      <c r="C1548" s="44">
        <v>2046</v>
      </c>
      <c r="D1548" s="45" t="s">
        <v>339</v>
      </c>
    </row>
    <row r="1549" spans="2:4">
      <c r="B1549" s="43" t="s">
        <v>3040</v>
      </c>
      <c r="C1549" s="44">
        <v>2047</v>
      </c>
      <c r="D1549" s="45" t="s">
        <v>339</v>
      </c>
    </row>
    <row r="1550" spans="2:4">
      <c r="B1550" s="43" t="s">
        <v>3041</v>
      </c>
      <c r="C1550" s="44">
        <v>2048</v>
      </c>
      <c r="D1550" s="45" t="s">
        <v>339</v>
      </c>
    </row>
    <row r="1551" spans="2:4">
      <c r="B1551" s="43" t="s">
        <v>3042</v>
      </c>
      <c r="C1551" s="44">
        <v>2049</v>
      </c>
      <c r="D1551" s="45" t="s">
        <v>339</v>
      </c>
    </row>
    <row r="1552" spans="2:4">
      <c r="B1552" s="43" t="s">
        <v>3043</v>
      </c>
      <c r="C1552" s="44">
        <v>2050</v>
      </c>
      <c r="D1552" s="45" t="s">
        <v>339</v>
      </c>
    </row>
    <row r="1553" spans="2:4">
      <c r="B1553" s="43" t="s">
        <v>3044</v>
      </c>
      <c r="C1553" s="44">
        <v>2051</v>
      </c>
      <c r="D1553" s="45" t="s">
        <v>339</v>
      </c>
    </row>
    <row r="1554" spans="2:4">
      <c r="B1554" s="43" t="s">
        <v>3045</v>
      </c>
      <c r="C1554" s="44">
        <v>2052</v>
      </c>
      <c r="D1554" s="45" t="s">
        <v>339</v>
      </c>
    </row>
    <row r="1555" spans="2:4">
      <c r="B1555" s="43" t="s">
        <v>3046</v>
      </c>
      <c r="C1555" s="44">
        <v>2053</v>
      </c>
      <c r="D1555" s="45" t="s">
        <v>339</v>
      </c>
    </row>
    <row r="1556" spans="2:4">
      <c r="B1556" s="43" t="s">
        <v>3047</v>
      </c>
      <c r="C1556" s="44">
        <v>2054</v>
      </c>
      <c r="D1556" s="45" t="s">
        <v>339</v>
      </c>
    </row>
    <row r="1557" spans="2:4">
      <c r="B1557" s="43" t="s">
        <v>3048</v>
      </c>
      <c r="C1557" s="44">
        <v>2055</v>
      </c>
      <c r="D1557" s="45" t="s">
        <v>339</v>
      </c>
    </row>
    <row r="1558" spans="2:4">
      <c r="B1558" s="43" t="s">
        <v>3049</v>
      </c>
      <c r="C1558" s="44">
        <v>2056</v>
      </c>
      <c r="D1558" s="45" t="s">
        <v>339</v>
      </c>
    </row>
    <row r="1559" spans="2:4">
      <c r="B1559" s="43" t="s">
        <v>3050</v>
      </c>
      <c r="C1559" s="44">
        <v>2057</v>
      </c>
      <c r="D1559" s="45" t="s">
        <v>339</v>
      </c>
    </row>
    <row r="1560" spans="2:4">
      <c r="B1560" s="43" t="s">
        <v>3051</v>
      </c>
      <c r="C1560" s="44">
        <v>2058</v>
      </c>
      <c r="D1560" s="45" t="s">
        <v>339</v>
      </c>
    </row>
    <row r="1561" spans="2:4">
      <c r="B1561" s="43" t="s">
        <v>3052</v>
      </c>
      <c r="C1561" s="44">
        <v>2059</v>
      </c>
      <c r="D1561" s="45" t="s">
        <v>339</v>
      </c>
    </row>
    <row r="1562" spans="2:4">
      <c r="B1562" s="43" t="s">
        <v>3053</v>
      </c>
      <c r="C1562" s="44">
        <v>2060</v>
      </c>
      <c r="D1562" s="45" t="s">
        <v>339</v>
      </c>
    </row>
    <row r="1563" spans="2:4">
      <c r="B1563" s="43" t="s">
        <v>1851</v>
      </c>
      <c r="C1563" s="44">
        <v>2061</v>
      </c>
      <c r="D1563" s="45" t="s">
        <v>339</v>
      </c>
    </row>
    <row r="1564" spans="2:4">
      <c r="B1564" s="43" t="s">
        <v>3054</v>
      </c>
      <c r="C1564" s="44">
        <v>2062</v>
      </c>
      <c r="D1564" s="45" t="s">
        <v>339</v>
      </c>
    </row>
    <row r="1565" spans="2:4">
      <c r="B1565" s="43" t="s">
        <v>3055</v>
      </c>
      <c r="C1565" s="44">
        <v>2063</v>
      </c>
      <c r="D1565" s="45" t="s">
        <v>339</v>
      </c>
    </row>
    <row r="1566" spans="2:4">
      <c r="B1566" s="43" t="s">
        <v>3056</v>
      </c>
      <c r="C1566" s="44">
        <v>2064</v>
      </c>
      <c r="D1566" s="45" t="s">
        <v>339</v>
      </c>
    </row>
    <row r="1567" spans="2:4">
      <c r="B1567" s="43" t="s">
        <v>3057</v>
      </c>
      <c r="C1567" s="44">
        <v>2065</v>
      </c>
      <c r="D1567" s="45" t="s">
        <v>339</v>
      </c>
    </row>
    <row r="1568" spans="2:4">
      <c r="B1568" s="43" t="s">
        <v>3058</v>
      </c>
      <c r="C1568" s="44">
        <v>2067</v>
      </c>
      <c r="D1568" s="45" t="s">
        <v>339</v>
      </c>
    </row>
    <row r="1569" spans="2:4">
      <c r="B1569" s="43" t="s">
        <v>3059</v>
      </c>
      <c r="C1569" s="44">
        <v>2068</v>
      </c>
      <c r="D1569" s="45" t="s">
        <v>339</v>
      </c>
    </row>
    <row r="1570" spans="2:4">
      <c r="B1570" s="43" t="s">
        <v>3060</v>
      </c>
      <c r="C1570" s="44">
        <v>2069</v>
      </c>
      <c r="D1570" s="45" t="s">
        <v>339</v>
      </c>
    </row>
    <row r="1571" spans="2:4">
      <c r="B1571" s="43" t="s">
        <v>3061</v>
      </c>
      <c r="C1571" s="44">
        <v>2070</v>
      </c>
      <c r="D1571" s="45" t="s">
        <v>339</v>
      </c>
    </row>
    <row r="1572" spans="2:4">
      <c r="B1572" s="43" t="s">
        <v>3062</v>
      </c>
      <c r="C1572" s="44">
        <v>2071</v>
      </c>
      <c r="D1572" s="45" t="s">
        <v>339</v>
      </c>
    </row>
    <row r="1573" spans="2:4">
      <c r="B1573" s="43" t="s">
        <v>3063</v>
      </c>
      <c r="C1573" s="44">
        <v>2072</v>
      </c>
      <c r="D1573" s="45" t="s">
        <v>339</v>
      </c>
    </row>
    <row r="1574" spans="2:4">
      <c r="B1574" s="43" t="s">
        <v>3064</v>
      </c>
      <c r="C1574" s="44">
        <v>2073</v>
      </c>
      <c r="D1574" s="45" t="s">
        <v>339</v>
      </c>
    </row>
    <row r="1575" spans="2:4">
      <c r="B1575" s="43" t="s">
        <v>3065</v>
      </c>
      <c r="C1575" s="44">
        <v>2074</v>
      </c>
      <c r="D1575" s="45" t="s">
        <v>339</v>
      </c>
    </row>
    <row r="1576" spans="2:4">
      <c r="B1576" s="43" t="s">
        <v>3066</v>
      </c>
      <c r="C1576" s="44">
        <v>2075</v>
      </c>
      <c r="D1576" s="45" t="s">
        <v>339</v>
      </c>
    </row>
    <row r="1577" spans="2:4">
      <c r="B1577" s="43" t="s">
        <v>3067</v>
      </c>
      <c r="C1577" s="44">
        <v>2076</v>
      </c>
      <c r="D1577" s="45" t="s">
        <v>339</v>
      </c>
    </row>
    <row r="1578" spans="2:4">
      <c r="B1578" s="43" t="s">
        <v>3068</v>
      </c>
      <c r="C1578" s="44">
        <v>2077</v>
      </c>
      <c r="D1578" s="45" t="s">
        <v>339</v>
      </c>
    </row>
    <row r="1579" spans="2:4">
      <c r="B1579" s="43" t="s">
        <v>3069</v>
      </c>
      <c r="C1579" s="44">
        <v>2078</v>
      </c>
      <c r="D1579" s="45" t="s">
        <v>339</v>
      </c>
    </row>
    <row r="1580" spans="2:4">
      <c r="B1580" s="43" t="s">
        <v>3070</v>
      </c>
      <c r="C1580" s="44">
        <v>2079</v>
      </c>
      <c r="D1580" s="45" t="s">
        <v>339</v>
      </c>
    </row>
    <row r="1581" spans="2:4">
      <c r="B1581" s="43" t="s">
        <v>3071</v>
      </c>
      <c r="C1581" s="44">
        <v>2080</v>
      </c>
      <c r="D1581" s="45" t="s">
        <v>339</v>
      </c>
    </row>
    <row r="1582" spans="2:4">
      <c r="B1582" s="43" t="s">
        <v>3072</v>
      </c>
      <c r="C1582" s="44">
        <v>2081</v>
      </c>
      <c r="D1582" s="45" t="s">
        <v>339</v>
      </c>
    </row>
    <row r="1583" spans="2:4">
      <c r="B1583" s="43" t="s">
        <v>3073</v>
      </c>
      <c r="C1583" s="44">
        <v>2082</v>
      </c>
      <c r="D1583" s="45" t="s">
        <v>339</v>
      </c>
    </row>
    <row r="1584" spans="2:4">
      <c r="B1584" s="43" t="s">
        <v>3074</v>
      </c>
      <c r="C1584" s="44">
        <v>2083</v>
      </c>
      <c r="D1584" s="45" t="s">
        <v>339</v>
      </c>
    </row>
    <row r="1585" spans="2:4">
      <c r="B1585" s="43" t="s">
        <v>3075</v>
      </c>
      <c r="C1585" s="44">
        <v>2090</v>
      </c>
      <c r="D1585" s="45" t="s">
        <v>339</v>
      </c>
    </row>
    <row r="1586" spans="2:4">
      <c r="B1586" s="43" t="s">
        <v>3076</v>
      </c>
      <c r="C1586" s="44">
        <v>2091</v>
      </c>
      <c r="D1586" s="45" t="s">
        <v>339</v>
      </c>
    </row>
    <row r="1587" spans="2:4">
      <c r="B1587" s="43" t="s">
        <v>545</v>
      </c>
      <c r="C1587" s="44">
        <v>2100</v>
      </c>
      <c r="D1587" s="45" t="s">
        <v>339</v>
      </c>
    </row>
    <row r="1588" spans="2:4">
      <c r="B1588" s="43" t="s">
        <v>3077</v>
      </c>
      <c r="C1588" s="44">
        <v>2201</v>
      </c>
      <c r="D1588" s="45" t="s">
        <v>339</v>
      </c>
    </row>
    <row r="1589" spans="2:4">
      <c r="B1589" s="43" t="s">
        <v>3078</v>
      </c>
      <c r="C1589" s="44">
        <v>2202</v>
      </c>
      <c r="D1589" s="45" t="s">
        <v>339</v>
      </c>
    </row>
    <row r="1590" spans="2:4">
      <c r="B1590" s="43" t="s">
        <v>3079</v>
      </c>
      <c r="C1590" s="44">
        <v>2203</v>
      </c>
      <c r="D1590" s="45" t="s">
        <v>339</v>
      </c>
    </row>
    <row r="1591" spans="2:4">
      <c r="B1591" s="43" t="s">
        <v>3080</v>
      </c>
      <c r="C1591" s="44">
        <v>2204</v>
      </c>
      <c r="D1591" s="45" t="s">
        <v>339</v>
      </c>
    </row>
    <row r="1592" spans="2:4">
      <c r="B1592" s="43" t="s">
        <v>3081</v>
      </c>
      <c r="C1592" s="44">
        <v>2205</v>
      </c>
      <c r="D1592" s="45" t="s">
        <v>339</v>
      </c>
    </row>
    <row r="1593" spans="2:4">
      <c r="B1593" s="43" t="s">
        <v>3082</v>
      </c>
      <c r="C1593" s="44">
        <v>2206</v>
      </c>
      <c r="D1593" s="45" t="s">
        <v>339</v>
      </c>
    </row>
    <row r="1594" spans="2:4">
      <c r="B1594" s="43" t="s">
        <v>3083</v>
      </c>
      <c r="C1594" s="44">
        <v>2207</v>
      </c>
      <c r="D1594" s="45" t="s">
        <v>339</v>
      </c>
    </row>
    <row r="1595" spans="2:4">
      <c r="B1595" s="43" t="s">
        <v>3084</v>
      </c>
      <c r="C1595" s="44">
        <v>2208</v>
      </c>
      <c r="D1595" s="45" t="s">
        <v>339</v>
      </c>
    </row>
    <row r="1596" spans="2:4">
      <c r="B1596" s="43" t="s">
        <v>3085</v>
      </c>
      <c r="C1596" s="44">
        <v>2209</v>
      </c>
      <c r="D1596" s="45" t="s">
        <v>339</v>
      </c>
    </row>
    <row r="1597" spans="2:4">
      <c r="B1597" s="43" t="s">
        <v>3086</v>
      </c>
      <c r="C1597" s="44">
        <v>2210</v>
      </c>
      <c r="D1597" s="45" t="s">
        <v>339</v>
      </c>
    </row>
    <row r="1598" spans="2:4">
      <c r="B1598" s="43" t="s">
        <v>3087</v>
      </c>
      <c r="C1598" s="44">
        <v>2211</v>
      </c>
      <c r="D1598" s="45" t="s">
        <v>339</v>
      </c>
    </row>
    <row r="1599" spans="2:4">
      <c r="B1599" s="43" t="s">
        <v>3088</v>
      </c>
      <c r="C1599" s="44">
        <v>2212</v>
      </c>
      <c r="D1599" s="45" t="s">
        <v>339</v>
      </c>
    </row>
    <row r="1600" spans="2:4">
      <c r="B1600" s="43" t="s">
        <v>3089</v>
      </c>
      <c r="C1600" s="44">
        <v>2213</v>
      </c>
      <c r="D1600" s="45" t="s">
        <v>339</v>
      </c>
    </row>
    <row r="1601" spans="2:4">
      <c r="B1601" s="43" t="s">
        <v>3090</v>
      </c>
      <c r="C1601" s="44">
        <v>2214</v>
      </c>
      <c r="D1601" s="45" t="s">
        <v>339</v>
      </c>
    </row>
    <row r="1602" spans="2:4">
      <c r="B1602" s="43" t="s">
        <v>3091</v>
      </c>
      <c r="C1602" s="44">
        <v>2215</v>
      </c>
      <c r="D1602" s="45" t="s">
        <v>339</v>
      </c>
    </row>
    <row r="1603" spans="2:4">
      <c r="B1603" s="43" t="s">
        <v>3092</v>
      </c>
      <c r="C1603" s="44">
        <v>2216</v>
      </c>
      <c r="D1603" s="45" t="s">
        <v>339</v>
      </c>
    </row>
    <row r="1604" spans="2:4">
      <c r="B1604" s="43" t="s">
        <v>3093</v>
      </c>
      <c r="C1604" s="44">
        <v>2217</v>
      </c>
      <c r="D1604" s="45" t="s">
        <v>339</v>
      </c>
    </row>
    <row r="1605" spans="2:4">
      <c r="B1605" s="43" t="s">
        <v>3094</v>
      </c>
      <c r="C1605" s="44">
        <v>2218</v>
      </c>
      <c r="D1605" s="45" t="s">
        <v>339</v>
      </c>
    </row>
    <row r="1606" spans="2:4">
      <c r="B1606" s="43" t="s">
        <v>3095</v>
      </c>
      <c r="C1606" s="44">
        <v>2219</v>
      </c>
      <c r="D1606" s="45" t="s">
        <v>339</v>
      </c>
    </row>
    <row r="1607" spans="2:4">
      <c r="B1607" s="43" t="s">
        <v>3096</v>
      </c>
      <c r="C1607" s="44">
        <v>2220</v>
      </c>
      <c r="D1607" s="45" t="s">
        <v>339</v>
      </c>
    </row>
    <row r="1608" spans="2:4">
      <c r="B1608" s="43" t="s">
        <v>3097</v>
      </c>
      <c r="C1608" s="44">
        <v>2221</v>
      </c>
      <c r="D1608" s="45" t="s">
        <v>339</v>
      </c>
    </row>
    <row r="1609" spans="2:4">
      <c r="B1609" s="43" t="s">
        <v>3098</v>
      </c>
      <c r="C1609" s="44">
        <v>2222</v>
      </c>
      <c r="D1609" s="45" t="s">
        <v>339</v>
      </c>
    </row>
    <row r="1610" spans="2:4">
      <c r="B1610" s="43" t="s">
        <v>3099</v>
      </c>
      <c r="C1610" s="44">
        <v>2223</v>
      </c>
      <c r="D1610" s="45" t="s">
        <v>339</v>
      </c>
    </row>
    <row r="1611" spans="2:4">
      <c r="B1611" s="43" t="s">
        <v>3100</v>
      </c>
      <c r="C1611" s="44">
        <v>2224</v>
      </c>
      <c r="D1611" s="45" t="s">
        <v>339</v>
      </c>
    </row>
    <row r="1612" spans="2:4">
      <c r="B1612" s="43" t="s">
        <v>3101</v>
      </c>
      <c r="C1612" s="44">
        <v>2225</v>
      </c>
      <c r="D1612" s="45" t="s">
        <v>339</v>
      </c>
    </row>
    <row r="1613" spans="2:4">
      <c r="B1613" s="43" t="s">
        <v>3102</v>
      </c>
      <c r="C1613" s="44">
        <v>2226</v>
      </c>
      <c r="D1613" s="45" t="s">
        <v>339</v>
      </c>
    </row>
    <row r="1614" spans="2:4">
      <c r="B1614" s="43" t="s">
        <v>3103</v>
      </c>
      <c r="C1614" s="44">
        <v>2227</v>
      </c>
      <c r="D1614" s="45" t="s">
        <v>339</v>
      </c>
    </row>
    <row r="1615" spans="2:4">
      <c r="B1615" s="43" t="s">
        <v>3104</v>
      </c>
      <c r="C1615" s="44">
        <v>2228</v>
      </c>
      <c r="D1615" s="45" t="s">
        <v>339</v>
      </c>
    </row>
    <row r="1616" spans="2:4">
      <c r="B1616" s="43" t="s">
        <v>3105</v>
      </c>
      <c r="C1616" s="44">
        <v>2229</v>
      </c>
      <c r="D1616" s="45" t="s">
        <v>339</v>
      </c>
    </row>
    <row r="1617" spans="2:4">
      <c r="B1617" s="43" t="s">
        <v>3106</v>
      </c>
      <c r="C1617" s="44">
        <v>2230</v>
      </c>
      <c r="D1617" s="45" t="s">
        <v>339</v>
      </c>
    </row>
    <row r="1618" spans="2:4">
      <c r="B1618" s="43" t="s">
        <v>3107</v>
      </c>
      <c r="C1618" s="44">
        <v>2231</v>
      </c>
      <c r="D1618" s="45" t="s">
        <v>339</v>
      </c>
    </row>
    <row r="1619" spans="2:4">
      <c r="B1619" s="43" t="s">
        <v>3108</v>
      </c>
      <c r="C1619" s="44">
        <v>2232</v>
      </c>
      <c r="D1619" s="45" t="s">
        <v>339</v>
      </c>
    </row>
    <row r="1620" spans="2:4">
      <c r="B1620" s="43" t="s">
        <v>3109</v>
      </c>
      <c r="C1620" s="44">
        <v>2233</v>
      </c>
      <c r="D1620" s="45" t="s">
        <v>339</v>
      </c>
    </row>
    <row r="1621" spans="2:4">
      <c r="B1621" s="43" t="s">
        <v>3110</v>
      </c>
      <c r="C1621" s="44">
        <v>2234</v>
      </c>
      <c r="D1621" s="45" t="s">
        <v>339</v>
      </c>
    </row>
    <row r="1622" spans="2:4">
      <c r="B1622" s="43" t="s">
        <v>3111</v>
      </c>
      <c r="C1622" s="44">
        <v>2235</v>
      </c>
      <c r="D1622" s="45" t="s">
        <v>339</v>
      </c>
    </row>
    <row r="1623" spans="2:4">
      <c r="B1623" s="43" t="s">
        <v>3112</v>
      </c>
      <c r="C1623" s="44">
        <v>2236</v>
      </c>
      <c r="D1623" s="45" t="s">
        <v>339</v>
      </c>
    </row>
    <row r="1624" spans="2:4">
      <c r="B1624" s="43" t="s">
        <v>3113</v>
      </c>
      <c r="C1624" s="44">
        <v>2237</v>
      </c>
      <c r="D1624" s="45" t="s">
        <v>339</v>
      </c>
    </row>
    <row r="1625" spans="2:4">
      <c r="B1625" s="43" t="s">
        <v>3114</v>
      </c>
      <c r="C1625" s="44">
        <v>2238</v>
      </c>
      <c r="D1625" s="45" t="s">
        <v>339</v>
      </c>
    </row>
    <row r="1626" spans="2:4">
      <c r="B1626" s="43" t="s">
        <v>3115</v>
      </c>
      <c r="C1626" s="44">
        <v>2239</v>
      </c>
      <c r="D1626" s="45" t="s">
        <v>339</v>
      </c>
    </row>
    <row r="1627" spans="2:4">
      <c r="B1627" s="43" t="s">
        <v>3116</v>
      </c>
      <c r="C1627" s="44">
        <v>2240</v>
      </c>
      <c r="D1627" s="45" t="s">
        <v>339</v>
      </c>
    </row>
    <row r="1628" spans="2:4">
      <c r="B1628" s="43" t="s">
        <v>3117</v>
      </c>
      <c r="C1628" s="44">
        <v>2241</v>
      </c>
      <c r="D1628" s="45" t="s">
        <v>339</v>
      </c>
    </row>
    <row r="1629" spans="2:4">
      <c r="B1629" s="43" t="s">
        <v>3118</v>
      </c>
      <c r="C1629" s="44">
        <v>2242</v>
      </c>
      <c r="D1629" s="45" t="s">
        <v>339</v>
      </c>
    </row>
    <row r="1630" spans="2:4">
      <c r="B1630" s="43" t="s">
        <v>3119</v>
      </c>
      <c r="C1630" s="44">
        <v>2243</v>
      </c>
      <c r="D1630" s="45" t="s">
        <v>339</v>
      </c>
    </row>
    <row r="1631" spans="2:4">
      <c r="B1631" s="43" t="s">
        <v>3120</v>
      </c>
      <c r="C1631" s="44">
        <v>2244</v>
      </c>
      <c r="D1631" s="45" t="s">
        <v>339</v>
      </c>
    </row>
    <row r="1632" spans="2:4">
      <c r="B1632" s="43" t="s">
        <v>3121</v>
      </c>
      <c r="C1632" s="44">
        <v>2245</v>
      </c>
      <c r="D1632" s="45" t="s">
        <v>339</v>
      </c>
    </row>
    <row r="1633" spans="2:4">
      <c r="B1633" s="43" t="s">
        <v>3122</v>
      </c>
      <c r="C1633" s="44">
        <v>2246</v>
      </c>
      <c r="D1633" s="45" t="s">
        <v>339</v>
      </c>
    </row>
    <row r="1634" spans="2:4">
      <c r="B1634" s="43" t="s">
        <v>3123</v>
      </c>
      <c r="C1634" s="44">
        <v>2247</v>
      </c>
      <c r="D1634" s="45" t="s">
        <v>339</v>
      </c>
    </row>
    <row r="1635" spans="2:4">
      <c r="B1635" s="43" t="s">
        <v>3124</v>
      </c>
      <c r="C1635" s="44">
        <v>2248</v>
      </c>
      <c r="D1635" s="45" t="s">
        <v>339</v>
      </c>
    </row>
    <row r="1636" spans="2:4">
      <c r="B1636" s="43" t="s">
        <v>3125</v>
      </c>
      <c r="C1636" s="44">
        <v>2249</v>
      </c>
      <c r="D1636" s="45" t="s">
        <v>339</v>
      </c>
    </row>
    <row r="1637" spans="2:4">
      <c r="B1637" s="43" t="s">
        <v>3126</v>
      </c>
      <c r="C1637" s="44">
        <v>2250</v>
      </c>
      <c r="D1637" s="45" t="s">
        <v>339</v>
      </c>
    </row>
    <row r="1638" spans="2:4">
      <c r="B1638" s="43" t="s">
        <v>3127</v>
      </c>
      <c r="C1638" s="44">
        <v>2251</v>
      </c>
      <c r="D1638" s="45" t="s">
        <v>339</v>
      </c>
    </row>
    <row r="1639" spans="2:4">
      <c r="B1639" s="43" t="s">
        <v>3128</v>
      </c>
      <c r="C1639" s="44">
        <v>2252</v>
      </c>
      <c r="D1639" s="45" t="s">
        <v>339</v>
      </c>
    </row>
    <row r="1640" spans="2:4">
      <c r="B1640" s="43" t="s">
        <v>3129</v>
      </c>
      <c r="C1640" s="44">
        <v>2253</v>
      </c>
      <c r="D1640" s="45" t="s">
        <v>339</v>
      </c>
    </row>
    <row r="1641" spans="2:4">
      <c r="B1641" s="43" t="s">
        <v>3130</v>
      </c>
      <c r="C1641" s="44">
        <v>2254</v>
      </c>
      <c r="D1641" s="45" t="s">
        <v>339</v>
      </c>
    </row>
    <row r="1642" spans="2:4">
      <c r="B1642" s="43" t="s">
        <v>3131</v>
      </c>
      <c r="C1642" s="44">
        <v>2255</v>
      </c>
      <c r="D1642" s="45" t="s">
        <v>339</v>
      </c>
    </row>
    <row r="1643" spans="2:4">
      <c r="B1643" s="43" t="s">
        <v>3132</v>
      </c>
      <c r="C1643" s="44">
        <v>2256</v>
      </c>
      <c r="D1643" s="45" t="s">
        <v>339</v>
      </c>
    </row>
    <row r="1644" spans="2:4">
      <c r="B1644" s="43" t="s">
        <v>996</v>
      </c>
      <c r="C1644" s="44">
        <v>2300</v>
      </c>
      <c r="D1644" s="45" t="s">
        <v>339</v>
      </c>
    </row>
    <row r="1645" spans="2:4">
      <c r="B1645" s="43" t="s">
        <v>998</v>
      </c>
      <c r="C1645" s="44">
        <v>2301</v>
      </c>
      <c r="D1645" s="45" t="s">
        <v>339</v>
      </c>
    </row>
    <row r="1646" spans="2:4">
      <c r="B1646" s="43" t="s">
        <v>1000</v>
      </c>
      <c r="C1646" s="44">
        <v>2302</v>
      </c>
      <c r="D1646" s="45" t="s">
        <v>339</v>
      </c>
    </row>
    <row r="1647" spans="2:4">
      <c r="B1647" s="43" t="s">
        <v>1002</v>
      </c>
      <c r="C1647" s="44">
        <v>2303</v>
      </c>
      <c r="D1647" s="45" t="s">
        <v>339</v>
      </c>
    </row>
    <row r="1648" spans="2:4">
      <c r="B1648" s="43" t="s">
        <v>1560</v>
      </c>
      <c r="C1648" s="44">
        <v>2304</v>
      </c>
      <c r="D1648" s="45" t="s">
        <v>339</v>
      </c>
    </row>
    <row r="1649" spans="2:4">
      <c r="B1649" s="43" t="s">
        <v>1563</v>
      </c>
      <c r="C1649" s="44">
        <v>2305</v>
      </c>
      <c r="D1649" s="45" t="s">
        <v>339</v>
      </c>
    </row>
    <row r="1650" spans="2:4">
      <c r="B1650" s="43" t="s">
        <v>1009</v>
      </c>
      <c r="C1650" s="44">
        <v>2306</v>
      </c>
      <c r="D1650" s="45" t="s">
        <v>339</v>
      </c>
    </row>
    <row r="1651" spans="2:4">
      <c r="B1651" s="43" t="s">
        <v>3133</v>
      </c>
      <c r="C1651" s="44">
        <v>2307</v>
      </c>
      <c r="D1651" s="45" t="s">
        <v>339</v>
      </c>
    </row>
    <row r="1652" spans="2:4">
      <c r="B1652" s="43" t="s">
        <v>3134</v>
      </c>
      <c r="C1652" s="44">
        <v>2308</v>
      </c>
      <c r="D1652" s="45" t="s">
        <v>339</v>
      </c>
    </row>
    <row r="1653" spans="2:4">
      <c r="B1653" s="43" t="s">
        <v>729</v>
      </c>
      <c r="C1653" s="44">
        <v>2309</v>
      </c>
      <c r="D1653" s="45" t="s">
        <v>339</v>
      </c>
    </row>
    <row r="1654" spans="2:4">
      <c r="B1654" s="43" t="s">
        <v>1108</v>
      </c>
      <c r="C1654" s="44">
        <v>2310</v>
      </c>
      <c r="D1654" s="45" t="s">
        <v>339</v>
      </c>
    </row>
    <row r="1655" spans="2:4">
      <c r="B1655" s="43" t="s">
        <v>1571</v>
      </c>
      <c r="C1655" s="44">
        <v>2311</v>
      </c>
      <c r="D1655" s="45" t="s">
        <v>339</v>
      </c>
    </row>
    <row r="1656" spans="2:4">
      <c r="B1656" s="43" t="s">
        <v>3135</v>
      </c>
      <c r="C1656" s="44">
        <v>2312</v>
      </c>
      <c r="D1656" s="45" t="s">
        <v>339</v>
      </c>
    </row>
    <row r="1657" spans="2:4">
      <c r="B1657" s="43" t="s">
        <v>3136</v>
      </c>
      <c r="C1657" s="44">
        <v>2313</v>
      </c>
      <c r="D1657" s="45" t="s">
        <v>339</v>
      </c>
    </row>
    <row r="1658" spans="2:4">
      <c r="B1658" s="43" t="s">
        <v>1019</v>
      </c>
      <c r="C1658" s="44">
        <v>2314</v>
      </c>
      <c r="D1658" s="45" t="s">
        <v>339</v>
      </c>
    </row>
    <row r="1659" spans="2:4">
      <c r="B1659" s="43" t="s">
        <v>3137</v>
      </c>
      <c r="C1659" s="44">
        <v>2315</v>
      </c>
      <c r="D1659" s="45" t="s">
        <v>339</v>
      </c>
    </row>
    <row r="1660" spans="2:4">
      <c r="B1660" s="43" t="s">
        <v>3138</v>
      </c>
      <c r="C1660" s="44">
        <v>2316</v>
      </c>
      <c r="D1660" s="45" t="s">
        <v>339</v>
      </c>
    </row>
    <row r="1661" spans="2:4">
      <c r="B1661" s="43" t="s">
        <v>3139</v>
      </c>
      <c r="C1661" s="44">
        <v>2317</v>
      </c>
      <c r="D1661" s="45" t="s">
        <v>339</v>
      </c>
    </row>
    <row r="1662" spans="2:4">
      <c r="B1662" s="43" t="s">
        <v>3140</v>
      </c>
      <c r="C1662" s="44">
        <v>2318</v>
      </c>
      <c r="D1662" s="45" t="s">
        <v>339</v>
      </c>
    </row>
    <row r="1663" spans="2:4">
      <c r="B1663" s="43" t="s">
        <v>3141</v>
      </c>
      <c r="C1663" s="44">
        <v>2319</v>
      </c>
      <c r="D1663" s="45" t="s">
        <v>339</v>
      </c>
    </row>
    <row r="1664" spans="2:4">
      <c r="B1664" s="43" t="s">
        <v>3142</v>
      </c>
      <c r="C1664" s="44">
        <v>2320</v>
      </c>
      <c r="D1664" s="45" t="s">
        <v>339</v>
      </c>
    </row>
    <row r="1665" spans="2:4">
      <c r="B1665" s="43" t="s">
        <v>3143</v>
      </c>
      <c r="C1665" s="44">
        <v>2321</v>
      </c>
      <c r="D1665" s="45" t="s">
        <v>339</v>
      </c>
    </row>
    <row r="1666" spans="2:4">
      <c r="B1666" s="43" t="s">
        <v>3144</v>
      </c>
      <c r="C1666" s="44">
        <v>2322</v>
      </c>
      <c r="D1666" s="45" t="s">
        <v>339</v>
      </c>
    </row>
    <row r="1667" spans="2:4">
      <c r="B1667" s="43" t="s">
        <v>3145</v>
      </c>
      <c r="C1667" s="44">
        <v>2323</v>
      </c>
      <c r="D1667" s="45" t="s">
        <v>339</v>
      </c>
    </row>
    <row r="1668" spans="2:4">
      <c r="B1668" s="43" t="s">
        <v>3146</v>
      </c>
      <c r="C1668" s="44">
        <v>2502</v>
      </c>
      <c r="D1668" s="45" t="s">
        <v>339</v>
      </c>
    </row>
    <row r="1669" spans="2:4">
      <c r="B1669" s="43" t="s">
        <v>3147</v>
      </c>
      <c r="C1669" s="44">
        <v>2503</v>
      </c>
      <c r="D1669" s="45" t="s">
        <v>339</v>
      </c>
    </row>
    <row r="1670" spans="2:4">
      <c r="B1670" s="43" t="s">
        <v>1735</v>
      </c>
      <c r="C1670" s="44">
        <v>2504</v>
      </c>
      <c r="D1670" s="45" t="s">
        <v>339</v>
      </c>
    </row>
    <row r="1671" spans="2:4">
      <c r="B1671" s="43" t="s">
        <v>1569</v>
      </c>
      <c r="C1671" s="44">
        <v>2505</v>
      </c>
      <c r="D1671" s="45" t="s">
        <v>339</v>
      </c>
    </row>
    <row r="1672" spans="2:4">
      <c r="B1672" s="43" t="s">
        <v>1792</v>
      </c>
      <c r="C1672" s="44">
        <v>2506</v>
      </c>
      <c r="D1672" s="45" t="s">
        <v>339</v>
      </c>
    </row>
    <row r="1673" spans="2:4">
      <c r="B1673" s="43" t="s">
        <v>3148</v>
      </c>
      <c r="C1673" s="44">
        <v>2507</v>
      </c>
      <c r="D1673" s="45" t="s">
        <v>339</v>
      </c>
    </row>
    <row r="1674" spans="2:4">
      <c r="B1674" s="43" t="s">
        <v>1256</v>
      </c>
      <c r="C1674" s="44">
        <v>2508</v>
      </c>
      <c r="D1674" s="45" t="s">
        <v>339</v>
      </c>
    </row>
    <row r="1675" spans="2:4">
      <c r="B1675" s="43" t="s">
        <v>3149</v>
      </c>
      <c r="C1675" s="44">
        <v>2509</v>
      </c>
      <c r="D1675" s="45" t="s">
        <v>339</v>
      </c>
    </row>
    <row r="1676" spans="2:4">
      <c r="B1676" s="43" t="s">
        <v>3150</v>
      </c>
      <c r="C1676" s="44">
        <v>2510</v>
      </c>
      <c r="D1676" s="45" t="s">
        <v>339</v>
      </c>
    </row>
    <row r="1677" spans="2:4">
      <c r="B1677" s="43" t="s">
        <v>1627</v>
      </c>
      <c r="C1677" s="44">
        <v>2514</v>
      </c>
      <c r="D1677" s="45" t="s">
        <v>339</v>
      </c>
    </row>
    <row r="1678" spans="2:4">
      <c r="B1678" s="43" t="s">
        <v>3151</v>
      </c>
      <c r="C1678" s="44">
        <v>2522</v>
      </c>
      <c r="D1678" s="45" t="s">
        <v>339</v>
      </c>
    </row>
    <row r="1679" spans="2:4">
      <c r="B1679" s="43" t="s">
        <v>3152</v>
      </c>
      <c r="C1679" s="44">
        <v>2523</v>
      </c>
      <c r="D1679" s="45" t="s">
        <v>339</v>
      </c>
    </row>
    <row r="1680" spans="2:4">
      <c r="B1680" s="43" t="s">
        <v>3153</v>
      </c>
      <c r="C1680" s="44">
        <v>2524</v>
      </c>
      <c r="D1680" s="45" t="s">
        <v>339</v>
      </c>
    </row>
    <row r="1681" spans="2:4">
      <c r="B1681" s="43" t="s">
        <v>3154</v>
      </c>
      <c r="C1681" s="44">
        <v>2525</v>
      </c>
      <c r="D1681" s="45" t="s">
        <v>339</v>
      </c>
    </row>
    <row r="1682" spans="2:4">
      <c r="B1682" s="43" t="s">
        <v>3155</v>
      </c>
      <c r="C1682" s="44">
        <v>2600</v>
      </c>
      <c r="D1682" s="45" t="s">
        <v>339</v>
      </c>
    </row>
    <row r="1683" spans="2:4">
      <c r="B1683" s="43" t="s">
        <v>1772</v>
      </c>
      <c r="C1683" s="44">
        <v>2704</v>
      </c>
      <c r="D1683" s="45" t="s">
        <v>339</v>
      </c>
    </row>
    <row r="1684" spans="2:4">
      <c r="B1684" s="43" t="s">
        <v>3156</v>
      </c>
      <c r="C1684" s="44">
        <v>3002</v>
      </c>
      <c r="D1684" s="45" t="s">
        <v>339</v>
      </c>
    </row>
    <row r="1685" spans="2:4">
      <c r="B1685" s="43" t="s">
        <v>3157</v>
      </c>
      <c r="C1685" s="44">
        <v>3004</v>
      </c>
      <c r="D1685" s="45" t="s">
        <v>339</v>
      </c>
    </row>
    <row r="1686" spans="2:4">
      <c r="B1686" s="43" t="s">
        <v>3158</v>
      </c>
      <c r="C1686" s="44">
        <v>3006</v>
      </c>
      <c r="D1686" s="45" t="s">
        <v>339</v>
      </c>
    </row>
    <row r="1687" spans="2:4">
      <c r="B1687" s="43" t="s">
        <v>3159</v>
      </c>
      <c r="C1687" s="44">
        <v>3007</v>
      </c>
      <c r="D1687" s="45" t="s">
        <v>339</v>
      </c>
    </row>
    <row r="1688" spans="2:4">
      <c r="B1688" s="43" t="s">
        <v>3160</v>
      </c>
      <c r="C1688" s="44">
        <v>3008</v>
      </c>
      <c r="D1688" s="45" t="s">
        <v>339</v>
      </c>
    </row>
    <row r="1689" spans="2:4">
      <c r="B1689" s="43" t="s">
        <v>3161</v>
      </c>
      <c r="C1689" s="44">
        <v>3009</v>
      </c>
      <c r="D1689" s="45" t="s">
        <v>339</v>
      </c>
    </row>
    <row r="1690" spans="2:4">
      <c r="B1690" s="43" t="s">
        <v>3162</v>
      </c>
      <c r="C1690" s="44">
        <v>3010</v>
      </c>
      <c r="D1690" s="45" t="s">
        <v>339</v>
      </c>
    </row>
    <row r="1691" spans="2:4">
      <c r="B1691" s="43" t="s">
        <v>3163</v>
      </c>
      <c r="C1691" s="44">
        <v>3011</v>
      </c>
      <c r="D1691" s="45" t="s">
        <v>339</v>
      </c>
    </row>
    <row r="1692" spans="2:4">
      <c r="B1692" s="43" t="s">
        <v>3164</v>
      </c>
      <c r="C1692" s="44">
        <v>3021</v>
      </c>
      <c r="D1692" s="45" t="s">
        <v>339</v>
      </c>
    </row>
    <row r="1693" spans="2:4">
      <c r="B1693" s="43" t="s">
        <v>1181</v>
      </c>
      <c r="C1693" s="44">
        <v>3022</v>
      </c>
      <c r="D1693" s="45" t="s">
        <v>339</v>
      </c>
    </row>
    <row r="1694" spans="2:4">
      <c r="B1694" s="43" t="s">
        <v>3165</v>
      </c>
      <c r="C1694" s="44">
        <v>3023</v>
      </c>
      <c r="D1694" s="45" t="s">
        <v>339</v>
      </c>
    </row>
    <row r="1695" spans="2:4">
      <c r="B1695" s="43" t="s">
        <v>3166</v>
      </c>
      <c r="C1695" s="44">
        <v>3024</v>
      </c>
      <c r="D1695" s="45" t="s">
        <v>339</v>
      </c>
    </row>
    <row r="1696" spans="2:4">
      <c r="B1696" s="43" t="s">
        <v>3167</v>
      </c>
      <c r="C1696" s="44">
        <v>3027</v>
      </c>
      <c r="D1696" s="45" t="s">
        <v>339</v>
      </c>
    </row>
    <row r="1697" spans="2:4">
      <c r="B1697" s="43" t="s">
        <v>3168</v>
      </c>
      <c r="C1697" s="44">
        <v>3028</v>
      </c>
      <c r="D1697" s="45" t="s">
        <v>339</v>
      </c>
    </row>
    <row r="1698" spans="2:4">
      <c r="B1698" s="43" t="s">
        <v>3169</v>
      </c>
      <c r="C1698" s="44">
        <v>3029</v>
      </c>
      <c r="D1698" s="45" t="s">
        <v>339</v>
      </c>
    </row>
    <row r="1699" spans="2:4">
      <c r="B1699" s="43" t="s">
        <v>3170</v>
      </c>
      <c r="C1699" s="44">
        <v>3030</v>
      </c>
      <c r="D1699" s="45" t="s">
        <v>339</v>
      </c>
    </row>
    <row r="1700" spans="2:4">
      <c r="B1700" s="43" t="s">
        <v>3171</v>
      </c>
      <c r="C1700" s="44">
        <v>3031</v>
      </c>
      <c r="D1700" s="45" t="s">
        <v>339</v>
      </c>
    </row>
    <row r="1701" spans="2:4">
      <c r="B1701" s="43" t="s">
        <v>3172</v>
      </c>
      <c r="C1701" s="44">
        <v>3032</v>
      </c>
      <c r="D1701" s="45" t="s">
        <v>339</v>
      </c>
    </row>
    <row r="1702" spans="2:4">
      <c r="B1702" s="43" t="s">
        <v>3173</v>
      </c>
      <c r="C1702" s="44">
        <v>3033</v>
      </c>
      <c r="D1702" s="45" t="s">
        <v>339</v>
      </c>
    </row>
    <row r="1703" spans="2:4">
      <c r="B1703" s="43" t="s">
        <v>3174</v>
      </c>
      <c r="C1703" s="44">
        <v>3034</v>
      </c>
      <c r="D1703" s="45" t="s">
        <v>339</v>
      </c>
    </row>
    <row r="1704" spans="2:4">
      <c r="B1704" s="43" t="s">
        <v>3175</v>
      </c>
      <c r="C1704" s="44">
        <v>3035</v>
      </c>
      <c r="D1704" s="45" t="s">
        <v>339</v>
      </c>
    </row>
    <row r="1705" spans="2:4">
      <c r="B1705" s="43" t="s">
        <v>3176</v>
      </c>
      <c r="C1705" s="44">
        <v>3036</v>
      </c>
      <c r="D1705" s="45" t="s">
        <v>339</v>
      </c>
    </row>
    <row r="1706" spans="2:4">
      <c r="B1706" s="43" t="s">
        <v>3177</v>
      </c>
      <c r="C1706" s="44">
        <v>3037</v>
      </c>
      <c r="D1706" s="45" t="s">
        <v>339</v>
      </c>
    </row>
    <row r="1707" spans="2:4">
      <c r="B1707" s="43" t="s">
        <v>3178</v>
      </c>
      <c r="C1707" s="44">
        <v>3038</v>
      </c>
      <c r="D1707" s="45" t="s">
        <v>339</v>
      </c>
    </row>
    <row r="1708" spans="2:4">
      <c r="B1708" s="43" t="s">
        <v>3179</v>
      </c>
      <c r="C1708" s="44">
        <v>3040</v>
      </c>
      <c r="D1708" s="45" t="s">
        <v>339</v>
      </c>
    </row>
    <row r="1709" spans="2:4">
      <c r="B1709" s="43" t="s">
        <v>3180</v>
      </c>
      <c r="C1709" s="44">
        <v>3041</v>
      </c>
      <c r="D1709" s="45" t="s">
        <v>339</v>
      </c>
    </row>
    <row r="1710" spans="2:4">
      <c r="B1710" s="43" t="s">
        <v>3181</v>
      </c>
      <c r="C1710" s="44">
        <v>3042</v>
      </c>
      <c r="D1710" s="45" t="s">
        <v>339</v>
      </c>
    </row>
    <row r="1711" spans="2:4">
      <c r="B1711" s="43" t="s">
        <v>3182</v>
      </c>
      <c r="C1711" s="44">
        <v>3043</v>
      </c>
      <c r="D1711" s="45" t="s">
        <v>339</v>
      </c>
    </row>
    <row r="1712" spans="2:4">
      <c r="B1712" s="43" t="s">
        <v>3183</v>
      </c>
      <c r="C1712" s="44">
        <v>3044</v>
      </c>
      <c r="D1712" s="45" t="s">
        <v>339</v>
      </c>
    </row>
    <row r="1713" spans="2:4">
      <c r="B1713" s="43" t="s">
        <v>3184</v>
      </c>
      <c r="C1713" s="44">
        <v>3045</v>
      </c>
      <c r="D1713" s="45" t="s">
        <v>339</v>
      </c>
    </row>
    <row r="1714" spans="2:4">
      <c r="B1714" s="43" t="s">
        <v>3185</v>
      </c>
      <c r="C1714" s="44">
        <v>3046</v>
      </c>
      <c r="D1714" s="45" t="s">
        <v>339</v>
      </c>
    </row>
    <row r="1715" spans="2:4">
      <c r="B1715" s="43" t="s">
        <v>3186</v>
      </c>
      <c r="C1715" s="44">
        <v>3047</v>
      </c>
      <c r="D1715" s="45" t="s">
        <v>339</v>
      </c>
    </row>
    <row r="1716" spans="2:4">
      <c r="B1716" s="43" t="s">
        <v>3187</v>
      </c>
      <c r="C1716" s="44">
        <v>3050</v>
      </c>
      <c r="D1716" s="45" t="s">
        <v>339</v>
      </c>
    </row>
    <row r="1717" spans="2:4">
      <c r="B1717" s="43" t="s">
        <v>3188</v>
      </c>
      <c r="C1717" s="44">
        <v>3051</v>
      </c>
      <c r="D1717" s="45" t="s">
        <v>339</v>
      </c>
    </row>
    <row r="1718" spans="2:4">
      <c r="B1718" s="43" t="s">
        <v>3189</v>
      </c>
      <c r="C1718" s="44">
        <v>3053</v>
      </c>
      <c r="D1718" s="45" t="s">
        <v>339</v>
      </c>
    </row>
    <row r="1719" spans="2:4">
      <c r="B1719" s="43" t="s">
        <v>3190</v>
      </c>
      <c r="C1719" s="44">
        <v>3054</v>
      </c>
      <c r="D1719" s="45" t="s">
        <v>339</v>
      </c>
    </row>
    <row r="1720" spans="2:4">
      <c r="B1720" s="43" t="s">
        <v>3191</v>
      </c>
      <c r="C1720" s="44">
        <v>3060</v>
      </c>
      <c r="D1720" s="45" t="s">
        <v>339</v>
      </c>
    </row>
    <row r="1721" spans="2:4">
      <c r="B1721" s="43" t="s">
        <v>3192</v>
      </c>
      <c r="C1721" s="44">
        <v>3061</v>
      </c>
      <c r="D1721" s="45" t="s">
        <v>339</v>
      </c>
    </row>
    <row r="1722" spans="2:4">
      <c r="B1722" s="43" t="s">
        <v>3193</v>
      </c>
      <c r="C1722" s="44">
        <v>3062</v>
      </c>
      <c r="D1722" s="45" t="s">
        <v>339</v>
      </c>
    </row>
    <row r="1723" spans="2:4">
      <c r="B1723" s="43" t="s">
        <v>3194</v>
      </c>
      <c r="C1723" s="44">
        <v>3063</v>
      </c>
      <c r="D1723" s="45" t="s">
        <v>339</v>
      </c>
    </row>
    <row r="1724" spans="2:4">
      <c r="B1724" s="43" t="s">
        <v>3195</v>
      </c>
      <c r="C1724" s="44">
        <v>3064</v>
      </c>
      <c r="D1724" s="45" t="s">
        <v>339</v>
      </c>
    </row>
    <row r="1725" spans="2:4">
      <c r="B1725" s="43" t="s">
        <v>3196</v>
      </c>
      <c r="C1725" s="44">
        <v>3065</v>
      </c>
      <c r="D1725" s="45" t="s">
        <v>339</v>
      </c>
    </row>
    <row r="1726" spans="2:4">
      <c r="B1726" s="43" t="s">
        <v>3197</v>
      </c>
      <c r="C1726" s="44">
        <v>3071</v>
      </c>
      <c r="D1726" s="45" t="s">
        <v>339</v>
      </c>
    </row>
    <row r="1727" spans="2:4">
      <c r="B1727" s="43" t="s">
        <v>3198</v>
      </c>
      <c r="C1727" s="44">
        <v>3072</v>
      </c>
      <c r="D1727" s="45" t="s">
        <v>339</v>
      </c>
    </row>
    <row r="1728" spans="2:4">
      <c r="B1728" s="43" t="s">
        <v>3199</v>
      </c>
      <c r="C1728" s="44">
        <v>3073</v>
      </c>
      <c r="D1728" s="45" t="s">
        <v>339</v>
      </c>
    </row>
    <row r="1729" spans="2:4">
      <c r="B1729" s="43" t="s">
        <v>3200</v>
      </c>
      <c r="C1729" s="44">
        <v>3075</v>
      </c>
      <c r="D1729" s="45" t="s">
        <v>339</v>
      </c>
    </row>
    <row r="1730" spans="2:4">
      <c r="B1730" s="43" t="s">
        <v>3201</v>
      </c>
      <c r="C1730" s="44">
        <v>3076</v>
      </c>
      <c r="D1730" s="45" t="s">
        <v>339</v>
      </c>
    </row>
    <row r="1731" spans="2:4">
      <c r="B1731" s="43" t="s">
        <v>3202</v>
      </c>
      <c r="C1731" s="44">
        <v>3077</v>
      </c>
      <c r="D1731" s="45" t="s">
        <v>339</v>
      </c>
    </row>
    <row r="1732" spans="2:4">
      <c r="B1732" s="43" t="s">
        <v>3203</v>
      </c>
      <c r="C1732" s="44">
        <v>3078</v>
      </c>
      <c r="D1732" s="45" t="s">
        <v>339</v>
      </c>
    </row>
    <row r="1733" spans="2:4">
      <c r="B1733" s="43" t="s">
        <v>3204</v>
      </c>
      <c r="C1733" s="44">
        <v>3081</v>
      </c>
      <c r="D1733" s="45" t="s">
        <v>339</v>
      </c>
    </row>
    <row r="1734" spans="2:4">
      <c r="B1734" s="43" t="s">
        <v>992</v>
      </c>
      <c r="C1734" s="44">
        <v>3082</v>
      </c>
      <c r="D1734" s="45" t="s">
        <v>339</v>
      </c>
    </row>
    <row r="1735" spans="2:4">
      <c r="B1735" s="43" t="s">
        <v>1580</v>
      </c>
      <c r="C1735" s="44">
        <v>3085</v>
      </c>
      <c r="D1735" s="45" t="s">
        <v>339</v>
      </c>
    </row>
    <row r="1736" spans="2:4">
      <c r="B1736" s="43" t="s">
        <v>1582</v>
      </c>
      <c r="C1736" s="44">
        <v>3086</v>
      </c>
      <c r="D1736" s="45" t="s">
        <v>339</v>
      </c>
    </row>
    <row r="1737" spans="2:4">
      <c r="B1737" s="43" t="s">
        <v>3205</v>
      </c>
      <c r="C1737" s="44">
        <v>3087</v>
      </c>
      <c r="D1737" s="45" t="s">
        <v>339</v>
      </c>
    </row>
    <row r="1738" spans="2:4">
      <c r="B1738" s="43" t="s">
        <v>3206</v>
      </c>
      <c r="C1738" s="44">
        <v>3090</v>
      </c>
      <c r="D1738" s="45" t="s">
        <v>339</v>
      </c>
    </row>
    <row r="1739" spans="2:4">
      <c r="B1739" s="43" t="s">
        <v>3207</v>
      </c>
      <c r="C1739" s="44">
        <v>3107</v>
      </c>
      <c r="D1739" s="45" t="s">
        <v>339</v>
      </c>
    </row>
    <row r="1740" spans="2:4">
      <c r="B1740" s="43" t="s">
        <v>3208</v>
      </c>
      <c r="C1740" s="44">
        <v>3108</v>
      </c>
      <c r="D1740" s="45" t="s">
        <v>339</v>
      </c>
    </row>
    <row r="1741" spans="2:4">
      <c r="B1741" s="43" t="s">
        <v>3209</v>
      </c>
      <c r="C1741" s="44">
        <v>3109</v>
      </c>
      <c r="D1741" s="45" t="s">
        <v>339</v>
      </c>
    </row>
    <row r="1742" spans="2:4">
      <c r="B1742" s="43" t="s">
        <v>3210</v>
      </c>
      <c r="C1742" s="44">
        <v>3110</v>
      </c>
      <c r="D1742" s="45" t="s">
        <v>339</v>
      </c>
    </row>
    <row r="1743" spans="2:4">
      <c r="B1743" s="43" t="s">
        <v>3211</v>
      </c>
      <c r="C1743" s="44">
        <v>3113</v>
      </c>
      <c r="D1743" s="45" t="s">
        <v>339</v>
      </c>
    </row>
    <row r="1744" spans="2:4">
      <c r="B1744" s="43" t="s">
        <v>3212</v>
      </c>
      <c r="C1744" s="44">
        <v>3114</v>
      </c>
      <c r="D1744" s="45" t="s">
        <v>339</v>
      </c>
    </row>
    <row r="1745" spans="2:4">
      <c r="B1745" s="43" t="s">
        <v>3213</v>
      </c>
      <c r="C1745" s="44">
        <v>3115</v>
      </c>
      <c r="D1745" s="45" t="s">
        <v>339</v>
      </c>
    </row>
    <row r="1746" spans="2:4">
      <c r="B1746" s="43" t="s">
        <v>3214</v>
      </c>
      <c r="C1746" s="44">
        <v>3116</v>
      </c>
      <c r="D1746" s="45" t="s">
        <v>339</v>
      </c>
    </row>
    <row r="1747" spans="2:4">
      <c r="B1747" s="43" t="s">
        <v>3215</v>
      </c>
      <c r="C1747" s="44">
        <v>3200</v>
      </c>
      <c r="D1747" s="45" t="s">
        <v>339</v>
      </c>
    </row>
    <row r="1748" spans="2:4">
      <c r="B1748" s="43" t="s">
        <v>1816</v>
      </c>
      <c r="C1748" s="44">
        <v>3202</v>
      </c>
      <c r="D1748" s="45" t="s">
        <v>339</v>
      </c>
    </row>
    <row r="1749" spans="2:4">
      <c r="B1749" s="43" t="s">
        <v>3216</v>
      </c>
      <c r="C1749" s="44">
        <v>3800</v>
      </c>
      <c r="D1749" s="45" t="s">
        <v>339</v>
      </c>
    </row>
    <row r="1750" spans="2:4">
      <c r="B1750" s="43" t="s">
        <v>3217</v>
      </c>
      <c r="C1750" s="44">
        <v>3801</v>
      </c>
      <c r="D1750" s="45" t="s">
        <v>339</v>
      </c>
    </row>
    <row r="1751" spans="2:4">
      <c r="B1751" s="43" t="s">
        <v>3218</v>
      </c>
      <c r="C1751" s="44">
        <v>3802</v>
      </c>
      <c r="D1751" s="45" t="s">
        <v>339</v>
      </c>
    </row>
    <row r="1752" spans="2:4">
      <c r="B1752" s="43" t="s">
        <v>3219</v>
      </c>
      <c r="C1752" s="44">
        <v>3803</v>
      </c>
      <c r="D1752" s="45" t="s">
        <v>339</v>
      </c>
    </row>
    <row r="1753" spans="2:4">
      <c r="B1753" s="43" t="s">
        <v>3220</v>
      </c>
      <c r="C1753" s="44">
        <v>3804</v>
      </c>
      <c r="D1753" s="45" t="s">
        <v>339</v>
      </c>
    </row>
    <row r="1754" spans="2:4">
      <c r="B1754" s="43" t="s">
        <v>3221</v>
      </c>
      <c r="C1754" s="44">
        <v>3839</v>
      </c>
      <c r="D1754" s="45" t="s">
        <v>339</v>
      </c>
    </row>
    <row r="1755" spans="2:4">
      <c r="B1755" s="43" t="s">
        <v>3222</v>
      </c>
      <c r="C1755" s="44">
        <v>3840</v>
      </c>
      <c r="D1755" s="45" t="s">
        <v>339</v>
      </c>
    </row>
    <row r="1756" spans="2:4">
      <c r="B1756" s="43" t="s">
        <v>3223</v>
      </c>
      <c r="C1756" s="44">
        <v>3841</v>
      </c>
      <c r="D1756" s="45" t="s">
        <v>339</v>
      </c>
    </row>
    <row r="1757" spans="2:4">
      <c r="B1757" s="43" t="s">
        <v>3224</v>
      </c>
      <c r="C1757" s="44">
        <v>3900</v>
      </c>
      <c r="D1757" s="45" t="s">
        <v>339</v>
      </c>
    </row>
    <row r="1758" spans="2:4">
      <c r="B1758" s="43" t="s">
        <v>3225</v>
      </c>
      <c r="C1758" s="44">
        <v>3901</v>
      </c>
      <c r="D1758" s="45" t="s">
        <v>339</v>
      </c>
    </row>
    <row r="1759" spans="2:4">
      <c r="B1759" s="43" t="s">
        <v>3226</v>
      </c>
      <c r="C1759" s="44">
        <v>3902</v>
      </c>
      <c r="D1759" s="45" t="s">
        <v>339</v>
      </c>
    </row>
    <row r="1760" spans="2:4">
      <c r="B1760" s="43" t="s">
        <v>3227</v>
      </c>
      <c r="C1760" s="44">
        <v>4001</v>
      </c>
      <c r="D1760" s="45" t="s">
        <v>339</v>
      </c>
    </row>
    <row r="1761" spans="2:4">
      <c r="B1761" s="43" t="s">
        <v>3228</v>
      </c>
      <c r="C1761" s="44">
        <v>4002</v>
      </c>
      <c r="D1761" s="45" t="s">
        <v>339</v>
      </c>
    </row>
    <row r="1762" spans="2:4">
      <c r="B1762" s="43" t="s">
        <v>3229</v>
      </c>
      <c r="C1762" s="44">
        <v>4003</v>
      </c>
      <c r="D1762" s="45" t="s">
        <v>339</v>
      </c>
    </row>
    <row r="1763" spans="2:4">
      <c r="B1763" s="43" t="s">
        <v>3230</v>
      </c>
      <c r="C1763" s="44">
        <v>4004</v>
      </c>
      <c r="D1763" s="45" t="s">
        <v>339</v>
      </c>
    </row>
    <row r="1764" spans="2:4">
      <c r="B1764" s="43" t="s">
        <v>3231</v>
      </c>
      <c r="C1764" s="44">
        <v>4005</v>
      </c>
      <c r="D1764" s="45" t="s">
        <v>339</v>
      </c>
    </row>
    <row r="1765" spans="2:4">
      <c r="B1765" s="43" t="s">
        <v>3232</v>
      </c>
      <c r="C1765" s="44">
        <v>4006</v>
      </c>
      <c r="D1765" s="45" t="s">
        <v>339</v>
      </c>
    </row>
    <row r="1766" spans="2:4">
      <c r="B1766" s="43" t="s">
        <v>3233</v>
      </c>
      <c r="C1766" s="44">
        <v>4007</v>
      </c>
      <c r="D1766" s="45" t="s">
        <v>339</v>
      </c>
    </row>
    <row r="1767" spans="2:4">
      <c r="B1767" s="43" t="s">
        <v>3234</v>
      </c>
      <c r="C1767" s="44">
        <v>4008</v>
      </c>
      <c r="D1767" s="45" t="s">
        <v>339</v>
      </c>
    </row>
    <row r="1768" spans="2:4">
      <c r="B1768" s="43" t="s">
        <v>3235</v>
      </c>
      <c r="C1768" s="44">
        <v>4009</v>
      </c>
      <c r="D1768" s="45" t="s">
        <v>339</v>
      </c>
    </row>
    <row r="1769" spans="2:4">
      <c r="B1769" s="43" t="s">
        <v>3236</v>
      </c>
      <c r="C1769" s="44">
        <v>4010</v>
      </c>
      <c r="D1769" s="45" t="s">
        <v>339</v>
      </c>
    </row>
    <row r="1770" spans="2:4">
      <c r="B1770" s="43" t="s">
        <v>1625</v>
      </c>
      <c r="C1770" s="44">
        <v>4011</v>
      </c>
      <c r="D1770" s="45" t="s">
        <v>339</v>
      </c>
    </row>
    <row r="1771" spans="2:4">
      <c r="B1771" s="43" t="s">
        <v>3237</v>
      </c>
      <c r="C1771" s="44">
        <v>4012</v>
      </c>
      <c r="D1771" s="45" t="s">
        <v>339</v>
      </c>
    </row>
    <row r="1772" spans="2:4">
      <c r="B1772" s="43" t="s">
        <v>3238</v>
      </c>
      <c r="C1772" s="44">
        <v>4013</v>
      </c>
      <c r="D1772" s="45" t="s">
        <v>339</v>
      </c>
    </row>
    <row r="1773" spans="2:4">
      <c r="B1773" s="43" t="s">
        <v>3239</v>
      </c>
      <c r="C1773" s="44">
        <v>4014</v>
      </c>
      <c r="D1773" s="45" t="s">
        <v>339</v>
      </c>
    </row>
    <row r="1774" spans="2:4">
      <c r="B1774" s="43" t="s">
        <v>3240</v>
      </c>
      <c r="C1774" s="44">
        <v>4015</v>
      </c>
      <c r="D1774" s="45" t="s">
        <v>339</v>
      </c>
    </row>
    <row r="1775" spans="2:4">
      <c r="B1775" s="43" t="s">
        <v>3241</v>
      </c>
      <c r="C1775" s="44">
        <v>4016</v>
      </c>
      <c r="D1775" s="45" t="s">
        <v>339</v>
      </c>
    </row>
    <row r="1776" spans="2:4">
      <c r="B1776" s="43" t="s">
        <v>3242</v>
      </c>
      <c r="C1776" s="44">
        <v>4017</v>
      </c>
      <c r="D1776" s="45" t="s">
        <v>339</v>
      </c>
    </row>
    <row r="1777" spans="2:4">
      <c r="B1777" s="43" t="s">
        <v>3243</v>
      </c>
      <c r="C1777" s="44">
        <v>4018</v>
      </c>
      <c r="D1777" s="45" t="s">
        <v>339</v>
      </c>
    </row>
    <row r="1778" spans="2:4">
      <c r="B1778" s="43" t="s">
        <v>3244</v>
      </c>
      <c r="C1778" s="44">
        <v>4019</v>
      </c>
      <c r="D1778" s="45" t="s">
        <v>339</v>
      </c>
    </row>
    <row r="1779" spans="2:4">
      <c r="B1779" s="43" t="s">
        <v>3245</v>
      </c>
      <c r="C1779" s="44">
        <v>4020</v>
      </c>
      <c r="D1779" s="45" t="s">
        <v>339</v>
      </c>
    </row>
    <row r="1780" spans="2:4">
      <c r="B1780" s="43" t="s">
        <v>3246</v>
      </c>
      <c r="C1780" s="44">
        <v>4021</v>
      </c>
      <c r="D1780" s="45" t="s">
        <v>339</v>
      </c>
    </row>
    <row r="1781" spans="2:4">
      <c r="B1781" s="43" t="s">
        <v>3247</v>
      </c>
      <c r="C1781" s="44">
        <v>4022</v>
      </c>
      <c r="D1781" s="45" t="s">
        <v>339</v>
      </c>
    </row>
    <row r="1782" spans="2:4">
      <c r="B1782" s="43" t="s">
        <v>3248</v>
      </c>
      <c r="C1782" s="44">
        <v>4023</v>
      </c>
      <c r="D1782" s="45" t="s">
        <v>339</v>
      </c>
    </row>
    <row r="1783" spans="2:4">
      <c r="B1783" s="43" t="s">
        <v>3249</v>
      </c>
      <c r="C1783" s="44">
        <v>4024</v>
      </c>
      <c r="D1783" s="45" t="s">
        <v>339</v>
      </c>
    </row>
    <row r="1784" spans="2:4">
      <c r="B1784" s="43" t="s">
        <v>3250</v>
      </c>
      <c r="C1784" s="44">
        <v>4025</v>
      </c>
      <c r="D1784" s="45" t="s">
        <v>339</v>
      </c>
    </row>
    <row r="1785" spans="2:4">
      <c r="B1785" s="43" t="s">
        <v>3251</v>
      </c>
      <c r="C1785" s="44">
        <v>4026</v>
      </c>
      <c r="D1785" s="45" t="s">
        <v>339</v>
      </c>
    </row>
    <row r="1786" spans="2:4">
      <c r="B1786" s="43" t="s">
        <v>3252</v>
      </c>
      <c r="C1786" s="44">
        <v>4027</v>
      </c>
      <c r="D1786" s="45" t="s">
        <v>339</v>
      </c>
    </row>
    <row r="1787" spans="2:4">
      <c r="B1787" s="43" t="s">
        <v>3253</v>
      </c>
      <c r="C1787" s="44">
        <v>4028</v>
      </c>
      <c r="D1787" s="45" t="s">
        <v>339</v>
      </c>
    </row>
    <row r="1788" spans="2:4">
      <c r="B1788" s="43" t="s">
        <v>3254</v>
      </c>
      <c r="C1788" s="44">
        <v>4029</v>
      </c>
      <c r="D1788" s="45" t="s">
        <v>339</v>
      </c>
    </row>
    <row r="1789" spans="2:4">
      <c r="B1789" s="43" t="s">
        <v>3255</v>
      </c>
      <c r="C1789" s="44">
        <v>4030</v>
      </c>
      <c r="D1789" s="45" t="s">
        <v>339</v>
      </c>
    </row>
    <row r="1790" spans="2:4">
      <c r="B1790" s="43" t="s">
        <v>3256</v>
      </c>
      <c r="C1790" s="44">
        <v>4031</v>
      </c>
      <c r="D1790" s="45" t="s">
        <v>339</v>
      </c>
    </row>
    <row r="1791" spans="2:4">
      <c r="B1791" s="43" t="s">
        <v>3257</v>
      </c>
      <c r="C1791" s="44">
        <v>4032</v>
      </c>
      <c r="D1791" s="45" t="s">
        <v>339</v>
      </c>
    </row>
    <row r="1792" spans="2:4">
      <c r="B1792" s="43" t="s">
        <v>3258</v>
      </c>
      <c r="C1792" s="44">
        <v>4033</v>
      </c>
      <c r="D1792" s="45" t="s">
        <v>339</v>
      </c>
    </row>
    <row r="1793" spans="2:4">
      <c r="B1793" s="43" t="s">
        <v>3259</v>
      </c>
      <c r="C1793" s="44">
        <v>4034</v>
      </c>
      <c r="D1793" s="45" t="s">
        <v>339</v>
      </c>
    </row>
    <row r="1794" spans="2:4">
      <c r="B1794" s="43" t="s">
        <v>3260</v>
      </c>
      <c r="C1794" s="44">
        <v>4035</v>
      </c>
      <c r="D1794" s="45" t="s">
        <v>339</v>
      </c>
    </row>
    <row r="1795" spans="2:4">
      <c r="B1795" s="43" t="s">
        <v>3261</v>
      </c>
      <c r="C1795" s="44">
        <v>4036</v>
      </c>
      <c r="D1795" s="45" t="s">
        <v>339</v>
      </c>
    </row>
    <row r="1796" spans="2:4">
      <c r="B1796" s="43" t="s">
        <v>3262</v>
      </c>
      <c r="C1796" s="44">
        <v>4037</v>
      </c>
      <c r="D1796" s="45" t="s">
        <v>339</v>
      </c>
    </row>
    <row r="1797" spans="2:4">
      <c r="B1797" s="43" t="s">
        <v>3263</v>
      </c>
      <c r="C1797" s="44">
        <v>4038</v>
      </c>
      <c r="D1797" s="45" t="s">
        <v>339</v>
      </c>
    </row>
    <row r="1798" spans="2:4">
      <c r="B1798" s="43" t="s">
        <v>3264</v>
      </c>
      <c r="C1798" s="44">
        <v>4039</v>
      </c>
      <c r="D1798" s="45" t="s">
        <v>339</v>
      </c>
    </row>
    <row r="1799" spans="2:4">
      <c r="B1799" s="43" t="s">
        <v>3265</v>
      </c>
      <c r="C1799" s="44">
        <v>4040</v>
      </c>
      <c r="D1799" s="45" t="s">
        <v>339</v>
      </c>
    </row>
    <row r="1800" spans="2:4">
      <c r="B1800" s="43" t="s">
        <v>3266</v>
      </c>
      <c r="C1800" s="44">
        <v>4041</v>
      </c>
      <c r="D1800" s="45" t="s">
        <v>339</v>
      </c>
    </row>
    <row r="1801" spans="2:4">
      <c r="B1801" s="43" t="s">
        <v>3267</v>
      </c>
      <c r="C1801" s="44">
        <v>4042</v>
      </c>
      <c r="D1801" s="45" t="s">
        <v>339</v>
      </c>
    </row>
    <row r="1802" spans="2:4">
      <c r="B1802" s="43" t="s">
        <v>3268</v>
      </c>
      <c r="C1802" s="44">
        <v>4043</v>
      </c>
      <c r="D1802" s="45" t="s">
        <v>339</v>
      </c>
    </row>
    <row r="1803" spans="2:4">
      <c r="B1803" s="43" t="s">
        <v>3269</v>
      </c>
      <c r="C1803" s="44">
        <v>4044</v>
      </c>
      <c r="D1803" s="45" t="s">
        <v>339</v>
      </c>
    </row>
    <row r="1804" spans="2:4">
      <c r="B1804" s="43" t="s">
        <v>3270</v>
      </c>
      <c r="C1804" s="44">
        <v>4045</v>
      </c>
      <c r="D1804" s="45" t="s">
        <v>339</v>
      </c>
    </row>
    <row r="1805" spans="2:4">
      <c r="B1805" s="43" t="s">
        <v>3271</v>
      </c>
      <c r="C1805" s="44">
        <v>4046</v>
      </c>
      <c r="D1805" s="45" t="s">
        <v>339</v>
      </c>
    </row>
    <row r="1806" spans="2:4">
      <c r="B1806" s="43" t="s">
        <v>3272</v>
      </c>
      <c r="C1806" s="44">
        <v>4047</v>
      </c>
      <c r="D1806" s="45" t="s">
        <v>339</v>
      </c>
    </row>
    <row r="1807" spans="2:4">
      <c r="B1807" s="43" t="s">
        <v>3273</v>
      </c>
      <c r="C1807" s="44">
        <v>4048</v>
      </c>
      <c r="D1807" s="45" t="s">
        <v>339</v>
      </c>
    </row>
    <row r="1808" spans="2:4">
      <c r="B1808" s="43" t="s">
        <v>3274</v>
      </c>
      <c r="C1808" s="44">
        <v>4049</v>
      </c>
      <c r="D1808" s="45" t="s">
        <v>339</v>
      </c>
    </row>
    <row r="1809" spans="2:4">
      <c r="B1809" s="43" t="s">
        <v>3275</v>
      </c>
      <c r="C1809" s="44">
        <v>4050</v>
      </c>
      <c r="D1809" s="45" t="s">
        <v>339</v>
      </c>
    </row>
    <row r="1810" spans="2:4">
      <c r="B1810" s="43" t="s">
        <v>3276</v>
      </c>
      <c r="C1810" s="44">
        <v>4051</v>
      </c>
      <c r="D1810" s="45" t="s">
        <v>339</v>
      </c>
    </row>
    <row r="1811" spans="2:4">
      <c r="B1811" s="43" t="s">
        <v>3277</v>
      </c>
      <c r="C1811" s="44">
        <v>4052</v>
      </c>
      <c r="D1811" s="45" t="s">
        <v>339</v>
      </c>
    </row>
    <row r="1812" spans="2:4">
      <c r="B1812" s="43" t="s">
        <v>3278</v>
      </c>
      <c r="C1812" s="44">
        <v>4053</v>
      </c>
      <c r="D1812" s="45" t="s">
        <v>339</v>
      </c>
    </row>
    <row r="1813" spans="2:4">
      <c r="B1813" s="43" t="s">
        <v>3279</v>
      </c>
      <c r="C1813" s="44">
        <v>4054</v>
      </c>
      <c r="D1813" s="45" t="s">
        <v>339</v>
      </c>
    </row>
    <row r="1814" spans="2:4">
      <c r="B1814" s="43" t="s">
        <v>3280</v>
      </c>
      <c r="C1814" s="44">
        <v>4055</v>
      </c>
      <c r="D1814" s="45" t="s">
        <v>339</v>
      </c>
    </row>
    <row r="1815" spans="2:4">
      <c r="B1815" s="43" t="s">
        <v>3281</v>
      </c>
      <c r="C1815" s="44">
        <v>4056</v>
      </c>
      <c r="D1815" s="45" t="s">
        <v>339</v>
      </c>
    </row>
    <row r="1816" spans="2:4">
      <c r="B1816" s="43" t="s">
        <v>3282</v>
      </c>
      <c r="C1816" s="44">
        <v>4057</v>
      </c>
      <c r="D1816" s="45" t="s">
        <v>339</v>
      </c>
    </row>
    <row r="1817" spans="2:4">
      <c r="B1817" s="43" t="s">
        <v>3283</v>
      </c>
      <c r="C1817" s="44">
        <v>4058</v>
      </c>
      <c r="D1817" s="45" t="s">
        <v>339</v>
      </c>
    </row>
    <row r="1818" spans="2:4">
      <c r="B1818" s="43" t="s">
        <v>3284</v>
      </c>
      <c r="C1818" s="44">
        <v>4059</v>
      </c>
      <c r="D1818" s="45" t="s">
        <v>339</v>
      </c>
    </row>
    <row r="1819" spans="2:4">
      <c r="B1819" s="43" t="s">
        <v>3285</v>
      </c>
      <c r="C1819" s="44">
        <v>4060</v>
      </c>
      <c r="D1819" s="45" t="s">
        <v>339</v>
      </c>
    </row>
    <row r="1820" spans="2:4">
      <c r="B1820" s="43" t="s">
        <v>3286</v>
      </c>
      <c r="C1820" s="44">
        <v>4061</v>
      </c>
      <c r="D1820" s="45" t="s">
        <v>339</v>
      </c>
    </row>
    <row r="1821" spans="2:4">
      <c r="B1821" s="43" t="s">
        <v>3287</v>
      </c>
      <c r="C1821" s="44">
        <v>4062</v>
      </c>
      <c r="D1821" s="45" t="s">
        <v>339</v>
      </c>
    </row>
    <row r="1822" spans="2:4">
      <c r="B1822" s="43" t="s">
        <v>3288</v>
      </c>
      <c r="C1822" s="44">
        <v>4063</v>
      </c>
      <c r="D1822" s="45" t="s">
        <v>339</v>
      </c>
    </row>
    <row r="1823" spans="2:4">
      <c r="B1823" s="43" t="s">
        <v>3289</v>
      </c>
      <c r="C1823" s="44">
        <v>4064</v>
      </c>
      <c r="D1823" s="45" t="s">
        <v>339</v>
      </c>
    </row>
    <row r="1824" spans="2:4">
      <c r="B1824" s="43" t="s">
        <v>3290</v>
      </c>
      <c r="C1824" s="44">
        <v>4065</v>
      </c>
      <c r="D1824" s="45" t="s">
        <v>339</v>
      </c>
    </row>
    <row r="1825" spans="2:4">
      <c r="B1825" s="43" t="s">
        <v>3291</v>
      </c>
      <c r="C1825" s="44">
        <v>4066</v>
      </c>
      <c r="D1825" s="45" t="s">
        <v>339</v>
      </c>
    </row>
    <row r="1826" spans="2:4">
      <c r="B1826" s="43" t="s">
        <v>3292</v>
      </c>
      <c r="C1826" s="44">
        <v>4068</v>
      </c>
      <c r="D1826" s="45" t="s">
        <v>339</v>
      </c>
    </row>
    <row r="1827" spans="2:4">
      <c r="B1827" s="43" t="s">
        <v>3293</v>
      </c>
      <c r="C1827" s="44">
        <v>4069</v>
      </c>
      <c r="D1827" s="45" t="s">
        <v>339</v>
      </c>
    </row>
    <row r="1828" spans="2:4">
      <c r="B1828" s="43" t="s">
        <v>3294</v>
      </c>
      <c r="C1828" s="44">
        <v>4070</v>
      </c>
      <c r="D1828" s="45" t="s">
        <v>339</v>
      </c>
    </row>
    <row r="1829" spans="2:4">
      <c r="B1829" s="43" t="s">
        <v>3295</v>
      </c>
      <c r="C1829" s="44">
        <v>4071</v>
      </c>
      <c r="D1829" s="45" t="s">
        <v>339</v>
      </c>
    </row>
    <row r="1830" spans="2:4">
      <c r="B1830" s="43" t="s">
        <v>3296</v>
      </c>
      <c r="C1830" s="44">
        <v>4072</v>
      </c>
      <c r="D1830" s="45" t="s">
        <v>339</v>
      </c>
    </row>
    <row r="1831" spans="2:4">
      <c r="B1831" s="43" t="s">
        <v>3297</v>
      </c>
      <c r="C1831" s="44">
        <v>4073</v>
      </c>
      <c r="D1831" s="45" t="s">
        <v>339</v>
      </c>
    </row>
    <row r="1832" spans="2:4">
      <c r="B1832" s="43" t="s">
        <v>3298</v>
      </c>
      <c r="C1832" s="44">
        <v>4074</v>
      </c>
      <c r="D1832" s="45" t="s">
        <v>339</v>
      </c>
    </row>
    <row r="1833" spans="2:4">
      <c r="B1833" s="43" t="s">
        <v>3299</v>
      </c>
      <c r="C1833" s="44">
        <v>4075</v>
      </c>
      <c r="D1833" s="45" t="s">
        <v>339</v>
      </c>
    </row>
    <row r="1834" spans="2:4">
      <c r="B1834" s="43" t="s">
        <v>3300</v>
      </c>
      <c r="C1834" s="44">
        <v>4077</v>
      </c>
      <c r="D1834" s="45" t="s">
        <v>339</v>
      </c>
    </row>
    <row r="1835" spans="2:4">
      <c r="B1835" s="43" t="s">
        <v>3301</v>
      </c>
      <c r="C1835" s="44">
        <v>4078</v>
      </c>
      <c r="D1835" s="45" t="s">
        <v>339</v>
      </c>
    </row>
    <row r="1836" spans="2:4">
      <c r="B1836" s="43" t="s">
        <v>3302</v>
      </c>
      <c r="C1836" s="44">
        <v>4079</v>
      </c>
      <c r="D1836" s="45" t="s">
        <v>339</v>
      </c>
    </row>
    <row r="1837" spans="2:4">
      <c r="B1837" s="43" t="s">
        <v>3303</v>
      </c>
      <c r="C1837" s="44">
        <v>4080</v>
      </c>
      <c r="D1837" s="45" t="s">
        <v>339</v>
      </c>
    </row>
    <row r="1838" spans="2:4">
      <c r="B1838" s="43" t="s">
        <v>3304</v>
      </c>
      <c r="C1838" s="44">
        <v>4081</v>
      </c>
      <c r="D1838" s="45" t="s">
        <v>339</v>
      </c>
    </row>
    <row r="1839" spans="2:4">
      <c r="B1839" s="43" t="s">
        <v>3305</v>
      </c>
      <c r="C1839" s="44">
        <v>4082</v>
      </c>
      <c r="D1839" s="45" t="s">
        <v>339</v>
      </c>
    </row>
    <row r="1840" spans="2:4">
      <c r="B1840" s="43" t="s">
        <v>3306</v>
      </c>
      <c r="C1840" s="44">
        <v>4083</v>
      </c>
      <c r="D1840" s="45" t="s">
        <v>339</v>
      </c>
    </row>
    <row r="1841" spans="2:4">
      <c r="B1841" s="43" t="s">
        <v>3307</v>
      </c>
      <c r="C1841" s="44">
        <v>4084</v>
      </c>
      <c r="D1841" s="45" t="s">
        <v>339</v>
      </c>
    </row>
    <row r="1842" spans="2:4">
      <c r="B1842" s="43" t="s">
        <v>3308</v>
      </c>
      <c r="C1842" s="44">
        <v>4086</v>
      </c>
      <c r="D1842" s="45" t="s">
        <v>339</v>
      </c>
    </row>
    <row r="1843" spans="2:4">
      <c r="B1843" s="43" t="s">
        <v>3309</v>
      </c>
      <c r="C1843" s="44">
        <v>4087</v>
      </c>
      <c r="D1843" s="45" t="s">
        <v>339</v>
      </c>
    </row>
    <row r="1844" spans="2:4">
      <c r="B1844" s="43" t="s">
        <v>3310</v>
      </c>
      <c r="C1844" s="44">
        <v>4088</v>
      </c>
      <c r="D1844" s="45" t="s">
        <v>339</v>
      </c>
    </row>
    <row r="1845" spans="2:4">
      <c r="B1845" s="43" t="s">
        <v>3311</v>
      </c>
      <c r="C1845" s="44">
        <v>4089</v>
      </c>
      <c r="D1845" s="45" t="s">
        <v>339</v>
      </c>
    </row>
    <row r="1846" spans="2:4">
      <c r="B1846" s="43" t="s">
        <v>3312</v>
      </c>
      <c r="C1846" s="44">
        <v>4090</v>
      </c>
      <c r="D1846" s="45" t="s">
        <v>339</v>
      </c>
    </row>
    <row r="1847" spans="2:4">
      <c r="B1847" s="43" t="s">
        <v>3313</v>
      </c>
      <c r="C1847" s="44">
        <v>4091</v>
      </c>
      <c r="D1847" s="45" t="s">
        <v>339</v>
      </c>
    </row>
    <row r="1848" spans="2:4">
      <c r="B1848" s="43" t="s">
        <v>3314</v>
      </c>
      <c r="C1848" s="44">
        <v>4092</v>
      </c>
      <c r="D1848" s="45" t="s">
        <v>339</v>
      </c>
    </row>
    <row r="1849" spans="2:4">
      <c r="B1849" s="43" t="s">
        <v>3315</v>
      </c>
      <c r="C1849" s="44">
        <v>4093</v>
      </c>
      <c r="D1849" s="45" t="s">
        <v>339</v>
      </c>
    </row>
    <row r="1850" spans="2:4">
      <c r="B1850" s="43" t="s">
        <v>3316</v>
      </c>
      <c r="C1850" s="44">
        <v>4094</v>
      </c>
      <c r="D1850" s="45" t="s">
        <v>339</v>
      </c>
    </row>
    <row r="1851" spans="2:4">
      <c r="B1851" s="43" t="s">
        <v>3317</v>
      </c>
      <c r="C1851" s="44">
        <v>4095</v>
      </c>
      <c r="D1851" s="45" t="s">
        <v>339</v>
      </c>
    </row>
    <row r="1852" spans="2:4">
      <c r="B1852" s="43" t="s">
        <v>3318</v>
      </c>
      <c r="C1852" s="44">
        <v>4096</v>
      </c>
      <c r="D1852" s="45" t="s">
        <v>339</v>
      </c>
    </row>
    <row r="1853" spans="2:4">
      <c r="B1853" s="43" t="s">
        <v>3319</v>
      </c>
      <c r="C1853" s="44">
        <v>4097</v>
      </c>
      <c r="D1853" s="45" t="s">
        <v>339</v>
      </c>
    </row>
    <row r="1854" spans="2:4">
      <c r="B1854" s="43" t="s">
        <v>3320</v>
      </c>
      <c r="C1854" s="44">
        <v>4098</v>
      </c>
      <c r="D1854" s="45" t="s">
        <v>339</v>
      </c>
    </row>
    <row r="1855" spans="2:4">
      <c r="B1855" s="43" t="s">
        <v>1740</v>
      </c>
      <c r="C1855" s="44">
        <v>4099</v>
      </c>
      <c r="D1855" s="45" t="s">
        <v>339</v>
      </c>
    </row>
    <row r="1856" spans="2:4">
      <c r="B1856" s="43" t="s">
        <v>3321</v>
      </c>
      <c r="C1856" s="44">
        <v>4100</v>
      </c>
      <c r="D1856" s="45" t="s">
        <v>339</v>
      </c>
    </row>
    <row r="1857" spans="2:4">
      <c r="B1857" s="43" t="s">
        <v>3322</v>
      </c>
      <c r="C1857" s="44">
        <v>4101</v>
      </c>
      <c r="D1857" s="45" t="s">
        <v>339</v>
      </c>
    </row>
    <row r="1858" spans="2:4">
      <c r="B1858" s="43" t="s">
        <v>3323</v>
      </c>
      <c r="C1858" s="44">
        <v>4102</v>
      </c>
      <c r="D1858" s="45" t="s">
        <v>339</v>
      </c>
    </row>
    <row r="1859" spans="2:4">
      <c r="B1859" s="43" t="s">
        <v>3324</v>
      </c>
      <c r="C1859" s="44">
        <v>4103</v>
      </c>
      <c r="D1859" s="45" t="s">
        <v>339</v>
      </c>
    </row>
    <row r="1860" spans="2:4">
      <c r="B1860" s="43" t="s">
        <v>3325</v>
      </c>
      <c r="C1860" s="44">
        <v>4104</v>
      </c>
      <c r="D1860" s="45" t="s">
        <v>339</v>
      </c>
    </row>
    <row r="1861" spans="2:4">
      <c r="B1861" s="43" t="s">
        <v>3326</v>
      </c>
      <c r="C1861" s="44">
        <v>4105</v>
      </c>
      <c r="D1861" s="45" t="s">
        <v>339</v>
      </c>
    </row>
    <row r="1862" spans="2:4">
      <c r="B1862" s="43" t="s">
        <v>3327</v>
      </c>
      <c r="C1862" s="44">
        <v>4106</v>
      </c>
      <c r="D1862" s="45" t="s">
        <v>339</v>
      </c>
    </row>
    <row r="1863" spans="2:4">
      <c r="B1863" s="43" t="s">
        <v>1778</v>
      </c>
      <c r="C1863" s="44">
        <v>4107</v>
      </c>
      <c r="D1863" s="45" t="s">
        <v>339</v>
      </c>
    </row>
    <row r="1864" spans="2:4">
      <c r="B1864" s="43" t="s">
        <v>3328</v>
      </c>
      <c r="C1864" s="44">
        <v>4108</v>
      </c>
      <c r="D1864" s="45" t="s">
        <v>339</v>
      </c>
    </row>
    <row r="1865" spans="2:4">
      <c r="B1865" s="43" t="s">
        <v>3329</v>
      </c>
      <c r="C1865" s="44">
        <v>4109</v>
      </c>
      <c r="D1865" s="45" t="s">
        <v>339</v>
      </c>
    </row>
    <row r="1866" spans="2:4">
      <c r="B1866" s="43" t="s">
        <v>3330</v>
      </c>
      <c r="C1866" s="44">
        <v>4110</v>
      </c>
      <c r="D1866" s="45" t="s">
        <v>339</v>
      </c>
    </row>
    <row r="1867" spans="2:4">
      <c r="B1867" s="43" t="s">
        <v>3331</v>
      </c>
      <c r="C1867" s="44">
        <v>4111</v>
      </c>
      <c r="D1867" s="45" t="s">
        <v>339</v>
      </c>
    </row>
    <row r="1868" spans="2:4">
      <c r="B1868" s="43" t="s">
        <v>3332</v>
      </c>
      <c r="C1868" s="44">
        <v>4112</v>
      </c>
      <c r="D1868" s="45" t="s">
        <v>339</v>
      </c>
    </row>
    <row r="1869" spans="2:4">
      <c r="B1869" s="43" t="s">
        <v>3333</v>
      </c>
      <c r="C1869" s="44">
        <v>4113</v>
      </c>
      <c r="D1869" s="45" t="s">
        <v>339</v>
      </c>
    </row>
    <row r="1870" spans="2:4">
      <c r="B1870" s="43" t="s">
        <v>3334</v>
      </c>
      <c r="C1870" s="44">
        <v>4114</v>
      </c>
      <c r="D1870" s="45" t="s">
        <v>339</v>
      </c>
    </row>
    <row r="1871" spans="2:4">
      <c r="B1871" s="43" t="s">
        <v>3335</v>
      </c>
      <c r="C1871" s="44">
        <v>4115</v>
      </c>
      <c r="D1871" s="45" t="s">
        <v>339</v>
      </c>
    </row>
    <row r="1872" spans="2:4">
      <c r="B1872" s="43" t="s">
        <v>3336</v>
      </c>
      <c r="C1872" s="44">
        <v>4116</v>
      </c>
      <c r="D1872" s="45" t="s">
        <v>339</v>
      </c>
    </row>
    <row r="1873" spans="2:4">
      <c r="B1873" s="43" t="s">
        <v>3337</v>
      </c>
      <c r="C1873" s="44">
        <v>4117</v>
      </c>
      <c r="D1873" s="45" t="s">
        <v>339</v>
      </c>
    </row>
    <row r="1874" spans="2:4">
      <c r="B1874" s="43" t="s">
        <v>3338</v>
      </c>
      <c r="C1874" s="44">
        <v>4118</v>
      </c>
      <c r="D1874" s="45" t="s">
        <v>339</v>
      </c>
    </row>
    <row r="1875" spans="2:4">
      <c r="B1875" s="43" t="s">
        <v>3339</v>
      </c>
      <c r="C1875" s="44">
        <v>4119</v>
      </c>
      <c r="D1875" s="45" t="s">
        <v>339</v>
      </c>
    </row>
    <row r="1876" spans="2:4">
      <c r="B1876" s="43" t="s">
        <v>3340</v>
      </c>
      <c r="C1876" s="44">
        <v>4120</v>
      </c>
      <c r="D1876" s="45" t="s">
        <v>339</v>
      </c>
    </row>
    <row r="1877" spans="2:4">
      <c r="B1877" s="43" t="s">
        <v>3341</v>
      </c>
      <c r="C1877" s="44">
        <v>4121</v>
      </c>
      <c r="D1877" s="45" t="s">
        <v>339</v>
      </c>
    </row>
    <row r="1878" spans="2:4">
      <c r="B1878" s="43" t="s">
        <v>3342</v>
      </c>
      <c r="C1878" s="44">
        <v>4122</v>
      </c>
      <c r="D1878" s="45" t="s">
        <v>339</v>
      </c>
    </row>
    <row r="1879" spans="2:4">
      <c r="B1879" s="43" t="s">
        <v>3343</v>
      </c>
      <c r="C1879" s="44">
        <v>4123</v>
      </c>
      <c r="D1879" s="45" t="s">
        <v>339</v>
      </c>
    </row>
    <row r="1880" spans="2:4">
      <c r="B1880" s="43" t="s">
        <v>3344</v>
      </c>
      <c r="C1880" s="44">
        <v>4124</v>
      </c>
      <c r="D1880" s="45" t="s">
        <v>339</v>
      </c>
    </row>
    <row r="1881" spans="2:4">
      <c r="B1881" s="43" t="s">
        <v>3345</v>
      </c>
      <c r="C1881" s="44">
        <v>4125</v>
      </c>
      <c r="D1881" s="45" t="s">
        <v>339</v>
      </c>
    </row>
    <row r="1882" spans="2:4">
      <c r="B1882" s="43" t="s">
        <v>3346</v>
      </c>
      <c r="C1882" s="44">
        <v>4126</v>
      </c>
      <c r="D1882" s="45" t="s">
        <v>339</v>
      </c>
    </row>
    <row r="1883" spans="2:4">
      <c r="B1883" s="43" t="s">
        <v>3347</v>
      </c>
      <c r="C1883" s="44">
        <v>4127</v>
      </c>
      <c r="D1883" s="45" t="s">
        <v>339</v>
      </c>
    </row>
    <row r="1884" spans="2:4">
      <c r="B1884" s="43" t="s">
        <v>3348</v>
      </c>
      <c r="C1884" s="44">
        <v>4128</v>
      </c>
      <c r="D1884" s="45" t="s">
        <v>339</v>
      </c>
    </row>
    <row r="1885" spans="2:4">
      <c r="B1885" s="43" t="s">
        <v>3349</v>
      </c>
      <c r="C1885" s="44">
        <v>4129</v>
      </c>
      <c r="D1885" s="45" t="s">
        <v>339</v>
      </c>
    </row>
    <row r="1886" spans="2:4">
      <c r="B1886" s="43" t="s">
        <v>3350</v>
      </c>
      <c r="C1886" s="44">
        <v>4130</v>
      </c>
      <c r="D1886" s="45" t="s">
        <v>339</v>
      </c>
    </row>
    <row r="1887" spans="2:4">
      <c r="B1887" s="43" t="s">
        <v>3351</v>
      </c>
      <c r="C1887" s="44">
        <v>4131</v>
      </c>
      <c r="D1887" s="45" t="s">
        <v>339</v>
      </c>
    </row>
    <row r="1888" spans="2:4">
      <c r="B1888" s="43" t="s">
        <v>3352</v>
      </c>
      <c r="C1888" s="44">
        <v>4132</v>
      </c>
      <c r="D1888" s="45" t="s">
        <v>339</v>
      </c>
    </row>
    <row r="1889" spans="2:4">
      <c r="B1889" s="43" t="s">
        <v>3353</v>
      </c>
      <c r="C1889" s="44">
        <v>4133</v>
      </c>
      <c r="D1889" s="45" t="s">
        <v>339</v>
      </c>
    </row>
    <row r="1890" spans="2:4">
      <c r="B1890" s="43" t="s">
        <v>3354</v>
      </c>
      <c r="C1890" s="44">
        <v>4134</v>
      </c>
      <c r="D1890" s="45" t="s">
        <v>339</v>
      </c>
    </row>
    <row r="1891" spans="2:4">
      <c r="B1891" s="43" t="s">
        <v>3355</v>
      </c>
      <c r="C1891" s="44">
        <v>4135</v>
      </c>
      <c r="D1891" s="45" t="s">
        <v>339</v>
      </c>
    </row>
    <row r="1892" spans="2:4">
      <c r="B1892" s="43" t="s">
        <v>1761</v>
      </c>
      <c r="C1892" s="44">
        <v>4136</v>
      </c>
      <c r="D1892" s="45" t="s">
        <v>339</v>
      </c>
    </row>
    <row r="1893" spans="2:4">
      <c r="B1893" s="43" t="s">
        <v>3356</v>
      </c>
      <c r="C1893" s="44">
        <v>4137</v>
      </c>
      <c r="D1893" s="45" t="s">
        <v>339</v>
      </c>
    </row>
    <row r="1894" spans="2:4">
      <c r="B1894" s="43" t="s">
        <v>3357</v>
      </c>
      <c r="C1894" s="44">
        <v>4138</v>
      </c>
      <c r="D1894" s="45" t="s">
        <v>339</v>
      </c>
    </row>
    <row r="1895" spans="2:4">
      <c r="B1895" s="43" t="s">
        <v>3358</v>
      </c>
      <c r="C1895" s="44">
        <v>4139</v>
      </c>
      <c r="D1895" s="45" t="s">
        <v>339</v>
      </c>
    </row>
    <row r="1896" spans="2:4">
      <c r="B1896" s="43" t="s">
        <v>3359</v>
      </c>
      <c r="C1896" s="44">
        <v>4140</v>
      </c>
      <c r="D1896" s="45" t="s">
        <v>339</v>
      </c>
    </row>
    <row r="1897" spans="2:4">
      <c r="B1897" s="43" t="s">
        <v>3360</v>
      </c>
      <c r="C1897" s="44">
        <v>4141</v>
      </c>
      <c r="D1897" s="45" t="s">
        <v>339</v>
      </c>
    </row>
    <row r="1898" spans="2:4">
      <c r="B1898" s="43" t="s">
        <v>3361</v>
      </c>
      <c r="C1898" s="44">
        <v>4142</v>
      </c>
      <c r="D1898" s="45" t="s">
        <v>339</v>
      </c>
    </row>
    <row r="1899" spans="2:4">
      <c r="B1899" s="43" t="s">
        <v>3362</v>
      </c>
      <c r="C1899" s="44">
        <v>4143</v>
      </c>
      <c r="D1899" s="45" t="s">
        <v>339</v>
      </c>
    </row>
    <row r="1900" spans="2:4">
      <c r="B1900" s="43" t="s">
        <v>3363</v>
      </c>
      <c r="C1900" s="44">
        <v>4144</v>
      </c>
      <c r="D1900" s="45" t="s">
        <v>339</v>
      </c>
    </row>
    <row r="1901" spans="2:4">
      <c r="B1901" s="43" t="s">
        <v>3364</v>
      </c>
      <c r="C1901" s="44">
        <v>4145</v>
      </c>
      <c r="D1901" s="45" t="s">
        <v>339</v>
      </c>
    </row>
    <row r="1902" spans="2:4">
      <c r="B1902" s="43" t="s">
        <v>1705</v>
      </c>
      <c r="C1902" s="44">
        <v>4146</v>
      </c>
      <c r="D1902" s="45" t="s">
        <v>339</v>
      </c>
    </row>
    <row r="1903" spans="2:4">
      <c r="B1903" s="43" t="s">
        <v>3365</v>
      </c>
      <c r="C1903" s="44">
        <v>4147</v>
      </c>
      <c r="D1903" s="45" t="s">
        <v>339</v>
      </c>
    </row>
    <row r="1904" spans="2:4">
      <c r="B1904" s="43" t="s">
        <v>3366</v>
      </c>
      <c r="C1904" s="44">
        <v>4148</v>
      </c>
      <c r="D1904" s="45" t="s">
        <v>339</v>
      </c>
    </row>
    <row r="1905" spans="2:4">
      <c r="B1905" s="43" t="s">
        <v>3367</v>
      </c>
      <c r="C1905" s="44">
        <v>4149</v>
      </c>
      <c r="D1905" s="45" t="s">
        <v>339</v>
      </c>
    </row>
    <row r="1906" spans="2:4">
      <c r="B1906" s="43" t="s">
        <v>3368</v>
      </c>
      <c r="C1906" s="44">
        <v>4150</v>
      </c>
      <c r="D1906" s="45" t="s">
        <v>339</v>
      </c>
    </row>
    <row r="1907" spans="2:4">
      <c r="B1907" s="43" t="s">
        <v>3369</v>
      </c>
      <c r="C1907" s="44">
        <v>4151</v>
      </c>
      <c r="D1907" s="45" t="s">
        <v>339</v>
      </c>
    </row>
    <row r="1908" spans="2:4">
      <c r="B1908" s="43" t="s">
        <v>3370</v>
      </c>
      <c r="C1908" s="44">
        <v>4152</v>
      </c>
      <c r="D1908" s="45" t="s">
        <v>339</v>
      </c>
    </row>
    <row r="1909" spans="2:4">
      <c r="B1909" s="43" t="s">
        <v>3371</v>
      </c>
      <c r="C1909" s="44">
        <v>4153</v>
      </c>
      <c r="D1909" s="45" t="s">
        <v>339</v>
      </c>
    </row>
    <row r="1910" spans="2:4">
      <c r="B1910" s="43" t="s">
        <v>3372</v>
      </c>
      <c r="C1910" s="44">
        <v>4154</v>
      </c>
      <c r="D1910" s="45" t="s">
        <v>339</v>
      </c>
    </row>
    <row r="1911" spans="2:4">
      <c r="B1911" s="43" t="s">
        <v>3373</v>
      </c>
      <c r="C1911" s="44">
        <v>4155</v>
      </c>
      <c r="D1911" s="45" t="s">
        <v>339</v>
      </c>
    </row>
    <row r="1912" spans="2:4">
      <c r="B1912" s="43" t="s">
        <v>3374</v>
      </c>
      <c r="C1912" s="44">
        <v>4156</v>
      </c>
      <c r="D1912" s="45" t="s">
        <v>339</v>
      </c>
    </row>
    <row r="1913" spans="2:4">
      <c r="B1913" s="43" t="s">
        <v>3375</v>
      </c>
      <c r="C1913" s="44">
        <v>4157</v>
      </c>
      <c r="D1913" s="45" t="s">
        <v>339</v>
      </c>
    </row>
    <row r="1914" spans="2:4">
      <c r="B1914" s="43" t="s">
        <v>3376</v>
      </c>
      <c r="C1914" s="44">
        <v>4158</v>
      </c>
      <c r="D1914" s="45" t="s">
        <v>339</v>
      </c>
    </row>
    <row r="1915" spans="2:4">
      <c r="B1915" s="43" t="s">
        <v>3377</v>
      </c>
      <c r="C1915" s="44">
        <v>4159</v>
      </c>
      <c r="D1915" s="45" t="s">
        <v>339</v>
      </c>
    </row>
    <row r="1916" spans="2:4">
      <c r="B1916" s="43" t="s">
        <v>3378</v>
      </c>
      <c r="C1916" s="44">
        <v>4160</v>
      </c>
      <c r="D1916" s="45" t="s">
        <v>339</v>
      </c>
    </row>
    <row r="1917" spans="2:4">
      <c r="B1917" s="43" t="s">
        <v>3379</v>
      </c>
      <c r="C1917" s="44">
        <v>4161</v>
      </c>
      <c r="D1917" s="45" t="s">
        <v>339</v>
      </c>
    </row>
    <row r="1918" spans="2:4">
      <c r="B1918" s="43" t="s">
        <v>3380</v>
      </c>
      <c r="C1918" s="44">
        <v>4162</v>
      </c>
      <c r="D1918" s="45" t="s">
        <v>339</v>
      </c>
    </row>
    <row r="1919" spans="2:4">
      <c r="B1919" s="43" t="s">
        <v>3381</v>
      </c>
      <c r="C1919" s="44">
        <v>4163</v>
      </c>
      <c r="D1919" s="45" t="s">
        <v>339</v>
      </c>
    </row>
    <row r="1920" spans="2:4">
      <c r="B1920" s="43" t="s">
        <v>3382</v>
      </c>
      <c r="C1920" s="44">
        <v>4164</v>
      </c>
      <c r="D1920" s="45" t="s">
        <v>339</v>
      </c>
    </row>
    <row r="1921" spans="2:4">
      <c r="B1921" s="43" t="s">
        <v>3383</v>
      </c>
      <c r="C1921" s="44">
        <v>4165</v>
      </c>
      <c r="D1921" s="45" t="s">
        <v>339</v>
      </c>
    </row>
    <row r="1922" spans="2:4">
      <c r="B1922" s="43" t="s">
        <v>3384</v>
      </c>
      <c r="C1922" s="44">
        <v>4166</v>
      </c>
      <c r="D1922" s="45" t="s">
        <v>339</v>
      </c>
    </row>
    <row r="1923" spans="2:4">
      <c r="B1923" s="43" t="s">
        <v>3385</v>
      </c>
      <c r="C1923" s="44">
        <v>4167</v>
      </c>
      <c r="D1923" s="45" t="s">
        <v>339</v>
      </c>
    </row>
    <row r="1924" spans="2:4">
      <c r="B1924" s="43" t="s">
        <v>3386</v>
      </c>
      <c r="C1924" s="44">
        <v>4168</v>
      </c>
      <c r="D1924" s="45" t="s">
        <v>339</v>
      </c>
    </row>
    <row r="1925" spans="2:4">
      <c r="B1925" s="43" t="s">
        <v>3387</v>
      </c>
      <c r="C1925" s="44">
        <v>4169</v>
      </c>
      <c r="D1925" s="45" t="s">
        <v>339</v>
      </c>
    </row>
    <row r="1926" spans="2:4">
      <c r="B1926" s="43" t="s">
        <v>3388</v>
      </c>
      <c r="C1926" s="44">
        <v>4170</v>
      </c>
      <c r="D1926" s="45" t="s">
        <v>339</v>
      </c>
    </row>
    <row r="1927" spans="2:4">
      <c r="B1927" s="43" t="s">
        <v>3389</v>
      </c>
      <c r="C1927" s="44">
        <v>4171</v>
      </c>
      <c r="D1927" s="45" t="s">
        <v>339</v>
      </c>
    </row>
    <row r="1928" spans="2:4">
      <c r="B1928" s="43" t="s">
        <v>1803</v>
      </c>
      <c r="C1928" s="44">
        <v>4172</v>
      </c>
      <c r="D1928" s="45" t="s">
        <v>339</v>
      </c>
    </row>
    <row r="1929" spans="2:4">
      <c r="B1929" s="43" t="s">
        <v>1179</v>
      </c>
      <c r="C1929" s="44">
        <v>4173</v>
      </c>
      <c r="D1929" s="45" t="s">
        <v>339</v>
      </c>
    </row>
    <row r="1930" spans="2:4">
      <c r="B1930" s="43" t="s">
        <v>3390</v>
      </c>
      <c r="C1930" s="44">
        <v>4174</v>
      </c>
      <c r="D1930" s="45" t="s">
        <v>339</v>
      </c>
    </row>
    <row r="1931" spans="2:4">
      <c r="B1931" s="43" t="s">
        <v>3391</v>
      </c>
      <c r="C1931" s="44">
        <v>4175</v>
      </c>
      <c r="D1931" s="45" t="s">
        <v>339</v>
      </c>
    </row>
    <row r="1932" spans="2:4">
      <c r="B1932" s="43" t="s">
        <v>980</v>
      </c>
      <c r="C1932" s="44">
        <v>4176</v>
      </c>
      <c r="D1932" s="45" t="s">
        <v>339</v>
      </c>
    </row>
    <row r="1933" spans="2:4">
      <c r="B1933" s="43" t="s">
        <v>3392</v>
      </c>
      <c r="C1933" s="44">
        <v>4177</v>
      </c>
      <c r="D1933" s="45" t="s">
        <v>339</v>
      </c>
    </row>
    <row r="1934" spans="2:4">
      <c r="B1934" s="43" t="s">
        <v>3393</v>
      </c>
      <c r="C1934" s="44">
        <v>4178</v>
      </c>
      <c r="D1934" s="45" t="s">
        <v>339</v>
      </c>
    </row>
    <row r="1935" spans="2:4">
      <c r="B1935" s="43" t="s">
        <v>3394</v>
      </c>
      <c r="C1935" s="44">
        <v>4179</v>
      </c>
      <c r="D1935" s="45" t="s">
        <v>339</v>
      </c>
    </row>
    <row r="1936" spans="2:4">
      <c r="B1936" s="43" t="s">
        <v>3395</v>
      </c>
      <c r="C1936" s="44">
        <v>4180</v>
      </c>
      <c r="D1936" s="45" t="s">
        <v>339</v>
      </c>
    </row>
    <row r="1937" spans="2:4">
      <c r="B1937" s="43" t="s">
        <v>3396</v>
      </c>
      <c r="C1937" s="44">
        <v>4181</v>
      </c>
      <c r="D1937" s="45" t="s">
        <v>339</v>
      </c>
    </row>
    <row r="1938" spans="2:4">
      <c r="B1938" s="43" t="s">
        <v>3397</v>
      </c>
      <c r="C1938" s="44">
        <v>4182</v>
      </c>
      <c r="D1938" s="45" t="s">
        <v>339</v>
      </c>
    </row>
    <row r="1939" spans="2:4">
      <c r="B1939" s="43" t="s">
        <v>3398</v>
      </c>
      <c r="C1939" s="44">
        <v>4183</v>
      </c>
      <c r="D1939" s="45" t="s">
        <v>339</v>
      </c>
    </row>
    <row r="1940" spans="2:4">
      <c r="B1940" s="43" t="s">
        <v>3399</v>
      </c>
      <c r="C1940" s="44">
        <v>4184</v>
      </c>
      <c r="D1940" s="45" t="s">
        <v>339</v>
      </c>
    </row>
    <row r="1941" spans="2:4">
      <c r="B1941" s="43" t="s">
        <v>3400</v>
      </c>
      <c r="C1941" s="44">
        <v>4185</v>
      </c>
      <c r="D1941" s="45" t="s">
        <v>339</v>
      </c>
    </row>
    <row r="1942" spans="2:4">
      <c r="B1942" s="43" t="s">
        <v>3401</v>
      </c>
      <c r="C1942" s="44">
        <v>4186</v>
      </c>
      <c r="D1942" s="45" t="s">
        <v>339</v>
      </c>
    </row>
    <row r="1943" spans="2:4">
      <c r="B1943" s="43" t="s">
        <v>3402</v>
      </c>
      <c r="C1943" s="44">
        <v>4187</v>
      </c>
      <c r="D1943" s="45" t="s">
        <v>339</v>
      </c>
    </row>
    <row r="1944" spans="2:4">
      <c r="B1944" s="43" t="s">
        <v>3403</v>
      </c>
      <c r="C1944" s="44">
        <v>4188</v>
      </c>
      <c r="D1944" s="45" t="s">
        <v>339</v>
      </c>
    </row>
    <row r="1945" spans="2:4">
      <c r="B1945" s="43" t="s">
        <v>3404</v>
      </c>
      <c r="C1945" s="44">
        <v>4189</v>
      </c>
      <c r="D1945" s="45" t="s">
        <v>339</v>
      </c>
    </row>
    <row r="1946" spans="2:4">
      <c r="B1946" s="43" t="s">
        <v>3405</v>
      </c>
      <c r="C1946" s="44">
        <v>4190</v>
      </c>
      <c r="D1946" s="45" t="s">
        <v>339</v>
      </c>
    </row>
    <row r="1947" spans="2:4">
      <c r="B1947" s="43" t="s">
        <v>3406</v>
      </c>
      <c r="C1947" s="44">
        <v>4191</v>
      </c>
      <c r="D1947" s="45" t="s">
        <v>339</v>
      </c>
    </row>
    <row r="1948" spans="2:4">
      <c r="B1948" s="43" t="s">
        <v>3407</v>
      </c>
      <c r="C1948" s="44">
        <v>4192</v>
      </c>
      <c r="D1948" s="45" t="s">
        <v>339</v>
      </c>
    </row>
    <row r="1949" spans="2:4">
      <c r="B1949" s="43" t="s">
        <v>3408</v>
      </c>
      <c r="C1949" s="44">
        <v>4193</v>
      </c>
      <c r="D1949" s="45" t="s">
        <v>339</v>
      </c>
    </row>
    <row r="1950" spans="2:4">
      <c r="B1950" s="43" t="s">
        <v>1573</v>
      </c>
      <c r="C1950" s="44">
        <v>4194</v>
      </c>
      <c r="D1950" s="45" t="s">
        <v>339</v>
      </c>
    </row>
    <row r="1951" spans="2:4">
      <c r="B1951" s="43" t="s">
        <v>3409</v>
      </c>
      <c r="C1951" s="44">
        <v>4195</v>
      </c>
      <c r="D1951" s="45" t="s">
        <v>339</v>
      </c>
    </row>
    <row r="1952" spans="2:4">
      <c r="B1952" s="43" t="s">
        <v>3410</v>
      </c>
      <c r="C1952" s="44">
        <v>4196</v>
      </c>
      <c r="D1952" s="45" t="s">
        <v>339</v>
      </c>
    </row>
    <row r="1953" spans="2:4">
      <c r="B1953" s="43" t="s">
        <v>3411</v>
      </c>
      <c r="C1953" s="44">
        <v>4197</v>
      </c>
      <c r="D1953" s="45" t="s">
        <v>339</v>
      </c>
    </row>
    <row r="1954" spans="2:4">
      <c r="B1954" s="43" t="s">
        <v>3412</v>
      </c>
      <c r="C1954" s="44">
        <v>4198</v>
      </c>
      <c r="D1954" s="45" t="s">
        <v>339</v>
      </c>
    </row>
    <row r="1955" spans="2:4">
      <c r="B1955" s="43" t="s">
        <v>3413</v>
      </c>
      <c r="C1955" s="44">
        <v>4199</v>
      </c>
      <c r="D1955" s="45" t="s">
        <v>339</v>
      </c>
    </row>
    <row r="1956" spans="2:4">
      <c r="B1956" s="43" t="s">
        <v>3414</v>
      </c>
      <c r="C1956" s="44">
        <v>4200</v>
      </c>
      <c r="D1956" s="45" t="s">
        <v>339</v>
      </c>
    </row>
    <row r="1957" spans="2:4">
      <c r="B1957" s="43" t="s">
        <v>3415</v>
      </c>
      <c r="C1957" s="44">
        <v>4201</v>
      </c>
      <c r="D1957" s="45" t="s">
        <v>339</v>
      </c>
    </row>
    <row r="1958" spans="2:4">
      <c r="B1958" s="43" t="s">
        <v>3416</v>
      </c>
      <c r="C1958" s="44">
        <v>4202</v>
      </c>
      <c r="D1958" s="45" t="s">
        <v>339</v>
      </c>
    </row>
    <row r="1959" spans="2:4">
      <c r="B1959" s="43" t="s">
        <v>3417</v>
      </c>
      <c r="C1959" s="44">
        <v>4203</v>
      </c>
      <c r="D1959" s="45" t="s">
        <v>339</v>
      </c>
    </row>
    <row r="1960" spans="2:4">
      <c r="B1960" s="43" t="s">
        <v>3418</v>
      </c>
      <c r="C1960" s="44">
        <v>4204</v>
      </c>
      <c r="D1960" s="45" t="s">
        <v>339</v>
      </c>
    </row>
    <row r="1961" spans="2:4">
      <c r="B1961" s="43" t="s">
        <v>3419</v>
      </c>
      <c r="C1961" s="44">
        <v>4205</v>
      </c>
      <c r="D1961" s="45" t="s">
        <v>339</v>
      </c>
    </row>
    <row r="1962" spans="2:4">
      <c r="B1962" s="43" t="s">
        <v>3420</v>
      </c>
      <c r="C1962" s="44">
        <v>4206</v>
      </c>
      <c r="D1962" s="45" t="s">
        <v>339</v>
      </c>
    </row>
    <row r="1963" spans="2:4">
      <c r="B1963" s="43" t="s">
        <v>3421</v>
      </c>
      <c r="C1963" s="44">
        <v>4207</v>
      </c>
      <c r="D1963" s="45" t="s">
        <v>339</v>
      </c>
    </row>
    <row r="1964" spans="2:4">
      <c r="B1964" s="43" t="s">
        <v>3422</v>
      </c>
      <c r="C1964" s="44">
        <v>4208</v>
      </c>
      <c r="D1964" s="45" t="s">
        <v>339</v>
      </c>
    </row>
    <row r="1965" spans="2:4">
      <c r="B1965" s="43" t="s">
        <v>3423</v>
      </c>
      <c r="C1965" s="44">
        <v>4209</v>
      </c>
      <c r="D1965" s="45" t="s">
        <v>339</v>
      </c>
    </row>
    <row r="1966" spans="2:4">
      <c r="B1966" s="43" t="s">
        <v>3424</v>
      </c>
      <c r="C1966" s="44">
        <v>4210</v>
      </c>
      <c r="D1966" s="45" t="s">
        <v>339</v>
      </c>
    </row>
    <row r="1967" spans="2:4">
      <c r="B1967" s="43" t="s">
        <v>1551</v>
      </c>
      <c r="C1967" s="44">
        <v>4211</v>
      </c>
      <c r="D1967" s="45" t="s">
        <v>339</v>
      </c>
    </row>
    <row r="1968" spans="2:4">
      <c r="B1968" s="43" t="s">
        <v>3425</v>
      </c>
      <c r="C1968" s="44">
        <v>4212</v>
      </c>
      <c r="D1968" s="45" t="s">
        <v>339</v>
      </c>
    </row>
    <row r="1969" spans="2:4">
      <c r="B1969" s="43" t="s">
        <v>3426</v>
      </c>
      <c r="C1969" s="44">
        <v>4213</v>
      </c>
      <c r="D1969" s="45" t="s">
        <v>339</v>
      </c>
    </row>
    <row r="1970" spans="2:4">
      <c r="B1970" s="43" t="s">
        <v>3427</v>
      </c>
      <c r="C1970" s="44">
        <v>4214</v>
      </c>
      <c r="D1970" s="45" t="s">
        <v>339</v>
      </c>
    </row>
    <row r="1971" spans="2:4">
      <c r="B1971" s="43" t="s">
        <v>1758</v>
      </c>
      <c r="C1971" s="44">
        <v>4219</v>
      </c>
      <c r="D1971" s="45" t="s">
        <v>339</v>
      </c>
    </row>
    <row r="1972" spans="2:4">
      <c r="B1972" s="43" t="s">
        <v>1548</v>
      </c>
      <c r="C1972" s="44">
        <v>4220</v>
      </c>
      <c r="D1972" s="45" t="s">
        <v>339</v>
      </c>
    </row>
    <row r="1973" spans="2:4">
      <c r="B1973" s="43" t="s">
        <v>1763</v>
      </c>
      <c r="C1973" s="44">
        <v>4221</v>
      </c>
      <c r="D1973" s="45" t="s">
        <v>339</v>
      </c>
    </row>
    <row r="1974" spans="2:4">
      <c r="B1974" s="43" t="s">
        <v>1769</v>
      </c>
      <c r="C1974" s="44">
        <v>9001</v>
      </c>
      <c r="D1974" s="45" t="s">
        <v>339</v>
      </c>
    </row>
    <row r="1975" spans="2:4">
      <c r="B1975" s="43" t="s">
        <v>3428</v>
      </c>
      <c r="C1975" s="44">
        <v>9002</v>
      </c>
      <c r="D1975" s="45" t="s">
        <v>339</v>
      </c>
    </row>
    <row r="1976" spans="2:4">
      <c r="B1976" s="43" t="s">
        <v>3429</v>
      </c>
      <c r="C1976" s="44">
        <v>9003</v>
      </c>
      <c r="D1976" s="45" t="s">
        <v>339</v>
      </c>
    </row>
    <row r="1977" spans="2:4">
      <c r="B1977" s="43" t="s">
        <v>3430</v>
      </c>
      <c r="C1977" s="44">
        <v>9004</v>
      </c>
      <c r="D1977" s="45" t="s">
        <v>339</v>
      </c>
    </row>
    <row r="1978" spans="2:4">
      <c r="B1978" s="43" t="s">
        <v>3431</v>
      </c>
      <c r="C1978" s="44">
        <v>9006</v>
      </c>
      <c r="D1978" s="45" t="s">
        <v>339</v>
      </c>
    </row>
    <row r="1979" spans="2:4">
      <c r="B1979" s="43" t="s">
        <v>3432</v>
      </c>
      <c r="C1979" s="44">
        <v>9007</v>
      </c>
      <c r="D1979" s="45" t="s">
        <v>339</v>
      </c>
    </row>
    <row r="1980" spans="2:4">
      <c r="B1980" s="43" t="s">
        <v>3433</v>
      </c>
      <c r="C1980" s="44">
        <v>9008</v>
      </c>
      <c r="D1980" s="45" t="s">
        <v>339</v>
      </c>
    </row>
    <row r="1981" spans="2:4">
      <c r="B1981" s="43" t="s">
        <v>3434</v>
      </c>
      <c r="C1981" s="44">
        <v>9009</v>
      </c>
      <c r="D1981" s="45" t="s">
        <v>339</v>
      </c>
    </row>
    <row r="1982" spans="2:4">
      <c r="B1982" s="43" t="s">
        <v>3435</v>
      </c>
      <c r="C1982" s="44">
        <v>9011</v>
      </c>
      <c r="D1982" s="45" t="s">
        <v>339</v>
      </c>
    </row>
    <row r="1983" spans="2:4">
      <c r="B1983" s="43" t="s">
        <v>3436</v>
      </c>
      <c r="C1983" s="44">
        <v>9012</v>
      </c>
      <c r="D1983" s="45" t="s">
        <v>339</v>
      </c>
    </row>
    <row r="1984" spans="2:4">
      <c r="B1984" s="43" t="s">
        <v>3437</v>
      </c>
      <c r="C1984" s="44">
        <v>9013</v>
      </c>
      <c r="D1984" s="45" t="s">
        <v>339</v>
      </c>
    </row>
    <row r="1985" spans="2:4">
      <c r="B1985" s="43" t="s">
        <v>3438</v>
      </c>
      <c r="C1985" s="44">
        <v>9014</v>
      </c>
      <c r="D1985" s="45" t="s">
        <v>339</v>
      </c>
    </row>
    <row r="1986" spans="2:4">
      <c r="B1986" s="43" t="s">
        <v>3439</v>
      </c>
      <c r="C1986" s="44">
        <v>9015</v>
      </c>
      <c r="D1986" s="45" t="s">
        <v>339</v>
      </c>
    </row>
    <row r="1987" spans="2:4">
      <c r="B1987" s="43" t="s">
        <v>3440</v>
      </c>
      <c r="C1987" s="44">
        <v>9016</v>
      </c>
      <c r="D1987" s="45" t="s">
        <v>339</v>
      </c>
    </row>
    <row r="1988" spans="2:4">
      <c r="B1988" s="43" t="s">
        <v>3441</v>
      </c>
      <c r="C1988" s="44">
        <v>9017</v>
      </c>
      <c r="D1988" s="45" t="s">
        <v>339</v>
      </c>
    </row>
    <row r="1989" spans="2:4">
      <c r="B1989" s="43" t="s">
        <v>3442</v>
      </c>
      <c r="C1989" s="44">
        <v>9018</v>
      </c>
      <c r="D1989" s="45" t="s">
        <v>339</v>
      </c>
    </row>
    <row r="1990" spans="2:4">
      <c r="B1990" s="43" t="s">
        <v>3443</v>
      </c>
      <c r="C1990" s="44">
        <v>9019</v>
      </c>
      <c r="D1990" s="45" t="s">
        <v>339</v>
      </c>
    </row>
    <row r="1991" spans="2:4">
      <c r="B1991" s="43" t="s">
        <v>559</v>
      </c>
      <c r="C1991" s="44">
        <v>9020</v>
      </c>
      <c r="D1991" s="45" t="s">
        <v>339</v>
      </c>
    </row>
    <row r="1992" spans="2:4">
      <c r="B1992" s="43" t="s">
        <v>3444</v>
      </c>
      <c r="C1992" s="44">
        <v>9021</v>
      </c>
      <c r="D1992" s="45" t="s">
        <v>339</v>
      </c>
    </row>
    <row r="1993" spans="2:4">
      <c r="B1993" s="43" t="s">
        <v>3445</v>
      </c>
      <c r="C1993" s="44">
        <v>9022</v>
      </c>
      <c r="D1993" s="45" t="s">
        <v>339</v>
      </c>
    </row>
    <row r="1994" spans="2:4">
      <c r="B1994" s="43" t="s">
        <v>3446</v>
      </c>
      <c r="C1994" s="44">
        <v>9023</v>
      </c>
      <c r="D1994" s="45" t="s">
        <v>339</v>
      </c>
    </row>
    <row r="1995" spans="2:4">
      <c r="B1995" s="43" t="s">
        <v>3447</v>
      </c>
      <c r="C1995" s="44">
        <v>9024</v>
      </c>
      <c r="D1995" s="45" t="s">
        <v>339</v>
      </c>
    </row>
    <row r="1996" spans="2:4">
      <c r="B1996" s="43" t="s">
        <v>3448</v>
      </c>
      <c r="C1996" s="44">
        <v>9025</v>
      </c>
      <c r="D1996" s="45" t="s">
        <v>339</v>
      </c>
    </row>
    <row r="1997" spans="2:4">
      <c r="B1997" s="43" t="s">
        <v>3449</v>
      </c>
      <c r="C1997" s="44">
        <v>9026</v>
      </c>
      <c r="D1997" s="45" t="s">
        <v>339</v>
      </c>
    </row>
    <row r="1998" spans="2:4">
      <c r="B1998" s="43" t="s">
        <v>3450</v>
      </c>
      <c r="C1998" s="44">
        <v>9027</v>
      </c>
      <c r="D1998" s="45" t="s">
        <v>339</v>
      </c>
    </row>
    <row r="1999" spans="2:4">
      <c r="B1999" s="43" t="s">
        <v>3451</v>
      </c>
      <c r="C1999" s="44">
        <v>9028</v>
      </c>
      <c r="D1999" s="45" t="s">
        <v>339</v>
      </c>
    </row>
    <row r="2000" spans="2:4">
      <c r="B2000" s="43" t="s">
        <v>3452</v>
      </c>
      <c r="C2000" s="44">
        <v>9029</v>
      </c>
      <c r="D2000" s="45" t="s">
        <v>339</v>
      </c>
    </row>
    <row r="2001" spans="2:4">
      <c r="B2001" s="43" t="s">
        <v>3453</v>
      </c>
      <c r="C2001" s="44">
        <v>9030</v>
      </c>
      <c r="D2001" s="45" t="s">
        <v>339</v>
      </c>
    </row>
    <row r="2002" spans="2:4">
      <c r="B2002" s="43" t="s">
        <v>3454</v>
      </c>
      <c r="C2002" s="44">
        <v>9031</v>
      </c>
      <c r="D2002" s="45" t="s">
        <v>339</v>
      </c>
    </row>
    <row r="2003" spans="2:4">
      <c r="B2003" s="43" t="s">
        <v>3455</v>
      </c>
      <c r="C2003" s="44">
        <v>9032</v>
      </c>
      <c r="D2003" s="45" t="s">
        <v>339</v>
      </c>
    </row>
    <row r="2004" spans="2:4">
      <c r="B2004" s="43" t="s">
        <v>3456</v>
      </c>
      <c r="C2004" s="44">
        <v>9033</v>
      </c>
      <c r="D2004" s="45" t="s">
        <v>339</v>
      </c>
    </row>
    <row r="2005" spans="2:4">
      <c r="B2005" s="43" t="s">
        <v>3457</v>
      </c>
      <c r="C2005" s="44">
        <v>9034</v>
      </c>
      <c r="D2005" s="45" t="s">
        <v>339</v>
      </c>
    </row>
    <row r="2006" spans="2:4">
      <c r="B2006" s="43" t="s">
        <v>3458</v>
      </c>
      <c r="C2006" s="44">
        <v>9035</v>
      </c>
      <c r="D2006" s="45" t="s">
        <v>339</v>
      </c>
    </row>
    <row r="2007" spans="2:4">
      <c r="B2007" s="43" t="s">
        <v>3459</v>
      </c>
      <c r="C2007" s="44">
        <v>9036</v>
      </c>
      <c r="D2007" s="45" t="s">
        <v>339</v>
      </c>
    </row>
    <row r="2008" spans="2:4">
      <c r="B2008" s="43" t="s">
        <v>3460</v>
      </c>
      <c r="C2008" s="44">
        <v>9037</v>
      </c>
      <c r="D2008" s="45" t="s">
        <v>339</v>
      </c>
    </row>
    <row r="2009" spans="2:4">
      <c r="B2009" s="43" t="s">
        <v>3461</v>
      </c>
      <c r="C2009" s="44">
        <v>9038</v>
      </c>
      <c r="D2009" s="45" t="s">
        <v>339</v>
      </c>
    </row>
    <row r="2010" spans="2:4">
      <c r="B2010" s="43" t="s">
        <v>3462</v>
      </c>
      <c r="C2010" s="44">
        <v>9039</v>
      </c>
      <c r="D2010" s="45" t="s">
        <v>339</v>
      </c>
    </row>
    <row r="2011" spans="2:4">
      <c r="B2011" s="43" t="s">
        <v>3463</v>
      </c>
      <c r="C2011" s="44">
        <v>9040</v>
      </c>
      <c r="D2011" s="45" t="s">
        <v>339</v>
      </c>
    </row>
    <row r="2012" spans="2:4">
      <c r="B2012" s="43" t="s">
        <v>3464</v>
      </c>
      <c r="C2012" s="44">
        <v>9041</v>
      </c>
      <c r="D2012" s="45" t="s">
        <v>339</v>
      </c>
    </row>
    <row r="2013" spans="2:4">
      <c r="B2013" s="43" t="s">
        <v>3465</v>
      </c>
      <c r="C2013" s="44">
        <v>9042</v>
      </c>
      <c r="D2013" s="45" t="s">
        <v>339</v>
      </c>
    </row>
    <row r="2014" spans="2:4">
      <c r="B2014" s="43" t="s">
        <v>3466</v>
      </c>
      <c r="C2014" s="44">
        <v>9043</v>
      </c>
      <c r="D2014" s="45" t="s">
        <v>339</v>
      </c>
    </row>
    <row r="2015" spans="2:4">
      <c r="B2015" s="43" t="s">
        <v>3467</v>
      </c>
      <c r="C2015" s="44">
        <v>9044</v>
      </c>
      <c r="D2015" s="45" t="s">
        <v>339</v>
      </c>
    </row>
    <row r="2016" spans="2:4">
      <c r="B2016" s="43" t="s">
        <v>3468</v>
      </c>
      <c r="C2016" s="44">
        <v>9045</v>
      </c>
      <c r="D2016" s="45" t="s">
        <v>339</v>
      </c>
    </row>
    <row r="2017" spans="2:4">
      <c r="B2017" s="43" t="s">
        <v>3469</v>
      </c>
      <c r="C2017" s="44">
        <v>9046</v>
      </c>
      <c r="D2017" s="45" t="s">
        <v>339</v>
      </c>
    </row>
    <row r="2018" spans="2:4">
      <c r="B2018" s="43" t="s">
        <v>3470</v>
      </c>
      <c r="C2018" s="44">
        <v>9047</v>
      </c>
      <c r="D2018" s="45" t="s">
        <v>339</v>
      </c>
    </row>
    <row r="2019" spans="2:4">
      <c r="B2019" s="43" t="s">
        <v>3471</v>
      </c>
      <c r="C2019" s="44">
        <v>9048</v>
      </c>
      <c r="D2019" s="45" t="s">
        <v>339</v>
      </c>
    </row>
    <row r="2020" spans="2:4">
      <c r="B2020" s="43" t="s">
        <v>3472</v>
      </c>
      <c r="C2020" s="44">
        <v>9049</v>
      </c>
      <c r="D2020" s="45" t="s">
        <v>339</v>
      </c>
    </row>
    <row r="2021" spans="2:4">
      <c r="B2021" s="43" t="s">
        <v>3473</v>
      </c>
      <c r="C2021" s="44">
        <v>9050</v>
      </c>
      <c r="D2021" s="45" t="s">
        <v>339</v>
      </c>
    </row>
    <row r="2022" spans="2:4">
      <c r="B2022" s="43" t="s">
        <v>3474</v>
      </c>
      <c r="C2022" s="44">
        <v>9051</v>
      </c>
      <c r="D2022" s="45" t="s">
        <v>339</v>
      </c>
    </row>
    <row r="2023" spans="2:4">
      <c r="B2023" s="43" t="s">
        <v>3475</v>
      </c>
      <c r="C2023" s="44">
        <v>9052</v>
      </c>
      <c r="D2023" s="45" t="s">
        <v>339</v>
      </c>
    </row>
    <row r="2024" spans="2:4">
      <c r="B2024" s="43" t="s">
        <v>3476</v>
      </c>
      <c r="C2024" s="44">
        <v>9053</v>
      </c>
      <c r="D2024" s="45" t="s">
        <v>339</v>
      </c>
    </row>
    <row r="2025" spans="2:4">
      <c r="B2025" s="43" t="s">
        <v>3477</v>
      </c>
      <c r="C2025" s="44">
        <v>9054</v>
      </c>
      <c r="D2025" s="45" t="s">
        <v>339</v>
      </c>
    </row>
    <row r="2026" spans="2:4">
      <c r="B2026" s="43" t="s">
        <v>3478</v>
      </c>
      <c r="C2026" s="44">
        <v>9055</v>
      </c>
      <c r="D2026" s="45" t="s">
        <v>339</v>
      </c>
    </row>
    <row r="2027" spans="2:4">
      <c r="B2027" s="43" t="s">
        <v>3479</v>
      </c>
      <c r="C2027" s="44">
        <v>9056</v>
      </c>
      <c r="D2027" s="45" t="s">
        <v>339</v>
      </c>
    </row>
    <row r="2028" spans="2:4">
      <c r="B2028" s="43" t="s">
        <v>3480</v>
      </c>
      <c r="C2028" s="44">
        <v>9057</v>
      </c>
      <c r="D2028" s="45" t="s">
        <v>339</v>
      </c>
    </row>
    <row r="2029" spans="2:4">
      <c r="B2029" s="43" t="s">
        <v>3481</v>
      </c>
      <c r="C2029" s="44">
        <v>9058</v>
      </c>
      <c r="D2029" s="45" t="s">
        <v>339</v>
      </c>
    </row>
    <row r="2030" spans="2:4">
      <c r="B2030" s="43" t="s">
        <v>3482</v>
      </c>
      <c r="C2030" s="44">
        <v>9059</v>
      </c>
      <c r="D2030" s="45" t="s">
        <v>339</v>
      </c>
    </row>
    <row r="2031" spans="2:4">
      <c r="B2031" s="43" t="s">
        <v>3483</v>
      </c>
      <c r="C2031" s="44">
        <v>9060</v>
      </c>
      <c r="D2031" s="45" t="s">
        <v>339</v>
      </c>
    </row>
    <row r="2032" spans="2:4">
      <c r="B2032" s="43" t="s">
        <v>1331</v>
      </c>
      <c r="C2032" s="44">
        <v>9061</v>
      </c>
      <c r="D2032" s="45" t="s">
        <v>339</v>
      </c>
    </row>
    <row r="2033" spans="2:4">
      <c r="B2033" s="43" t="s">
        <v>3484</v>
      </c>
      <c r="C2033" s="44">
        <v>9062</v>
      </c>
      <c r="D2033" s="45" t="s">
        <v>339</v>
      </c>
    </row>
    <row r="2034" spans="2:4">
      <c r="B2034" s="43" t="s">
        <v>3485</v>
      </c>
      <c r="C2034" s="44">
        <v>9063</v>
      </c>
      <c r="D2034" s="45" t="s">
        <v>339</v>
      </c>
    </row>
    <row r="2035" spans="2:4">
      <c r="B2035" s="43" t="s">
        <v>3486</v>
      </c>
      <c r="C2035" s="44">
        <v>9064</v>
      </c>
      <c r="D2035" s="45" t="s">
        <v>339</v>
      </c>
    </row>
    <row r="2036" spans="2:4">
      <c r="B2036" s="43" t="s">
        <v>3487</v>
      </c>
      <c r="C2036" s="44">
        <v>9065</v>
      </c>
      <c r="D2036" s="45" t="s">
        <v>339</v>
      </c>
    </row>
    <row r="2037" spans="2:4">
      <c r="B2037" s="43" t="s">
        <v>3488</v>
      </c>
      <c r="C2037" s="44">
        <v>9066</v>
      </c>
      <c r="D2037" s="45" t="s">
        <v>339</v>
      </c>
    </row>
    <row r="2038" spans="2:4">
      <c r="B2038" s="43" t="s">
        <v>3489</v>
      </c>
      <c r="C2038" s="44">
        <v>9067</v>
      </c>
      <c r="D2038" s="45" t="s">
        <v>339</v>
      </c>
    </row>
    <row r="2039" spans="2:4">
      <c r="B2039" s="43" t="s">
        <v>3490</v>
      </c>
      <c r="C2039" s="44">
        <v>9068</v>
      </c>
      <c r="D2039" s="45" t="s">
        <v>339</v>
      </c>
    </row>
    <row r="2040" spans="2:4">
      <c r="B2040" s="43" t="s">
        <v>3491</v>
      </c>
      <c r="C2040" s="44">
        <v>9070</v>
      </c>
      <c r="D2040" s="45" t="s">
        <v>339</v>
      </c>
    </row>
    <row r="2041" spans="2:4">
      <c r="B2041" s="43" t="s">
        <v>3492</v>
      </c>
      <c r="C2041" s="44">
        <v>9071</v>
      </c>
      <c r="D2041" s="45" t="s">
        <v>339</v>
      </c>
    </row>
    <row r="2042" spans="2:4">
      <c r="B2042" s="43" t="s">
        <v>3493</v>
      </c>
      <c r="C2042" s="44">
        <v>9072</v>
      </c>
      <c r="D2042" s="45" t="s">
        <v>339</v>
      </c>
    </row>
    <row r="2043" spans="2:4">
      <c r="B2043" s="43" t="s">
        <v>3494</v>
      </c>
      <c r="C2043" s="44">
        <v>9073</v>
      </c>
      <c r="D2043" s="45" t="s">
        <v>339</v>
      </c>
    </row>
    <row r="2044" spans="2:4">
      <c r="B2044" s="43" t="s">
        <v>3495</v>
      </c>
      <c r="C2044" s="44">
        <v>9074</v>
      </c>
      <c r="D2044" s="45" t="s">
        <v>339</v>
      </c>
    </row>
    <row r="2045" spans="2:4">
      <c r="B2045" s="43" t="s">
        <v>3496</v>
      </c>
      <c r="C2045" s="44">
        <v>9075</v>
      </c>
      <c r="D2045" s="45" t="s">
        <v>339</v>
      </c>
    </row>
    <row r="2046" spans="2:4">
      <c r="B2046" s="43" t="s">
        <v>986</v>
      </c>
      <c r="C2046" s="44">
        <v>9076</v>
      </c>
      <c r="D2046" s="45" t="s">
        <v>339</v>
      </c>
    </row>
    <row r="2047" spans="2:4">
      <c r="B2047" s="43" t="s">
        <v>3497</v>
      </c>
      <c r="C2047" s="44">
        <v>9077</v>
      </c>
      <c r="D2047" s="45" t="s">
        <v>339</v>
      </c>
    </row>
    <row r="2048" spans="2:4">
      <c r="B2048" s="43" t="s">
        <v>3498</v>
      </c>
      <c r="C2048" s="44">
        <v>9078</v>
      </c>
      <c r="D2048" s="45" t="s">
        <v>339</v>
      </c>
    </row>
    <row r="2049" spans="2:4">
      <c r="B2049" s="43" t="s">
        <v>3499</v>
      </c>
      <c r="C2049" s="44">
        <v>9079</v>
      </c>
      <c r="D2049" s="45" t="s">
        <v>339</v>
      </c>
    </row>
    <row r="2050" spans="2:4">
      <c r="B2050" s="43" t="s">
        <v>3500</v>
      </c>
      <c r="C2050" s="44">
        <v>9080</v>
      </c>
      <c r="D2050" s="45" t="s">
        <v>339</v>
      </c>
    </row>
    <row r="2051" spans="2:4">
      <c r="B2051" s="43" t="s">
        <v>3501</v>
      </c>
      <c r="C2051" s="44">
        <v>9081</v>
      </c>
      <c r="D2051" s="45" t="s">
        <v>339</v>
      </c>
    </row>
    <row r="2052" spans="2:4">
      <c r="B2052" s="43" t="s">
        <v>3502</v>
      </c>
      <c r="C2052" s="44">
        <v>9082</v>
      </c>
      <c r="D2052" s="45" t="s">
        <v>339</v>
      </c>
    </row>
    <row r="2053" spans="2:4">
      <c r="B2053" s="43" t="s">
        <v>3503</v>
      </c>
      <c r="C2053" s="44">
        <v>9083</v>
      </c>
      <c r="D2053" s="45" t="s">
        <v>339</v>
      </c>
    </row>
    <row r="2054" spans="2:4">
      <c r="B2054" s="43" t="s">
        <v>3504</v>
      </c>
      <c r="C2054" s="44">
        <v>9084</v>
      </c>
      <c r="D2054" s="45" t="s">
        <v>339</v>
      </c>
    </row>
    <row r="2055" spans="2:4">
      <c r="B2055" s="43" t="s">
        <v>3505</v>
      </c>
      <c r="C2055" s="44">
        <v>9085</v>
      </c>
      <c r="D2055" s="45" t="s">
        <v>339</v>
      </c>
    </row>
    <row r="2056" spans="2:4">
      <c r="B2056" s="43" t="s">
        <v>3506</v>
      </c>
      <c r="C2056" s="44">
        <v>9086</v>
      </c>
      <c r="D2056" s="45" t="s">
        <v>339</v>
      </c>
    </row>
    <row r="2057" spans="2:4">
      <c r="B2057" s="43" t="s">
        <v>3507</v>
      </c>
      <c r="C2057" s="44">
        <v>9087</v>
      </c>
      <c r="D2057" s="45" t="s">
        <v>339</v>
      </c>
    </row>
    <row r="2058" spans="2:4">
      <c r="B2058" s="43" t="s">
        <v>3508</v>
      </c>
      <c r="C2058" s="44">
        <v>9088</v>
      </c>
      <c r="D2058" s="45" t="s">
        <v>339</v>
      </c>
    </row>
    <row r="2059" spans="2:4">
      <c r="B2059" s="43" t="s">
        <v>3509</v>
      </c>
      <c r="C2059" s="44">
        <v>9089</v>
      </c>
      <c r="D2059" s="45" t="s">
        <v>339</v>
      </c>
    </row>
    <row r="2060" spans="2:4">
      <c r="B2060" s="43" t="s">
        <v>3510</v>
      </c>
      <c r="C2060" s="44">
        <v>9090</v>
      </c>
      <c r="D2060" s="45" t="s">
        <v>339</v>
      </c>
    </row>
    <row r="2061" spans="2:4">
      <c r="B2061" s="43" t="s">
        <v>3511</v>
      </c>
      <c r="C2061" s="44">
        <v>9091</v>
      </c>
      <c r="D2061" s="45" t="s">
        <v>339</v>
      </c>
    </row>
    <row r="2062" spans="2:4">
      <c r="B2062" s="43" t="s">
        <v>3512</v>
      </c>
      <c r="C2062" s="44">
        <v>9092</v>
      </c>
      <c r="D2062" s="45" t="s">
        <v>339</v>
      </c>
    </row>
    <row r="2063" spans="2:4">
      <c r="B2063" s="43" t="s">
        <v>3513</v>
      </c>
      <c r="C2063" s="44">
        <v>9093</v>
      </c>
      <c r="D2063" s="45" t="s">
        <v>339</v>
      </c>
    </row>
    <row r="2064" spans="2:4">
      <c r="B2064" s="43" t="s">
        <v>3514</v>
      </c>
      <c r="C2064" s="44">
        <v>9094</v>
      </c>
      <c r="D2064" s="45" t="s">
        <v>339</v>
      </c>
    </row>
    <row r="2065" spans="2:4">
      <c r="B2065" s="43" t="s">
        <v>3515</v>
      </c>
      <c r="C2065" s="44">
        <v>9095</v>
      </c>
      <c r="D2065" s="45" t="s">
        <v>339</v>
      </c>
    </row>
    <row r="2066" spans="2:4">
      <c r="B2066" s="43" t="s">
        <v>3516</v>
      </c>
      <c r="C2066" s="44">
        <v>9096</v>
      </c>
      <c r="D2066" s="45" t="s">
        <v>339</v>
      </c>
    </row>
    <row r="2067" spans="2:4">
      <c r="B2067" s="43" t="s">
        <v>3517</v>
      </c>
      <c r="C2067" s="44">
        <v>9097</v>
      </c>
      <c r="D2067" s="45" t="s">
        <v>339</v>
      </c>
    </row>
    <row r="2068" spans="2:4">
      <c r="B2068" s="43" t="s">
        <v>3518</v>
      </c>
      <c r="C2068" s="44">
        <v>9098</v>
      </c>
      <c r="D2068" s="45" t="s">
        <v>339</v>
      </c>
    </row>
    <row r="2069" spans="2:4">
      <c r="B2069" s="43" t="s">
        <v>3519</v>
      </c>
      <c r="C2069" s="44">
        <v>9099</v>
      </c>
      <c r="D2069" s="45" t="s">
        <v>339</v>
      </c>
    </row>
    <row r="2070" spans="2:4">
      <c r="B2070" s="43" t="s">
        <v>3520</v>
      </c>
      <c r="C2070" s="44">
        <v>9100</v>
      </c>
      <c r="D2070" s="45" t="s">
        <v>339</v>
      </c>
    </row>
    <row r="2071" spans="2:4">
      <c r="B2071" s="43" t="s">
        <v>3521</v>
      </c>
      <c r="C2071" s="44">
        <v>9101</v>
      </c>
      <c r="D2071" s="45" t="s">
        <v>339</v>
      </c>
    </row>
    <row r="2072" spans="2:4">
      <c r="B2072" s="43" t="s">
        <v>3522</v>
      </c>
      <c r="C2072" s="44">
        <v>9102</v>
      </c>
      <c r="D2072" s="45" t="s">
        <v>339</v>
      </c>
    </row>
    <row r="2073" spans="2:4">
      <c r="B2073" s="43" t="s">
        <v>3523</v>
      </c>
      <c r="C2073" s="44">
        <v>9103</v>
      </c>
      <c r="D2073" s="45" t="s">
        <v>339</v>
      </c>
    </row>
    <row r="2074" spans="2:4">
      <c r="B2074" s="43" t="s">
        <v>3524</v>
      </c>
      <c r="C2074" s="44">
        <v>9104</v>
      </c>
      <c r="D2074" s="45" t="s">
        <v>339</v>
      </c>
    </row>
    <row r="2075" spans="2:4">
      <c r="B2075" s="43" t="s">
        <v>3525</v>
      </c>
      <c r="C2075" s="44">
        <v>9105</v>
      </c>
      <c r="D2075" s="45" t="s">
        <v>339</v>
      </c>
    </row>
    <row r="2076" spans="2:4">
      <c r="B2076" s="43" t="s">
        <v>3526</v>
      </c>
      <c r="C2076" s="44">
        <v>9106</v>
      </c>
      <c r="D2076" s="45" t="s">
        <v>339</v>
      </c>
    </row>
    <row r="2077" spans="2:4">
      <c r="B2077" s="43" t="s">
        <v>422</v>
      </c>
      <c r="C2077" s="44">
        <v>9107</v>
      </c>
      <c r="D2077" s="45" t="s">
        <v>339</v>
      </c>
    </row>
    <row r="2078" spans="2:4">
      <c r="B2078" s="43" t="s">
        <v>731</v>
      </c>
      <c r="C2078" s="44">
        <v>9108</v>
      </c>
      <c r="D2078" s="45" t="s">
        <v>339</v>
      </c>
    </row>
    <row r="2079" spans="2:4">
      <c r="B2079" s="43" t="s">
        <v>586</v>
      </c>
      <c r="C2079" s="44">
        <v>9109</v>
      </c>
      <c r="D2079" s="45" t="s">
        <v>339</v>
      </c>
    </row>
    <row r="2080" spans="2:4">
      <c r="B2080" s="43" t="s">
        <v>590</v>
      </c>
      <c r="C2080" s="44">
        <v>9110</v>
      </c>
      <c r="D2080" s="45" t="s">
        <v>339</v>
      </c>
    </row>
    <row r="2081" spans="2:4">
      <c r="B2081" s="43" t="s">
        <v>3527</v>
      </c>
      <c r="C2081" s="44">
        <v>9111</v>
      </c>
      <c r="D2081" s="45" t="s">
        <v>339</v>
      </c>
    </row>
    <row r="2082" spans="2:4">
      <c r="B2082" s="43" t="s">
        <v>3528</v>
      </c>
      <c r="C2082" s="44">
        <v>9112</v>
      </c>
      <c r="D2082" s="45" t="s">
        <v>339</v>
      </c>
    </row>
    <row r="2083" spans="2:4">
      <c r="B2083" s="43" t="s">
        <v>3529</v>
      </c>
      <c r="C2083" s="44">
        <v>9113</v>
      </c>
      <c r="D2083" s="45" t="s">
        <v>339</v>
      </c>
    </row>
    <row r="2084" spans="2:4">
      <c r="B2084" s="43" t="s">
        <v>3530</v>
      </c>
      <c r="C2084" s="44">
        <v>9114</v>
      </c>
      <c r="D2084" s="45" t="s">
        <v>339</v>
      </c>
    </row>
    <row r="2085" spans="2:4">
      <c r="B2085" s="43" t="s">
        <v>597</v>
      </c>
      <c r="C2085" s="44">
        <v>9115</v>
      </c>
      <c r="D2085" s="45" t="s">
        <v>339</v>
      </c>
    </row>
    <row r="2086" spans="2:4">
      <c r="B2086" s="43" t="s">
        <v>599</v>
      </c>
      <c r="C2086" s="44">
        <v>9116</v>
      </c>
      <c r="D2086" s="45" t="s">
        <v>339</v>
      </c>
    </row>
    <row r="2087" spans="2:4">
      <c r="B2087" s="43" t="s">
        <v>3531</v>
      </c>
      <c r="C2087" s="44">
        <v>9117</v>
      </c>
      <c r="D2087" s="45" t="s">
        <v>339</v>
      </c>
    </row>
    <row r="2088" spans="2:4">
      <c r="B2088" s="43" t="s">
        <v>1427</v>
      </c>
      <c r="C2088" s="44">
        <v>9118</v>
      </c>
      <c r="D2088" s="45" t="s">
        <v>339</v>
      </c>
    </row>
    <row r="2089" spans="2:4">
      <c r="B2089" s="43" t="s">
        <v>3532</v>
      </c>
      <c r="C2089" s="44">
        <v>9119</v>
      </c>
      <c r="D2089" s="45" t="s">
        <v>339</v>
      </c>
    </row>
    <row r="2090" spans="2:4">
      <c r="B2090" s="43" t="s">
        <v>3533</v>
      </c>
      <c r="C2090" s="44">
        <v>9120</v>
      </c>
      <c r="D2090" s="45" t="s">
        <v>339</v>
      </c>
    </row>
    <row r="2091" spans="2:4">
      <c r="B2091" s="43" t="s">
        <v>1703</v>
      </c>
      <c r="C2091" s="44">
        <v>9121</v>
      </c>
      <c r="D2091" s="45" t="s">
        <v>339</v>
      </c>
    </row>
    <row r="2092" spans="2:4">
      <c r="B2092" s="43" t="s">
        <v>1697</v>
      </c>
      <c r="C2092" s="44">
        <v>9122</v>
      </c>
      <c r="D2092" s="45" t="s">
        <v>339</v>
      </c>
    </row>
    <row r="2093" spans="2:4">
      <c r="B2093" s="43" t="s">
        <v>1699</v>
      </c>
      <c r="C2093" s="44">
        <v>9123</v>
      </c>
      <c r="D2093" s="45" t="s">
        <v>339</v>
      </c>
    </row>
    <row r="2094" spans="2:4">
      <c r="B2094" s="43" t="s">
        <v>3534</v>
      </c>
      <c r="C2094" s="44">
        <v>9124</v>
      </c>
      <c r="D2094" s="45" t="s">
        <v>339</v>
      </c>
    </row>
    <row r="2095" spans="2:4">
      <c r="B2095" s="43" t="s">
        <v>3535</v>
      </c>
      <c r="C2095" s="44">
        <v>9125</v>
      </c>
      <c r="D2095" s="45" t="s">
        <v>339</v>
      </c>
    </row>
    <row r="2096" spans="2:4">
      <c r="B2096" s="43" t="s">
        <v>1588</v>
      </c>
      <c r="C2096" s="44">
        <v>9126</v>
      </c>
      <c r="D2096" s="45" t="s">
        <v>339</v>
      </c>
    </row>
    <row r="2097" spans="2:4">
      <c r="B2097" s="43" t="s">
        <v>3536</v>
      </c>
      <c r="C2097" s="44">
        <v>9127</v>
      </c>
      <c r="D2097" s="45" t="s">
        <v>339</v>
      </c>
    </row>
    <row r="2098" spans="2:4">
      <c r="B2098" s="43" t="s">
        <v>3537</v>
      </c>
      <c r="C2098" s="44">
        <v>9128</v>
      </c>
      <c r="D2098" s="45" t="s">
        <v>339</v>
      </c>
    </row>
    <row r="2099" spans="2:4">
      <c r="B2099" s="43" t="s">
        <v>739</v>
      </c>
      <c r="C2099" s="44">
        <v>9129</v>
      </c>
      <c r="D2099" s="45" t="s">
        <v>339</v>
      </c>
    </row>
    <row r="2100" spans="2:4">
      <c r="B2100" s="43" t="s">
        <v>743</v>
      </c>
      <c r="C2100" s="44">
        <v>9130</v>
      </c>
      <c r="D2100" s="45" t="s">
        <v>339</v>
      </c>
    </row>
    <row r="2101" spans="2:4">
      <c r="B2101" s="43" t="s">
        <v>749</v>
      </c>
      <c r="C2101" s="44">
        <v>9131</v>
      </c>
      <c r="D2101" s="45" t="s">
        <v>339</v>
      </c>
    </row>
    <row r="2102" spans="2:4">
      <c r="B2102" s="43" t="s">
        <v>1066</v>
      </c>
      <c r="C2102" s="44">
        <v>9132</v>
      </c>
      <c r="D2102" s="45" t="s">
        <v>339</v>
      </c>
    </row>
    <row r="2103" spans="2:4">
      <c r="B2103" s="43" t="s">
        <v>751</v>
      </c>
      <c r="C2103" s="44">
        <v>9133</v>
      </c>
      <c r="D2103" s="45" t="s">
        <v>339</v>
      </c>
    </row>
    <row r="2104" spans="2:4">
      <c r="B2104" s="43" t="s">
        <v>764</v>
      </c>
      <c r="C2104" s="44">
        <v>9134</v>
      </c>
      <c r="D2104" s="45" t="s">
        <v>339</v>
      </c>
    </row>
    <row r="2105" spans="2:4">
      <c r="B2105" s="43" t="s">
        <v>3538</v>
      </c>
      <c r="C2105" s="44">
        <v>9135</v>
      </c>
      <c r="D2105" s="45" t="s">
        <v>339</v>
      </c>
    </row>
    <row r="2106" spans="2:4">
      <c r="B2106" s="43" t="s">
        <v>755</v>
      </c>
      <c r="C2106" s="44">
        <v>9136</v>
      </c>
      <c r="D2106" s="45" t="s">
        <v>339</v>
      </c>
    </row>
    <row r="2107" spans="2:4">
      <c r="B2107" s="43" t="s">
        <v>766</v>
      </c>
      <c r="C2107" s="44">
        <v>9137</v>
      </c>
      <c r="D2107" s="45" t="s">
        <v>339</v>
      </c>
    </row>
    <row r="2108" spans="2:4">
      <c r="B2108" s="43" t="s">
        <v>3539</v>
      </c>
      <c r="C2108" s="44">
        <v>9138</v>
      </c>
      <c r="D2108" s="45" t="s">
        <v>339</v>
      </c>
    </row>
    <row r="2109" spans="2:4">
      <c r="B2109" s="43" t="s">
        <v>757</v>
      </c>
      <c r="C2109" s="44">
        <v>9139</v>
      </c>
      <c r="D2109" s="45" t="s">
        <v>339</v>
      </c>
    </row>
    <row r="2110" spans="2:4">
      <c r="B2110" s="43" t="s">
        <v>3540</v>
      </c>
      <c r="C2110" s="44">
        <v>9140</v>
      </c>
      <c r="D2110" s="45" t="s">
        <v>339</v>
      </c>
    </row>
    <row r="2111" spans="2:4">
      <c r="B2111" s="43" t="s">
        <v>3541</v>
      </c>
      <c r="C2111" s="44">
        <v>9141</v>
      </c>
      <c r="D2111" s="45" t="s">
        <v>339</v>
      </c>
    </row>
    <row r="2112" spans="2:4">
      <c r="B2112" s="43" t="s">
        <v>3542</v>
      </c>
      <c r="C2112" s="44">
        <v>9142</v>
      </c>
      <c r="D2112" s="45" t="s">
        <v>339</v>
      </c>
    </row>
    <row r="2113" spans="2:4">
      <c r="B2113" s="43" t="s">
        <v>3543</v>
      </c>
      <c r="C2113" s="44">
        <v>9143</v>
      </c>
      <c r="D2113" s="45" t="s">
        <v>339</v>
      </c>
    </row>
    <row r="2114" spans="2:4">
      <c r="B2114" s="43" t="s">
        <v>3544</v>
      </c>
      <c r="C2114" s="44">
        <v>9144</v>
      </c>
      <c r="D2114" s="45" t="s">
        <v>339</v>
      </c>
    </row>
    <row r="2115" spans="2:4">
      <c r="B2115" s="43" t="s">
        <v>3545</v>
      </c>
      <c r="C2115" s="44">
        <v>9145</v>
      </c>
      <c r="D2115" s="45" t="s">
        <v>339</v>
      </c>
    </row>
    <row r="2116" spans="2:4">
      <c r="B2116" s="43" t="s">
        <v>1417</v>
      </c>
      <c r="C2116" s="44">
        <v>9146</v>
      </c>
      <c r="D2116" s="45" t="s">
        <v>339</v>
      </c>
    </row>
    <row r="2117" spans="2:4">
      <c r="B2117" s="43" t="s">
        <v>1546</v>
      </c>
      <c r="C2117" s="44">
        <v>9147</v>
      </c>
      <c r="D2117" s="45" t="s">
        <v>339</v>
      </c>
    </row>
    <row r="2118" spans="2:4">
      <c r="B2118" s="43" t="s">
        <v>3546</v>
      </c>
      <c r="C2118" s="44">
        <v>9148</v>
      </c>
      <c r="D2118" s="45" t="s">
        <v>339</v>
      </c>
    </row>
    <row r="2119" spans="2:4">
      <c r="B2119" s="43" t="s">
        <v>969</v>
      </c>
      <c r="C2119" s="44">
        <v>9149</v>
      </c>
      <c r="D2119" s="45" t="s">
        <v>339</v>
      </c>
    </row>
    <row r="2120" spans="2:4">
      <c r="B2120" s="43" t="s">
        <v>1011</v>
      </c>
      <c r="C2120" s="44">
        <v>9150</v>
      </c>
      <c r="D2120" s="45" t="s">
        <v>339</v>
      </c>
    </row>
    <row r="2121" spans="2:4">
      <c r="B2121" s="43" t="s">
        <v>1853</v>
      </c>
      <c r="C2121" s="44">
        <v>9151</v>
      </c>
      <c r="D2121" s="45" t="s">
        <v>339</v>
      </c>
    </row>
    <row r="2122" spans="2:4">
      <c r="B2122" s="43" t="s">
        <v>3547</v>
      </c>
      <c r="C2122" s="44">
        <v>9152</v>
      </c>
      <c r="D2122" s="45" t="s">
        <v>339</v>
      </c>
    </row>
    <row r="2123" spans="2:4">
      <c r="B2123" s="43" t="s">
        <v>3548</v>
      </c>
      <c r="C2123" s="44">
        <v>9153</v>
      </c>
      <c r="D2123" s="45" t="s">
        <v>339</v>
      </c>
    </row>
    <row r="2124" spans="2:4">
      <c r="B2124" s="43" t="s">
        <v>3549</v>
      </c>
      <c r="C2124" s="44">
        <v>9154</v>
      </c>
      <c r="D2124" s="45" t="s">
        <v>339</v>
      </c>
    </row>
    <row r="2125" spans="2:4">
      <c r="B2125" s="43" t="s">
        <v>3550</v>
      </c>
      <c r="C2125" s="44">
        <v>9155</v>
      </c>
      <c r="D2125" s="45" t="s">
        <v>339</v>
      </c>
    </row>
    <row r="2126" spans="2:4">
      <c r="B2126" s="43" t="s">
        <v>3551</v>
      </c>
      <c r="C2126" s="44">
        <v>9156</v>
      </c>
      <c r="D2126" s="45" t="s">
        <v>339</v>
      </c>
    </row>
    <row r="2127" spans="2:4">
      <c r="B2127" s="43" t="s">
        <v>3552</v>
      </c>
      <c r="C2127" s="44">
        <v>9157</v>
      </c>
      <c r="D2127" s="45" t="s">
        <v>339</v>
      </c>
    </row>
    <row r="2128" spans="2:4">
      <c r="B2128" s="43" t="s">
        <v>3553</v>
      </c>
      <c r="C2128" s="44">
        <v>9158</v>
      </c>
      <c r="D2128" s="45" t="s">
        <v>339</v>
      </c>
    </row>
    <row r="2129" spans="2:4">
      <c r="B2129" s="43" t="s">
        <v>3554</v>
      </c>
      <c r="C2129" s="44">
        <v>9159</v>
      </c>
      <c r="D2129" s="45" t="s">
        <v>339</v>
      </c>
    </row>
    <row r="2130" spans="2:4">
      <c r="B2130" s="43" t="s">
        <v>3555</v>
      </c>
      <c r="C2130" s="44">
        <v>9160</v>
      </c>
      <c r="D2130" s="45" t="s">
        <v>339</v>
      </c>
    </row>
    <row r="2131" spans="2:4">
      <c r="B2131" s="43" t="s">
        <v>3556</v>
      </c>
      <c r="C2131" s="44">
        <v>9161</v>
      </c>
      <c r="D2131" s="45" t="s">
        <v>339</v>
      </c>
    </row>
    <row r="2132" spans="2:4">
      <c r="B2132" s="43" t="s">
        <v>3557</v>
      </c>
      <c r="C2132" s="44">
        <v>9162</v>
      </c>
      <c r="D2132" s="45" t="s">
        <v>339</v>
      </c>
    </row>
    <row r="2133" spans="2:4">
      <c r="B2133" s="43" t="s">
        <v>3558</v>
      </c>
      <c r="C2133" s="44">
        <v>9163</v>
      </c>
      <c r="D2133" s="45" t="s">
        <v>339</v>
      </c>
    </row>
    <row r="2134" spans="2:4">
      <c r="B2134" s="43" t="s">
        <v>3559</v>
      </c>
      <c r="C2134" s="44">
        <v>9164</v>
      </c>
      <c r="D2134" s="45" t="s">
        <v>339</v>
      </c>
    </row>
    <row r="2135" spans="2:4">
      <c r="B2135" s="43" t="s">
        <v>1185</v>
      </c>
      <c r="C2135" s="44">
        <v>9165</v>
      </c>
      <c r="D2135" s="45" t="s">
        <v>339</v>
      </c>
    </row>
    <row r="2136" spans="2:4">
      <c r="B2136" s="43" t="s">
        <v>3560</v>
      </c>
      <c r="C2136" s="44">
        <v>9166</v>
      </c>
      <c r="D2136" s="45" t="s">
        <v>339</v>
      </c>
    </row>
    <row r="2137" spans="2:4">
      <c r="B2137" s="43" t="s">
        <v>3561</v>
      </c>
      <c r="C2137" s="44">
        <v>9167</v>
      </c>
      <c r="D2137" s="45" t="s">
        <v>339</v>
      </c>
    </row>
    <row r="2138" spans="2:4">
      <c r="B2138" s="43" t="s">
        <v>3562</v>
      </c>
      <c r="C2138" s="44">
        <v>9168</v>
      </c>
      <c r="D2138" s="45" t="s">
        <v>339</v>
      </c>
    </row>
    <row r="2139" spans="2:4">
      <c r="B2139" s="43" t="s">
        <v>3563</v>
      </c>
      <c r="C2139" s="44">
        <v>9169</v>
      </c>
      <c r="D2139" s="45" t="s">
        <v>339</v>
      </c>
    </row>
    <row r="2140" spans="2:4">
      <c r="B2140" s="43" t="s">
        <v>3564</v>
      </c>
      <c r="C2140" s="44">
        <v>9170</v>
      </c>
      <c r="D2140" s="45" t="s">
        <v>339</v>
      </c>
    </row>
    <row r="2141" spans="2:4">
      <c r="B2141" s="43" t="s">
        <v>3565</v>
      </c>
      <c r="C2141" s="44">
        <v>9171</v>
      </c>
      <c r="D2141" s="45" t="s">
        <v>339</v>
      </c>
    </row>
    <row r="2142" spans="2:4">
      <c r="B2142" s="43" t="s">
        <v>3566</v>
      </c>
      <c r="C2142" s="44">
        <v>9172</v>
      </c>
      <c r="D2142" s="45" t="s">
        <v>339</v>
      </c>
    </row>
    <row r="2143" spans="2:4">
      <c r="B2143" s="43" t="s">
        <v>3567</v>
      </c>
      <c r="C2143" s="44">
        <v>9173</v>
      </c>
      <c r="D2143" s="45" t="s">
        <v>339</v>
      </c>
    </row>
    <row r="2144" spans="2:4">
      <c r="B2144" s="43" t="s">
        <v>3568</v>
      </c>
      <c r="C2144" s="44">
        <v>9174</v>
      </c>
      <c r="D2144" s="45" t="s">
        <v>339</v>
      </c>
    </row>
    <row r="2145" spans="2:4">
      <c r="B2145" s="43" t="s">
        <v>3569</v>
      </c>
      <c r="C2145" s="44">
        <v>9175</v>
      </c>
      <c r="D2145" s="45" t="s">
        <v>339</v>
      </c>
    </row>
    <row r="2146" spans="2:4">
      <c r="B2146" s="43" t="s">
        <v>3570</v>
      </c>
      <c r="C2146" s="44">
        <v>9176</v>
      </c>
      <c r="D2146" s="45" t="s">
        <v>339</v>
      </c>
    </row>
    <row r="2147" spans="2:4">
      <c r="B2147" s="43" t="s">
        <v>3571</v>
      </c>
      <c r="C2147" s="44">
        <v>9177</v>
      </c>
      <c r="D2147" s="45" t="s">
        <v>339</v>
      </c>
    </row>
    <row r="2148" spans="2:4">
      <c r="B2148" s="43" t="s">
        <v>3572</v>
      </c>
      <c r="C2148" s="44">
        <v>9178</v>
      </c>
      <c r="D2148" s="45" t="s">
        <v>339</v>
      </c>
    </row>
    <row r="2149" spans="2:4">
      <c r="B2149" s="43" t="s">
        <v>3573</v>
      </c>
      <c r="C2149" s="44">
        <v>9179</v>
      </c>
      <c r="D2149" s="45" t="s">
        <v>339</v>
      </c>
    </row>
    <row r="2150" spans="2:4">
      <c r="B2150" s="43" t="s">
        <v>3574</v>
      </c>
      <c r="C2150" s="44">
        <v>9180</v>
      </c>
      <c r="D2150" s="45" t="s">
        <v>339</v>
      </c>
    </row>
    <row r="2151" spans="2:4">
      <c r="B2151" s="43" t="s">
        <v>3575</v>
      </c>
      <c r="C2151" s="44">
        <v>9181</v>
      </c>
      <c r="D2151" s="45" t="s">
        <v>339</v>
      </c>
    </row>
    <row r="2152" spans="2:4">
      <c r="B2152" s="43" t="s">
        <v>3576</v>
      </c>
      <c r="C2152" s="44">
        <v>9182</v>
      </c>
      <c r="D2152" s="45" t="s">
        <v>339</v>
      </c>
    </row>
    <row r="2153" spans="2:4">
      <c r="B2153" s="43" t="s">
        <v>3577</v>
      </c>
      <c r="C2153" s="44">
        <v>9183</v>
      </c>
      <c r="D2153" s="45" t="s">
        <v>339</v>
      </c>
    </row>
    <row r="2154" spans="2:4">
      <c r="B2154" s="43" t="s">
        <v>3578</v>
      </c>
      <c r="C2154" s="44">
        <v>9184</v>
      </c>
      <c r="D2154" s="45" t="s">
        <v>339</v>
      </c>
    </row>
    <row r="2155" spans="2:4">
      <c r="B2155" s="43" t="s">
        <v>3579</v>
      </c>
      <c r="C2155" s="44">
        <v>9185</v>
      </c>
      <c r="D2155" s="45" t="s">
        <v>339</v>
      </c>
    </row>
    <row r="2156" spans="2:4">
      <c r="B2156" s="43" t="s">
        <v>3580</v>
      </c>
      <c r="C2156" s="44">
        <v>9186</v>
      </c>
      <c r="D2156" s="45" t="s">
        <v>339</v>
      </c>
    </row>
    <row r="2157" spans="2:4">
      <c r="B2157" s="43" t="s">
        <v>3581</v>
      </c>
      <c r="C2157" s="44">
        <v>9187</v>
      </c>
      <c r="D2157" s="45" t="s">
        <v>339</v>
      </c>
    </row>
    <row r="2158" spans="2:4">
      <c r="B2158" s="43" t="s">
        <v>3582</v>
      </c>
      <c r="C2158" s="44">
        <v>9188</v>
      </c>
      <c r="D2158" s="45" t="s">
        <v>339</v>
      </c>
    </row>
    <row r="2159" spans="2:4">
      <c r="B2159" s="43" t="s">
        <v>3583</v>
      </c>
      <c r="C2159" s="44">
        <v>9189</v>
      </c>
      <c r="D2159" s="45" t="s">
        <v>339</v>
      </c>
    </row>
    <row r="2160" spans="2:4">
      <c r="B2160" s="43" t="s">
        <v>3584</v>
      </c>
      <c r="C2160" s="44">
        <v>9190</v>
      </c>
      <c r="D2160" s="45" t="s">
        <v>339</v>
      </c>
    </row>
    <row r="2161" spans="2:4">
      <c r="B2161" s="43" t="s">
        <v>3585</v>
      </c>
      <c r="C2161" s="44">
        <v>9191</v>
      </c>
      <c r="D2161" s="45" t="s">
        <v>339</v>
      </c>
    </row>
    <row r="2162" spans="2:4">
      <c r="B2162" s="43" t="s">
        <v>3586</v>
      </c>
      <c r="C2162" s="44">
        <v>9192</v>
      </c>
      <c r="D2162" s="45" t="s">
        <v>339</v>
      </c>
    </row>
    <row r="2163" spans="2:4">
      <c r="B2163" s="43" t="s">
        <v>3587</v>
      </c>
      <c r="C2163" s="44">
        <v>9193</v>
      </c>
      <c r="D2163" s="45" t="s">
        <v>339</v>
      </c>
    </row>
    <row r="2164" spans="2:4">
      <c r="B2164" s="43" t="s">
        <v>3588</v>
      </c>
      <c r="C2164" s="44">
        <v>9194</v>
      </c>
      <c r="D2164" s="45" t="s">
        <v>339</v>
      </c>
    </row>
    <row r="2165" spans="2:4">
      <c r="B2165" s="43" t="s">
        <v>3589</v>
      </c>
      <c r="C2165" s="44">
        <v>9195</v>
      </c>
      <c r="D2165" s="45" t="s">
        <v>339</v>
      </c>
    </row>
    <row r="2166" spans="2:4">
      <c r="B2166" s="43" t="s">
        <v>3590</v>
      </c>
      <c r="C2166" s="44">
        <v>9196</v>
      </c>
      <c r="D2166" s="45" t="s">
        <v>339</v>
      </c>
    </row>
    <row r="2167" spans="2:4">
      <c r="B2167" s="43" t="s">
        <v>3591</v>
      </c>
      <c r="C2167" s="44">
        <v>9197</v>
      </c>
      <c r="D2167" s="45" t="s">
        <v>339</v>
      </c>
    </row>
    <row r="2168" spans="2:4">
      <c r="B2168" s="43" t="s">
        <v>1028</v>
      </c>
      <c r="C2168" s="44">
        <v>9198</v>
      </c>
      <c r="D2168" s="45" t="s">
        <v>339</v>
      </c>
    </row>
    <row r="2169" spans="2:4">
      <c r="B2169" s="43" t="s">
        <v>3592</v>
      </c>
      <c r="C2169" s="44">
        <v>9199</v>
      </c>
      <c r="D2169" s="45" t="s">
        <v>339</v>
      </c>
    </row>
    <row r="2170" spans="2:4">
      <c r="B2170" s="43" t="s">
        <v>3593</v>
      </c>
      <c r="C2170" s="44">
        <v>9200</v>
      </c>
      <c r="D2170" s="45" t="s">
        <v>339</v>
      </c>
    </row>
    <row r="2171" spans="2:4">
      <c r="B2171" s="43" t="s">
        <v>3594</v>
      </c>
      <c r="C2171" s="44">
        <v>9201</v>
      </c>
      <c r="D2171" s="45" t="s">
        <v>339</v>
      </c>
    </row>
    <row r="2172" spans="2:4">
      <c r="B2172" s="43" t="s">
        <v>1037</v>
      </c>
      <c r="C2172" s="44">
        <v>9202</v>
      </c>
      <c r="D2172" s="45" t="s">
        <v>339</v>
      </c>
    </row>
    <row r="2173" spans="2:4">
      <c r="B2173" s="43" t="s">
        <v>1038</v>
      </c>
      <c r="C2173" s="44">
        <v>9203</v>
      </c>
      <c r="D2173" s="45" t="s">
        <v>339</v>
      </c>
    </row>
    <row r="2174" spans="2:4">
      <c r="B2174" s="43" t="s">
        <v>1040</v>
      </c>
      <c r="C2174" s="44">
        <v>9204</v>
      </c>
      <c r="D2174" s="45" t="s">
        <v>339</v>
      </c>
    </row>
    <row r="2175" spans="2:4">
      <c r="B2175" s="43" t="s">
        <v>1073</v>
      </c>
      <c r="C2175" s="44">
        <v>9205</v>
      </c>
      <c r="D2175" s="45" t="s">
        <v>339</v>
      </c>
    </row>
    <row r="2176" spans="2:4">
      <c r="B2176" s="43" t="s">
        <v>3595</v>
      </c>
      <c r="C2176" s="44">
        <v>9206</v>
      </c>
      <c r="D2176" s="45" t="s">
        <v>339</v>
      </c>
    </row>
    <row r="2177" spans="2:4">
      <c r="B2177" s="43" t="s">
        <v>3596</v>
      </c>
      <c r="C2177" s="44">
        <v>9207</v>
      </c>
      <c r="D2177" s="45" t="s">
        <v>339</v>
      </c>
    </row>
    <row r="2178" spans="2:4">
      <c r="B2178" s="43" t="s">
        <v>3597</v>
      </c>
      <c r="C2178" s="44">
        <v>9208</v>
      </c>
      <c r="D2178" s="45" t="s">
        <v>339</v>
      </c>
    </row>
    <row r="2179" spans="2:4">
      <c r="B2179" s="43" t="s">
        <v>3598</v>
      </c>
      <c r="C2179" s="44">
        <v>9209</v>
      </c>
      <c r="D2179" s="45" t="s">
        <v>339</v>
      </c>
    </row>
    <row r="2180" spans="2:4">
      <c r="B2180" s="43" t="s">
        <v>3599</v>
      </c>
      <c r="C2180" s="44">
        <v>9210</v>
      </c>
      <c r="D2180" s="45" t="s">
        <v>339</v>
      </c>
    </row>
    <row r="2181" spans="2:4">
      <c r="B2181" s="43" t="s">
        <v>3600</v>
      </c>
      <c r="C2181" s="44">
        <v>9211</v>
      </c>
      <c r="D2181" s="45" t="s">
        <v>339</v>
      </c>
    </row>
    <row r="2182" spans="2:4">
      <c r="B2182" s="43" t="s">
        <v>3601</v>
      </c>
      <c r="C2182" s="44">
        <v>9212</v>
      </c>
      <c r="D2182" s="45" t="s">
        <v>339</v>
      </c>
    </row>
    <row r="2183" spans="2:4">
      <c r="B2183" s="43" t="s">
        <v>3602</v>
      </c>
      <c r="C2183" s="44">
        <v>9213</v>
      </c>
      <c r="D2183" s="45" t="s">
        <v>339</v>
      </c>
    </row>
    <row r="2184" spans="2:4">
      <c r="B2184" s="43" t="s">
        <v>1206</v>
      </c>
      <c r="C2184" s="44">
        <v>9214</v>
      </c>
      <c r="D2184" s="45" t="s">
        <v>339</v>
      </c>
    </row>
    <row r="2185" spans="2:4">
      <c r="B2185" s="43" t="s">
        <v>3603</v>
      </c>
      <c r="C2185" s="44">
        <v>9215</v>
      </c>
      <c r="D2185" s="45" t="s">
        <v>339</v>
      </c>
    </row>
    <row r="2186" spans="2:4">
      <c r="B2186" s="43" t="s">
        <v>3604</v>
      </c>
      <c r="C2186" s="44">
        <v>9216</v>
      </c>
      <c r="D2186" s="45" t="s">
        <v>339</v>
      </c>
    </row>
    <row r="2187" spans="2:4">
      <c r="B2187" s="43" t="s">
        <v>3605</v>
      </c>
      <c r="C2187" s="44">
        <v>9217</v>
      </c>
      <c r="D2187" s="45" t="s">
        <v>339</v>
      </c>
    </row>
    <row r="2188" spans="2:4">
      <c r="B2188" s="43" t="s">
        <v>3606</v>
      </c>
      <c r="C2188" s="44">
        <v>9219</v>
      </c>
      <c r="D2188" s="45" t="s">
        <v>339</v>
      </c>
    </row>
    <row r="2189" spans="2:4">
      <c r="B2189" s="43" t="s">
        <v>3607</v>
      </c>
      <c r="C2189" s="44">
        <v>9225</v>
      </c>
      <c r="D2189" s="45" t="s">
        <v>339</v>
      </c>
    </row>
    <row r="2190" spans="2:4">
      <c r="B2190" s="43" t="s">
        <v>3608</v>
      </c>
      <c r="C2190" s="44">
        <v>9226</v>
      </c>
      <c r="D2190" s="45" t="s">
        <v>339</v>
      </c>
    </row>
    <row r="2191" spans="2:4">
      <c r="B2191" s="43" t="s">
        <v>625</v>
      </c>
      <c r="C2191" s="44">
        <v>9227</v>
      </c>
      <c r="D2191" s="45" t="s">
        <v>339</v>
      </c>
    </row>
    <row r="2192" spans="2:4">
      <c r="B2192" s="43" t="s">
        <v>1052</v>
      </c>
      <c r="C2192" s="44">
        <v>9228</v>
      </c>
      <c r="D2192" s="45" t="s">
        <v>339</v>
      </c>
    </row>
    <row r="2193" spans="2:4">
      <c r="B2193" s="43" t="s">
        <v>3609</v>
      </c>
      <c r="C2193" s="44">
        <v>9229</v>
      </c>
      <c r="D2193" s="45" t="s">
        <v>339</v>
      </c>
    </row>
    <row r="2194" spans="2:4">
      <c r="B2194" s="43" t="s">
        <v>3610</v>
      </c>
      <c r="C2194" s="44">
        <v>9231</v>
      </c>
      <c r="D2194" s="45" t="s">
        <v>339</v>
      </c>
    </row>
    <row r="2195" spans="2:4">
      <c r="B2195" s="43" t="s">
        <v>3611</v>
      </c>
      <c r="C2195" s="44">
        <v>9232</v>
      </c>
      <c r="D2195" s="45" t="s">
        <v>339</v>
      </c>
    </row>
    <row r="2196" spans="2:4">
      <c r="B2196" s="43" t="s">
        <v>3612</v>
      </c>
      <c r="C2196" s="44">
        <v>9233</v>
      </c>
      <c r="D2196" s="45" t="s">
        <v>339</v>
      </c>
    </row>
    <row r="2197" spans="2:4">
      <c r="B2197" s="43" t="s">
        <v>1191</v>
      </c>
      <c r="C2197" s="44">
        <v>9234</v>
      </c>
      <c r="D2197" s="45" t="s">
        <v>339</v>
      </c>
    </row>
    <row r="2198" spans="2:4">
      <c r="B2198" s="43" t="s">
        <v>1193</v>
      </c>
      <c r="C2198" s="44">
        <v>9235</v>
      </c>
      <c r="D2198" s="45" t="s">
        <v>339</v>
      </c>
    </row>
    <row r="2199" spans="2:4">
      <c r="B2199" s="43" t="s">
        <v>3613</v>
      </c>
      <c r="C2199" s="44">
        <v>9236</v>
      </c>
      <c r="D2199" s="45" t="s">
        <v>339</v>
      </c>
    </row>
    <row r="2200" spans="2:4">
      <c r="B2200" s="43" t="s">
        <v>1059</v>
      </c>
      <c r="C2200" s="44">
        <v>9237</v>
      </c>
      <c r="D2200" s="45" t="s">
        <v>339</v>
      </c>
    </row>
    <row r="2201" spans="2:4">
      <c r="B2201" s="43" t="s">
        <v>1071</v>
      </c>
      <c r="C2201" s="44">
        <v>9238</v>
      </c>
      <c r="D2201" s="45" t="s">
        <v>339</v>
      </c>
    </row>
    <row r="2202" spans="2:4">
      <c r="B2202" s="43" t="s">
        <v>3614</v>
      </c>
      <c r="C2202" s="44">
        <v>9239</v>
      </c>
      <c r="D2202" s="45" t="s">
        <v>339</v>
      </c>
    </row>
    <row r="2203" spans="2:4">
      <c r="B2203" s="43" t="s">
        <v>1617</v>
      </c>
      <c r="C2203" s="44">
        <v>9240</v>
      </c>
      <c r="D2203" s="45" t="s">
        <v>339</v>
      </c>
    </row>
    <row r="2204" spans="2:4">
      <c r="B2204" s="43" t="s">
        <v>3615</v>
      </c>
      <c r="C2204" s="44">
        <v>9241</v>
      </c>
      <c r="D2204" s="45" t="s">
        <v>339</v>
      </c>
    </row>
    <row r="2205" spans="2:4">
      <c r="B2205" s="43" t="s">
        <v>3616</v>
      </c>
      <c r="C2205" s="44">
        <v>9242</v>
      </c>
      <c r="D2205" s="45" t="s">
        <v>339</v>
      </c>
    </row>
    <row r="2206" spans="2:4">
      <c r="B2206" s="43" t="s">
        <v>3617</v>
      </c>
      <c r="C2206" s="44">
        <v>9243</v>
      </c>
      <c r="D2206" s="45" t="s">
        <v>339</v>
      </c>
    </row>
    <row r="2207" spans="2:4">
      <c r="B2207" s="43" t="s">
        <v>3618</v>
      </c>
      <c r="C2207" s="44">
        <v>9244</v>
      </c>
      <c r="D2207" s="45" t="s">
        <v>339</v>
      </c>
    </row>
    <row r="2208" spans="2:4">
      <c r="B2208" s="43" t="s">
        <v>1086</v>
      </c>
      <c r="C2208" s="44">
        <v>9245</v>
      </c>
      <c r="D2208" s="45" t="s">
        <v>339</v>
      </c>
    </row>
    <row r="2209" spans="2:4">
      <c r="B2209" s="43" t="s">
        <v>1075</v>
      </c>
      <c r="C2209" s="44">
        <v>9246</v>
      </c>
      <c r="D2209" s="45" t="s">
        <v>339</v>
      </c>
    </row>
    <row r="2210" spans="2:4">
      <c r="B2210" s="43" t="s">
        <v>3619</v>
      </c>
      <c r="C2210" s="44">
        <v>9247</v>
      </c>
      <c r="D2210" s="45" t="s">
        <v>339</v>
      </c>
    </row>
    <row r="2211" spans="2:4">
      <c r="B2211" s="43" t="s">
        <v>1057</v>
      </c>
      <c r="C2211" s="44">
        <v>9248</v>
      </c>
      <c r="D2211" s="45" t="s">
        <v>339</v>
      </c>
    </row>
    <row r="2212" spans="2:4">
      <c r="B2212" s="43" t="s">
        <v>3620</v>
      </c>
      <c r="C2212" s="44">
        <v>9249</v>
      </c>
      <c r="D2212" s="45" t="s">
        <v>339</v>
      </c>
    </row>
    <row r="2213" spans="2:4">
      <c r="B2213" s="43" t="s">
        <v>3621</v>
      </c>
      <c r="C2213" s="44">
        <v>9250</v>
      </c>
      <c r="D2213" s="45" t="s">
        <v>339</v>
      </c>
    </row>
    <row r="2214" spans="2:4">
      <c r="B2214" s="43" t="s">
        <v>3622</v>
      </c>
      <c r="C2214" s="44">
        <v>9251</v>
      </c>
      <c r="D2214" s="45" t="s">
        <v>339</v>
      </c>
    </row>
    <row r="2215" spans="2:4">
      <c r="B2215" s="43" t="s">
        <v>3623</v>
      </c>
      <c r="C2215" s="44">
        <v>9252</v>
      </c>
      <c r="D2215" s="45" t="s">
        <v>339</v>
      </c>
    </row>
    <row r="2216" spans="2:4">
      <c r="B2216" s="43" t="s">
        <v>1094</v>
      </c>
      <c r="C2216" s="44">
        <v>9253</v>
      </c>
      <c r="D2216" s="45" t="s">
        <v>339</v>
      </c>
    </row>
    <row r="2217" spans="2:4">
      <c r="B2217" s="43" t="s">
        <v>1098</v>
      </c>
      <c r="C2217" s="44">
        <v>9254</v>
      </c>
      <c r="D2217" s="45" t="s">
        <v>339</v>
      </c>
    </row>
    <row r="2218" spans="2:4">
      <c r="B2218" s="43" t="s">
        <v>3624</v>
      </c>
      <c r="C2218" s="44">
        <v>9255</v>
      </c>
      <c r="D2218" s="45" t="s">
        <v>339</v>
      </c>
    </row>
    <row r="2219" spans="2:4">
      <c r="B2219" s="43" t="s">
        <v>3625</v>
      </c>
      <c r="C2219" s="44">
        <v>9256</v>
      </c>
      <c r="D2219" s="45" t="s">
        <v>339</v>
      </c>
    </row>
    <row r="2220" spans="2:4">
      <c r="B2220" s="43" t="s">
        <v>3626</v>
      </c>
      <c r="C2220" s="44">
        <v>9257</v>
      </c>
      <c r="D2220" s="45" t="s">
        <v>339</v>
      </c>
    </row>
    <row r="2221" spans="2:4">
      <c r="B2221" s="43" t="s">
        <v>3627</v>
      </c>
      <c r="C2221" s="44">
        <v>9258</v>
      </c>
      <c r="D2221" s="45" t="s">
        <v>339</v>
      </c>
    </row>
    <row r="2222" spans="2:4">
      <c r="B2222" s="43" t="s">
        <v>3628</v>
      </c>
      <c r="C2222" s="44">
        <v>9259</v>
      </c>
      <c r="D2222" s="45" t="s">
        <v>339</v>
      </c>
    </row>
    <row r="2223" spans="2:4">
      <c r="B2223" s="43" t="s">
        <v>3629</v>
      </c>
      <c r="C2223" s="44">
        <v>9260</v>
      </c>
      <c r="D2223" s="45" t="s">
        <v>339</v>
      </c>
    </row>
    <row r="2224" spans="2:4">
      <c r="B2224" s="43" t="s">
        <v>3630</v>
      </c>
      <c r="C2224" s="44">
        <v>9261</v>
      </c>
      <c r="D2224" s="45" t="s">
        <v>339</v>
      </c>
    </row>
    <row r="2225" spans="2:4">
      <c r="B2225" s="43" t="s">
        <v>1444</v>
      </c>
      <c r="C2225" s="44">
        <v>9262</v>
      </c>
      <c r="D2225" s="45" t="s">
        <v>339</v>
      </c>
    </row>
    <row r="2226" spans="2:4">
      <c r="B2226" s="43" t="s">
        <v>1445</v>
      </c>
      <c r="C2226" s="44">
        <v>9263</v>
      </c>
      <c r="D2226" s="45" t="s">
        <v>339</v>
      </c>
    </row>
    <row r="2227" spans="2:4">
      <c r="B2227" s="43" t="s">
        <v>1447</v>
      </c>
      <c r="C2227" s="44">
        <v>9264</v>
      </c>
      <c r="D2227" s="45" t="s">
        <v>339</v>
      </c>
    </row>
    <row r="2228" spans="2:4">
      <c r="B2228" s="43" t="s">
        <v>3631</v>
      </c>
      <c r="C2228" s="44">
        <v>9265</v>
      </c>
      <c r="D2228" s="45" t="s">
        <v>339</v>
      </c>
    </row>
    <row r="2229" spans="2:4">
      <c r="B2229" s="43" t="s">
        <v>3632</v>
      </c>
      <c r="C2229" s="44">
        <v>9266</v>
      </c>
      <c r="D2229" s="45" t="s">
        <v>339</v>
      </c>
    </row>
    <row r="2230" spans="2:4">
      <c r="B2230" s="43" t="s">
        <v>3633</v>
      </c>
      <c r="C2230" s="44">
        <v>9267</v>
      </c>
      <c r="D2230" s="45" t="s">
        <v>339</v>
      </c>
    </row>
    <row r="2231" spans="2:4">
      <c r="B2231" s="43" t="s">
        <v>3634</v>
      </c>
      <c r="C2231" s="44">
        <v>9268</v>
      </c>
      <c r="D2231" s="45" t="s">
        <v>339</v>
      </c>
    </row>
    <row r="2232" spans="2:4">
      <c r="B2232" s="43" t="s">
        <v>3635</v>
      </c>
      <c r="C2232" s="44">
        <v>9269</v>
      </c>
      <c r="D2232" s="45" t="s">
        <v>339</v>
      </c>
    </row>
    <row r="2233" spans="2:4">
      <c r="B2233" s="43" t="s">
        <v>3636</v>
      </c>
      <c r="C2233" s="44">
        <v>9270</v>
      </c>
      <c r="D2233" s="45" t="s">
        <v>339</v>
      </c>
    </row>
    <row r="2234" spans="2:4">
      <c r="B2234" s="43" t="s">
        <v>1713</v>
      </c>
      <c r="C2234" s="44">
        <v>9271</v>
      </c>
      <c r="D2234" s="45" t="s">
        <v>339</v>
      </c>
    </row>
    <row r="2235" spans="2:4">
      <c r="B2235" s="43" t="s">
        <v>3637</v>
      </c>
      <c r="C2235" s="44">
        <v>9272</v>
      </c>
      <c r="D2235" s="45" t="s">
        <v>339</v>
      </c>
    </row>
    <row r="2236" spans="2:4">
      <c r="B2236" s="43" t="s">
        <v>3638</v>
      </c>
      <c r="C2236" s="44">
        <v>9273</v>
      </c>
      <c r="D2236" s="45" t="s">
        <v>339</v>
      </c>
    </row>
    <row r="2237" spans="2:4">
      <c r="B2237" s="43" t="s">
        <v>3639</v>
      </c>
      <c r="C2237" s="44">
        <v>9274</v>
      </c>
      <c r="D2237" s="45" t="s">
        <v>339</v>
      </c>
    </row>
    <row r="2238" spans="2:4">
      <c r="B2238" s="43" t="s">
        <v>3640</v>
      </c>
      <c r="C2238" s="44">
        <v>9275</v>
      </c>
      <c r="D2238" s="45" t="s">
        <v>339</v>
      </c>
    </row>
    <row r="2239" spans="2:4">
      <c r="B2239" s="43" t="s">
        <v>3641</v>
      </c>
      <c r="C2239" s="44">
        <v>9276</v>
      </c>
      <c r="D2239" s="45" t="s">
        <v>339</v>
      </c>
    </row>
    <row r="2240" spans="2:4">
      <c r="B2240" s="43" t="s">
        <v>3642</v>
      </c>
      <c r="C2240" s="44">
        <v>9277</v>
      </c>
      <c r="D2240" s="45" t="s">
        <v>339</v>
      </c>
    </row>
    <row r="2241" spans="2:4">
      <c r="B2241" s="43" t="s">
        <v>3643</v>
      </c>
      <c r="C2241" s="44">
        <v>9278</v>
      </c>
      <c r="D2241" s="45" t="s">
        <v>339</v>
      </c>
    </row>
    <row r="2242" spans="2:4">
      <c r="B2242" s="43" t="s">
        <v>3644</v>
      </c>
      <c r="C2242" s="44">
        <v>9279</v>
      </c>
      <c r="D2242" s="45" t="s">
        <v>339</v>
      </c>
    </row>
    <row r="2243" spans="2:4">
      <c r="B2243" s="43" t="s">
        <v>3645</v>
      </c>
      <c r="C2243" s="44">
        <v>9280</v>
      </c>
      <c r="D2243" s="45" t="s">
        <v>339</v>
      </c>
    </row>
    <row r="2244" spans="2:4">
      <c r="B2244" s="43" t="s">
        <v>1261</v>
      </c>
      <c r="C2244" s="44">
        <v>9281</v>
      </c>
      <c r="D2244" s="45" t="s">
        <v>339</v>
      </c>
    </row>
    <row r="2245" spans="2:4">
      <c r="B2245" s="43" t="s">
        <v>3646</v>
      </c>
      <c r="C2245" s="44">
        <v>9282</v>
      </c>
      <c r="D2245" s="45" t="s">
        <v>339</v>
      </c>
    </row>
    <row r="2246" spans="2:4">
      <c r="B2246" s="43" t="s">
        <v>3647</v>
      </c>
      <c r="C2246" s="44">
        <v>9283</v>
      </c>
      <c r="D2246" s="45" t="s">
        <v>339</v>
      </c>
    </row>
    <row r="2247" spans="2:4">
      <c r="B2247" s="43" t="s">
        <v>3648</v>
      </c>
      <c r="C2247" s="44">
        <v>9284</v>
      </c>
      <c r="D2247" s="45" t="s">
        <v>339</v>
      </c>
    </row>
    <row r="2248" spans="2:4">
      <c r="B2248" s="43" t="s">
        <v>3649</v>
      </c>
      <c r="C2248" s="44">
        <v>9285</v>
      </c>
      <c r="D2248" s="45" t="s">
        <v>339</v>
      </c>
    </row>
    <row r="2249" spans="2:4">
      <c r="B2249" s="43" t="s">
        <v>3650</v>
      </c>
      <c r="C2249" s="44">
        <v>9286</v>
      </c>
      <c r="D2249" s="45" t="s">
        <v>339</v>
      </c>
    </row>
    <row r="2250" spans="2:4">
      <c r="B2250" s="43" t="s">
        <v>3651</v>
      </c>
      <c r="C2250" s="44">
        <v>9287</v>
      </c>
      <c r="D2250" s="45" t="s">
        <v>339</v>
      </c>
    </row>
    <row r="2251" spans="2:4">
      <c r="B2251" s="43" t="s">
        <v>3652</v>
      </c>
      <c r="C2251" s="44">
        <v>9288</v>
      </c>
      <c r="D2251" s="45" t="s">
        <v>339</v>
      </c>
    </row>
    <row r="2252" spans="2:4">
      <c r="B2252" s="43" t="s">
        <v>3653</v>
      </c>
      <c r="C2252" s="44">
        <v>9289</v>
      </c>
      <c r="D2252" s="45" t="s">
        <v>339</v>
      </c>
    </row>
    <row r="2253" spans="2:4">
      <c r="B2253" s="43" t="s">
        <v>3654</v>
      </c>
      <c r="C2253" s="44">
        <v>9290</v>
      </c>
      <c r="D2253" s="45" t="s">
        <v>339</v>
      </c>
    </row>
    <row r="2254" spans="2:4">
      <c r="B2254" s="43" t="s">
        <v>3655</v>
      </c>
      <c r="C2254" s="44">
        <v>9291</v>
      </c>
      <c r="D2254" s="45" t="s">
        <v>339</v>
      </c>
    </row>
    <row r="2255" spans="2:4">
      <c r="B2255" s="43" t="s">
        <v>3656</v>
      </c>
      <c r="C2255" s="44">
        <v>9292</v>
      </c>
      <c r="D2255" s="45" t="s">
        <v>339</v>
      </c>
    </row>
    <row r="2256" spans="2:4">
      <c r="B2256" s="43" t="s">
        <v>3657</v>
      </c>
      <c r="C2256" s="44">
        <v>9293</v>
      </c>
      <c r="D2256" s="45" t="s">
        <v>339</v>
      </c>
    </row>
    <row r="2257" spans="2:4">
      <c r="B2257" s="43" t="s">
        <v>3658</v>
      </c>
      <c r="C2257" s="44">
        <v>9294</v>
      </c>
      <c r="D2257" s="45" t="s">
        <v>339</v>
      </c>
    </row>
    <row r="2258" spans="2:4">
      <c r="B2258" s="43" t="s">
        <v>3659</v>
      </c>
      <c r="C2258" s="44">
        <v>9295</v>
      </c>
      <c r="D2258" s="45" t="s">
        <v>339</v>
      </c>
    </row>
    <row r="2259" spans="2:4">
      <c r="B2259" s="43" t="s">
        <v>3660</v>
      </c>
      <c r="C2259" s="44">
        <v>9296</v>
      </c>
      <c r="D2259" s="45" t="s">
        <v>339</v>
      </c>
    </row>
    <row r="2260" spans="2:4">
      <c r="B2260" s="43" t="s">
        <v>3661</v>
      </c>
      <c r="C2260" s="44">
        <v>9297</v>
      </c>
      <c r="D2260" s="45" t="s">
        <v>339</v>
      </c>
    </row>
    <row r="2261" spans="2:4">
      <c r="B2261" s="43" t="s">
        <v>3662</v>
      </c>
      <c r="C2261" s="44">
        <v>9298</v>
      </c>
      <c r="D2261" s="45" t="s">
        <v>339</v>
      </c>
    </row>
    <row r="2262" spans="2:4">
      <c r="B2262" s="43" t="s">
        <v>3663</v>
      </c>
      <c r="C2262" s="44">
        <v>9299</v>
      </c>
      <c r="D2262" s="45" t="s">
        <v>339</v>
      </c>
    </row>
    <row r="2263" spans="2:4">
      <c r="B2263" s="43" t="s">
        <v>3664</v>
      </c>
      <c r="C2263" s="44">
        <v>9300</v>
      </c>
      <c r="D2263" s="45" t="s">
        <v>339</v>
      </c>
    </row>
    <row r="2264" spans="2:4">
      <c r="B2264" s="43" t="s">
        <v>3665</v>
      </c>
      <c r="C2264" s="44">
        <v>9301</v>
      </c>
      <c r="D2264" s="45" t="s">
        <v>339</v>
      </c>
    </row>
    <row r="2265" spans="2:4">
      <c r="B2265" s="43" t="s">
        <v>3666</v>
      </c>
      <c r="C2265" s="44">
        <v>9302</v>
      </c>
      <c r="D2265" s="45" t="s">
        <v>339</v>
      </c>
    </row>
    <row r="2266" spans="2:4">
      <c r="B2266" s="43" t="s">
        <v>3667</v>
      </c>
      <c r="C2266" s="44">
        <v>9303</v>
      </c>
      <c r="D2266" s="45" t="s">
        <v>339</v>
      </c>
    </row>
    <row r="2267" spans="2:4">
      <c r="B2267" s="43" t="s">
        <v>3668</v>
      </c>
      <c r="C2267" s="44">
        <v>9304</v>
      </c>
      <c r="D2267" s="45" t="s">
        <v>339</v>
      </c>
    </row>
    <row r="2268" spans="2:4">
      <c r="B2268" s="43" t="s">
        <v>1449</v>
      </c>
      <c r="C2268" s="44">
        <v>9305</v>
      </c>
      <c r="D2268" s="45" t="s">
        <v>339</v>
      </c>
    </row>
    <row r="2269" spans="2:4">
      <c r="B2269" s="43" t="s">
        <v>959</v>
      </c>
      <c r="C2269" s="44">
        <v>9306</v>
      </c>
      <c r="D2269" s="45" t="s">
        <v>339</v>
      </c>
    </row>
    <row r="2270" spans="2:4">
      <c r="B2270" s="43" t="s">
        <v>3669</v>
      </c>
      <c r="C2270" s="44">
        <v>9307</v>
      </c>
      <c r="D2270" s="45" t="s">
        <v>339</v>
      </c>
    </row>
    <row r="2271" spans="2:4">
      <c r="B2271" s="43" t="s">
        <v>1246</v>
      </c>
      <c r="C2271" s="44">
        <v>9308</v>
      </c>
      <c r="D2271" s="45" t="s">
        <v>339</v>
      </c>
    </row>
    <row r="2272" spans="2:4">
      <c r="B2272" s="43" t="s">
        <v>3670</v>
      </c>
      <c r="C2272" s="44">
        <v>9309</v>
      </c>
      <c r="D2272" s="45" t="s">
        <v>339</v>
      </c>
    </row>
    <row r="2273" spans="2:4">
      <c r="B2273" s="43" t="s">
        <v>3671</v>
      </c>
      <c r="C2273" s="44">
        <v>9310</v>
      </c>
      <c r="D2273" s="45" t="s">
        <v>339</v>
      </c>
    </row>
    <row r="2274" spans="2:4">
      <c r="B2274" s="43" t="s">
        <v>3672</v>
      </c>
      <c r="C2274" s="44">
        <v>9311</v>
      </c>
      <c r="D2274" s="45" t="s">
        <v>339</v>
      </c>
    </row>
    <row r="2275" spans="2:4">
      <c r="B2275" s="43" t="s">
        <v>3673</v>
      </c>
      <c r="C2275" s="44">
        <v>9312</v>
      </c>
      <c r="D2275" s="45" t="s">
        <v>339</v>
      </c>
    </row>
    <row r="2276" spans="2:4">
      <c r="B2276" s="43" t="s">
        <v>3674</v>
      </c>
      <c r="C2276" s="44">
        <v>9313</v>
      </c>
      <c r="D2276" s="45" t="s">
        <v>339</v>
      </c>
    </row>
    <row r="2277" spans="2:4">
      <c r="B2277" s="43" t="s">
        <v>3675</v>
      </c>
      <c r="C2277" s="44">
        <v>9314</v>
      </c>
      <c r="D2277" s="45" t="s">
        <v>339</v>
      </c>
    </row>
    <row r="2278" spans="2:4">
      <c r="B2278" s="43" t="s">
        <v>3676</v>
      </c>
      <c r="C2278" s="44">
        <v>9315</v>
      </c>
      <c r="D2278" s="45" t="s">
        <v>339</v>
      </c>
    </row>
    <row r="2279" spans="2:4">
      <c r="B2279" s="43" t="s">
        <v>3677</v>
      </c>
      <c r="C2279" s="44">
        <v>9316</v>
      </c>
      <c r="D2279" s="45" t="s">
        <v>339</v>
      </c>
    </row>
    <row r="2280" spans="2:4">
      <c r="B2280" s="43" t="s">
        <v>3678</v>
      </c>
      <c r="C2280" s="44">
        <v>9317</v>
      </c>
      <c r="D2280" s="45" t="s">
        <v>339</v>
      </c>
    </row>
    <row r="2281" spans="2:4">
      <c r="B2281" s="43" t="s">
        <v>1541</v>
      </c>
      <c r="C2281" s="44">
        <v>9318</v>
      </c>
      <c r="D2281" s="45" t="s">
        <v>339</v>
      </c>
    </row>
    <row r="2282" spans="2:4">
      <c r="B2282" s="43" t="s">
        <v>3679</v>
      </c>
      <c r="C2282" s="44">
        <v>9319</v>
      </c>
      <c r="D2282" s="45" t="s">
        <v>339</v>
      </c>
    </row>
    <row r="2283" spans="2:4">
      <c r="B2283" s="43" t="s">
        <v>3680</v>
      </c>
      <c r="C2283" s="44">
        <v>9320</v>
      </c>
      <c r="D2283" s="45" t="s">
        <v>339</v>
      </c>
    </row>
    <row r="2284" spans="2:4">
      <c r="B2284" s="43" t="s">
        <v>3681</v>
      </c>
      <c r="C2284" s="44">
        <v>9321</v>
      </c>
      <c r="D2284" s="45" t="s">
        <v>339</v>
      </c>
    </row>
    <row r="2285" spans="2:4">
      <c r="B2285" s="43" t="s">
        <v>1044</v>
      </c>
      <c r="C2285" s="44">
        <v>9322</v>
      </c>
      <c r="D2285" s="45" t="s">
        <v>339</v>
      </c>
    </row>
    <row r="2286" spans="2:4">
      <c r="B2286" s="43" t="s">
        <v>1046</v>
      </c>
      <c r="C2286" s="44">
        <v>9323</v>
      </c>
      <c r="D2286" s="45" t="s">
        <v>339</v>
      </c>
    </row>
    <row r="2287" spans="2:4">
      <c r="B2287" s="43" t="s">
        <v>1048</v>
      </c>
      <c r="C2287" s="44">
        <v>9324</v>
      </c>
      <c r="D2287" s="45" t="s">
        <v>339</v>
      </c>
    </row>
    <row r="2288" spans="2:4">
      <c r="B2288" s="43" t="s">
        <v>3682</v>
      </c>
      <c r="C2288" s="44">
        <v>9325</v>
      </c>
      <c r="D2288" s="45" t="s">
        <v>339</v>
      </c>
    </row>
    <row r="2289" spans="2:4">
      <c r="B2289" s="43" t="s">
        <v>3683</v>
      </c>
      <c r="C2289" s="44">
        <v>9326</v>
      </c>
      <c r="D2289" s="45" t="s">
        <v>339</v>
      </c>
    </row>
    <row r="2290" spans="2:4">
      <c r="B2290" s="43" t="s">
        <v>3684</v>
      </c>
      <c r="C2290" s="44">
        <v>9327</v>
      </c>
      <c r="D2290" s="45" t="s">
        <v>339</v>
      </c>
    </row>
    <row r="2291" spans="2:4">
      <c r="B2291" s="43" t="s">
        <v>3685</v>
      </c>
      <c r="C2291" s="44">
        <v>9328</v>
      </c>
      <c r="D2291" s="45" t="s">
        <v>339</v>
      </c>
    </row>
    <row r="2292" spans="2:4">
      <c r="B2292" s="43" t="s">
        <v>1250</v>
      </c>
      <c r="C2292" s="44">
        <v>9329</v>
      </c>
      <c r="D2292" s="45" t="s">
        <v>339</v>
      </c>
    </row>
    <row r="2293" spans="2:4">
      <c r="B2293" s="43" t="s">
        <v>3686</v>
      </c>
      <c r="C2293" s="44">
        <v>9330</v>
      </c>
      <c r="D2293" s="45" t="s">
        <v>339</v>
      </c>
    </row>
    <row r="2294" spans="2:4">
      <c r="B2294" s="43" t="s">
        <v>3687</v>
      </c>
      <c r="C2294" s="44">
        <v>9331</v>
      </c>
      <c r="D2294" s="45" t="s">
        <v>339</v>
      </c>
    </row>
    <row r="2295" spans="2:4">
      <c r="B2295" s="43" t="s">
        <v>3688</v>
      </c>
      <c r="C2295" s="44">
        <v>9332</v>
      </c>
      <c r="D2295" s="45" t="s">
        <v>339</v>
      </c>
    </row>
    <row r="2296" spans="2:4">
      <c r="B2296" s="43" t="s">
        <v>3689</v>
      </c>
      <c r="C2296" s="44">
        <v>9333</v>
      </c>
      <c r="D2296" s="45" t="s">
        <v>339</v>
      </c>
    </row>
    <row r="2297" spans="2:4">
      <c r="B2297" s="43" t="s">
        <v>3690</v>
      </c>
      <c r="C2297" s="44">
        <v>9334</v>
      </c>
      <c r="D2297" s="45" t="s">
        <v>339</v>
      </c>
    </row>
    <row r="2298" spans="2:4">
      <c r="B2298" s="43" t="s">
        <v>3691</v>
      </c>
      <c r="C2298" s="44">
        <v>9335</v>
      </c>
      <c r="D2298" s="45" t="s">
        <v>339</v>
      </c>
    </row>
    <row r="2299" spans="2:4">
      <c r="B2299" s="43" t="s">
        <v>1788</v>
      </c>
      <c r="C2299" s="44">
        <v>9336</v>
      </c>
      <c r="D2299" s="45" t="s">
        <v>339</v>
      </c>
    </row>
    <row r="2300" spans="2:4">
      <c r="B2300" s="43" t="s">
        <v>3692</v>
      </c>
      <c r="C2300" s="44">
        <v>9337</v>
      </c>
      <c r="D2300" s="45" t="s">
        <v>339</v>
      </c>
    </row>
    <row r="2301" spans="2:4">
      <c r="B2301" s="43" t="s">
        <v>3693</v>
      </c>
      <c r="C2301" s="44">
        <v>9338</v>
      </c>
      <c r="D2301" s="45" t="s">
        <v>339</v>
      </c>
    </row>
    <row r="2302" spans="2:4">
      <c r="B2302" s="43" t="s">
        <v>3694</v>
      </c>
      <c r="C2302" s="44">
        <v>9339</v>
      </c>
      <c r="D2302" s="45" t="s">
        <v>339</v>
      </c>
    </row>
    <row r="2303" spans="2:4">
      <c r="B2303" s="43" t="s">
        <v>3695</v>
      </c>
      <c r="C2303" s="44">
        <v>9340</v>
      </c>
      <c r="D2303" s="45" t="s">
        <v>339</v>
      </c>
    </row>
    <row r="2304" spans="2:4">
      <c r="B2304" s="43" t="s">
        <v>3696</v>
      </c>
      <c r="C2304" s="44">
        <v>9341</v>
      </c>
      <c r="D2304" s="45" t="s">
        <v>339</v>
      </c>
    </row>
    <row r="2305" spans="2:4">
      <c r="B2305" s="43" t="s">
        <v>3697</v>
      </c>
      <c r="C2305" s="44">
        <v>9342</v>
      </c>
      <c r="D2305" s="45" t="s">
        <v>339</v>
      </c>
    </row>
    <row r="2306" spans="2:4">
      <c r="B2306" s="43" t="s">
        <v>3698</v>
      </c>
      <c r="C2306" s="44">
        <v>9343</v>
      </c>
      <c r="D2306" s="45" t="s">
        <v>339</v>
      </c>
    </row>
    <row r="2307" spans="2:4">
      <c r="B2307" s="43" t="s">
        <v>3699</v>
      </c>
      <c r="C2307" s="44">
        <v>9344</v>
      </c>
      <c r="D2307" s="45" t="s">
        <v>339</v>
      </c>
    </row>
    <row r="2308" spans="2:4">
      <c r="B2308" s="43" t="s">
        <v>3700</v>
      </c>
      <c r="C2308" s="44">
        <v>9345</v>
      </c>
      <c r="D2308" s="45" t="s">
        <v>339</v>
      </c>
    </row>
    <row r="2309" spans="2:4">
      <c r="B2309" s="43" t="s">
        <v>3701</v>
      </c>
      <c r="C2309" s="44">
        <v>9346</v>
      </c>
      <c r="D2309" s="45" t="s">
        <v>339</v>
      </c>
    </row>
    <row r="2310" spans="2:4">
      <c r="B2310" s="43" t="s">
        <v>3702</v>
      </c>
      <c r="C2310" s="44">
        <v>9347</v>
      </c>
      <c r="D2310" s="45" t="s">
        <v>339</v>
      </c>
    </row>
    <row r="2311" spans="2:4">
      <c r="B2311" s="43" t="s">
        <v>3703</v>
      </c>
      <c r="C2311" s="44">
        <v>9348</v>
      </c>
      <c r="D2311" s="45" t="s">
        <v>339</v>
      </c>
    </row>
    <row r="2312" spans="2:4">
      <c r="B2312" s="43" t="s">
        <v>3704</v>
      </c>
      <c r="C2312" s="44">
        <v>9349</v>
      </c>
      <c r="D2312" s="45" t="s">
        <v>339</v>
      </c>
    </row>
    <row r="2313" spans="2:4">
      <c r="B2313" s="43" t="s">
        <v>3705</v>
      </c>
      <c r="C2313" s="44">
        <v>9350</v>
      </c>
      <c r="D2313" s="45" t="s">
        <v>339</v>
      </c>
    </row>
    <row r="2314" spans="2:4">
      <c r="B2314" s="43" t="s">
        <v>3706</v>
      </c>
      <c r="C2314" s="44">
        <v>9351</v>
      </c>
      <c r="D2314" s="45" t="s">
        <v>339</v>
      </c>
    </row>
    <row r="2315" spans="2:4">
      <c r="B2315" s="43" t="s">
        <v>3707</v>
      </c>
      <c r="C2315" s="44">
        <v>9352</v>
      </c>
      <c r="D2315" s="45" t="s">
        <v>339</v>
      </c>
    </row>
    <row r="2316" spans="2:4">
      <c r="B2316" s="43" t="s">
        <v>3708</v>
      </c>
      <c r="C2316" s="44">
        <v>9353</v>
      </c>
      <c r="D2316" s="45" t="s">
        <v>339</v>
      </c>
    </row>
    <row r="2317" spans="2:4">
      <c r="B2317" s="43" t="s">
        <v>3709</v>
      </c>
      <c r="C2317" s="44">
        <v>9354</v>
      </c>
      <c r="D2317" s="45" t="s">
        <v>339</v>
      </c>
    </row>
    <row r="2318" spans="2:4">
      <c r="B2318" s="43" t="s">
        <v>3710</v>
      </c>
      <c r="C2318" s="44">
        <v>9355</v>
      </c>
      <c r="D2318" s="45" t="s">
        <v>339</v>
      </c>
    </row>
    <row r="2319" spans="2:4">
      <c r="B2319" s="43" t="s">
        <v>3711</v>
      </c>
      <c r="C2319" s="44">
        <v>9356</v>
      </c>
      <c r="D2319" s="45" t="s">
        <v>339</v>
      </c>
    </row>
    <row r="2320" spans="2:4">
      <c r="B2320" s="43" t="s">
        <v>1033</v>
      </c>
      <c r="C2320" s="44">
        <v>9357</v>
      </c>
      <c r="D2320" s="45" t="s">
        <v>339</v>
      </c>
    </row>
    <row r="2321" spans="2:4">
      <c r="B2321" s="43" t="s">
        <v>1127</v>
      </c>
      <c r="C2321" s="44">
        <v>9358</v>
      </c>
      <c r="D2321" s="45" t="s">
        <v>339</v>
      </c>
    </row>
    <row r="2322" spans="2:4">
      <c r="B2322" s="43" t="s">
        <v>3712</v>
      </c>
      <c r="C2322" s="44">
        <v>9359</v>
      </c>
      <c r="D2322" s="45" t="s">
        <v>339</v>
      </c>
    </row>
    <row r="2323" spans="2:4">
      <c r="B2323" s="43" t="s">
        <v>3713</v>
      </c>
      <c r="C2323" s="44">
        <v>9360</v>
      </c>
      <c r="D2323" s="45" t="s">
        <v>339</v>
      </c>
    </row>
    <row r="2324" spans="2:4">
      <c r="B2324" s="43" t="s">
        <v>3714</v>
      </c>
      <c r="C2324" s="44">
        <v>9361</v>
      </c>
      <c r="D2324" s="45" t="s">
        <v>339</v>
      </c>
    </row>
    <row r="2325" spans="2:4">
      <c r="B2325" s="43" t="s">
        <v>3715</v>
      </c>
      <c r="C2325" s="44">
        <v>9362</v>
      </c>
      <c r="D2325" s="45" t="s">
        <v>339</v>
      </c>
    </row>
    <row r="2326" spans="2:4">
      <c r="B2326" s="43" t="s">
        <v>3716</v>
      </c>
      <c r="C2326" s="44">
        <v>9363</v>
      </c>
      <c r="D2326" s="45" t="s">
        <v>339</v>
      </c>
    </row>
    <row r="2327" spans="2:4">
      <c r="B2327" s="43" t="s">
        <v>1035</v>
      </c>
      <c r="C2327" s="44">
        <v>9364</v>
      </c>
      <c r="D2327" s="45" t="s">
        <v>339</v>
      </c>
    </row>
    <row r="2328" spans="2:4">
      <c r="B2328" s="43" t="s">
        <v>3717</v>
      </c>
      <c r="C2328" s="44">
        <v>9365</v>
      </c>
      <c r="D2328" s="45" t="s">
        <v>339</v>
      </c>
    </row>
    <row r="2329" spans="2:4">
      <c r="B2329" s="43" t="s">
        <v>3718</v>
      </c>
      <c r="C2329" s="44">
        <v>9998</v>
      </c>
      <c r="D2329" s="45" t="s">
        <v>339</v>
      </c>
    </row>
    <row r="2330" spans="2:4">
      <c r="B2330" s="46" t="s">
        <v>982</v>
      </c>
      <c r="C2330" s="47">
        <v>2703</v>
      </c>
      <c r="D2330" s="48" t="s">
        <v>339</v>
      </c>
    </row>
    <row r="2331" spans="2:4">
      <c r="B2331" s="46" t="s">
        <v>988</v>
      </c>
      <c r="C2331" s="47">
        <v>2808</v>
      </c>
      <c r="D2331" s="48" t="s">
        <v>339</v>
      </c>
    </row>
    <row r="2332" spans="2:4">
      <c r="B2332" s="46" t="s">
        <v>1841</v>
      </c>
      <c r="C2332" s="47">
        <v>4225</v>
      </c>
      <c r="D2332" s="48" t="s">
        <v>339</v>
      </c>
    </row>
    <row r="2333" spans="2:4">
      <c r="B2333" s="46" t="s">
        <v>1533</v>
      </c>
      <c r="C2333" s="47">
        <v>3609</v>
      </c>
      <c r="D2333" s="48" t="s">
        <v>339</v>
      </c>
    </row>
    <row r="2334" spans="2:4">
      <c r="B2334" s="49" t="s">
        <v>776</v>
      </c>
      <c r="C2334" s="50">
        <v>684</v>
      </c>
      <c r="D2334" s="51" t="s">
        <v>339</v>
      </c>
    </row>
  </sheetData>
  <phoneticPr fontId="19" type="noConversion"/>
  <dataValidations count="6">
    <dataValidation type="custom" allowBlank="1" showInputMessage="1" showErrorMessage="1" sqref="C2:C7">
      <formula1>COUNTIF(C:C,C1488)=1</formula1>
    </dataValidation>
    <dataValidation type="custom" allowBlank="1" showInputMessage="1" showErrorMessage="1" sqref="B2:B7">
      <formula1>COUNTIF(B:B,B1473)=1</formula1>
    </dataValidation>
    <dataValidation type="custom" allowBlank="1" showInputMessage="1" showErrorMessage="1" sqref="B8 B10">
      <formula1>COUNTIF(B:B,B1373)=1</formula1>
    </dataValidation>
    <dataValidation type="custom" allowBlank="1" showInputMessage="1" showErrorMessage="1" sqref="C8 C10">
      <formula1>COUNTIF(C:C,C1388)=1</formula1>
    </dataValidation>
    <dataValidation type="custom" allowBlank="1" showInputMessage="1" showErrorMessage="1" sqref="B9">
      <formula1>COUNTIF(B:B,B1378)=1</formula1>
    </dataValidation>
    <dataValidation type="custom" allowBlank="1" showInputMessage="1" showErrorMessage="1" sqref="C9">
      <formula1>COUNTIF(C:C,C1393)=1</formula1>
    </dataValidation>
  </dataValidations>
  <pageMargins left="0.69930555555555596" right="0.69930555555555596" top="0.75" bottom="0.75" header="0.3" footer="0.3"/>
  <pageSetup paperSize="9" orientation="portrait"/>
  <headerFooter alignWithMargins="0"/>
</worksheet>
</file>

<file path=xl/worksheets/sheet6.xml><?xml version="1.0" encoding="utf-8"?>
<worksheet xmlns="http://schemas.openxmlformats.org/spreadsheetml/2006/main" xmlns:r="http://schemas.openxmlformats.org/officeDocument/2006/relationships">
  <sheetPr codeName="Sheet6"/>
  <dimension ref="B1:C78"/>
  <sheetViews>
    <sheetView workbookViewId="0">
      <pane ySplit="2" topLeftCell="A15" activePane="bottomLeft" state="frozen"/>
      <selection pane="bottomLeft"/>
    </sheetView>
  </sheetViews>
  <sheetFormatPr defaultColWidth="9" defaultRowHeight="13.5"/>
  <cols>
    <col min="1" max="1" width="1" style="1" customWidth="1"/>
    <col min="2" max="2" width="12.75" style="2" customWidth="1"/>
    <col min="3" max="3" width="41.5" style="2" customWidth="1"/>
    <col min="4" max="16384" width="9" style="1"/>
  </cols>
  <sheetData>
    <row r="1" spans="2:3" ht="6.75" customHeight="1"/>
    <row r="2" spans="2:3">
      <c r="B2" s="3" t="s">
        <v>1459</v>
      </c>
      <c r="C2" s="4" t="s">
        <v>334</v>
      </c>
    </row>
    <row r="3" spans="2:3">
      <c r="B3" s="5">
        <v>1</v>
      </c>
      <c r="C3" s="6" t="s">
        <v>3719</v>
      </c>
    </row>
    <row r="4" spans="2:3">
      <c r="B4" s="5">
        <v>2</v>
      </c>
      <c r="C4" s="6" t="s">
        <v>3720</v>
      </c>
    </row>
    <row r="5" spans="2:3">
      <c r="B5" s="5">
        <v>3</v>
      </c>
      <c r="C5" s="6" t="s">
        <v>3721</v>
      </c>
    </row>
    <row r="6" spans="2:3">
      <c r="B6" s="5">
        <v>4</v>
      </c>
      <c r="C6" s="37" t="s">
        <v>3722</v>
      </c>
    </row>
    <row r="7" spans="2:3">
      <c r="B7" s="5">
        <v>5</v>
      </c>
      <c r="C7" s="37" t="s">
        <v>3723</v>
      </c>
    </row>
    <row r="8" spans="2:3">
      <c r="B8" s="5">
        <v>6</v>
      </c>
      <c r="C8" s="6" t="s">
        <v>3724</v>
      </c>
    </row>
    <row r="9" spans="2:3">
      <c r="B9" s="5">
        <v>7</v>
      </c>
      <c r="C9" s="6" t="s">
        <v>3725</v>
      </c>
    </row>
    <row r="10" spans="2:3">
      <c r="B10" s="5">
        <v>8</v>
      </c>
      <c r="C10" s="6" t="s">
        <v>3726</v>
      </c>
    </row>
    <row r="11" spans="2:3">
      <c r="B11" s="5">
        <v>9</v>
      </c>
      <c r="C11" s="6" t="s">
        <v>3727</v>
      </c>
    </row>
    <row r="12" spans="2:3">
      <c r="B12" s="5">
        <v>10</v>
      </c>
      <c r="C12" s="6" t="s">
        <v>3728</v>
      </c>
    </row>
    <row r="13" spans="2:3">
      <c r="B13" s="5">
        <v>11</v>
      </c>
      <c r="C13" s="6" t="s">
        <v>3729</v>
      </c>
    </row>
    <row r="14" spans="2:3">
      <c r="B14" s="5">
        <v>12</v>
      </c>
      <c r="C14" s="6" t="s">
        <v>3730</v>
      </c>
    </row>
    <row r="15" spans="2:3">
      <c r="B15" s="5">
        <v>13</v>
      </c>
      <c r="C15" s="6" t="s">
        <v>3731</v>
      </c>
    </row>
    <row r="16" spans="2:3">
      <c r="B16" s="5">
        <v>15</v>
      </c>
      <c r="C16" s="6" t="s">
        <v>3732</v>
      </c>
    </row>
    <row r="17" spans="2:3">
      <c r="B17" s="5">
        <v>16</v>
      </c>
      <c r="C17" s="6" t="s">
        <v>3733</v>
      </c>
    </row>
    <row r="18" spans="2:3">
      <c r="B18" s="5">
        <v>17</v>
      </c>
      <c r="C18" s="6" t="s">
        <v>3734</v>
      </c>
    </row>
    <row r="19" spans="2:3">
      <c r="B19" s="38">
        <v>18</v>
      </c>
      <c r="C19" s="37" t="s">
        <v>3735</v>
      </c>
    </row>
    <row r="20" spans="2:3">
      <c r="B20" s="38">
        <v>19</v>
      </c>
      <c r="C20" s="37" t="s">
        <v>3736</v>
      </c>
    </row>
    <row r="21" spans="2:3">
      <c r="B21" s="38">
        <v>20</v>
      </c>
      <c r="C21" s="37" t="s">
        <v>3737</v>
      </c>
    </row>
    <row r="22" spans="2:3">
      <c r="B22" s="38">
        <v>21</v>
      </c>
      <c r="C22" s="37" t="s">
        <v>3738</v>
      </c>
    </row>
    <row r="23" spans="2:3">
      <c r="B23" s="5">
        <v>22</v>
      </c>
      <c r="C23" s="6" t="s">
        <v>3739</v>
      </c>
    </row>
    <row r="24" spans="2:3">
      <c r="B24" s="5">
        <v>23</v>
      </c>
      <c r="C24" s="6" t="s">
        <v>3740</v>
      </c>
    </row>
    <row r="25" spans="2:3">
      <c r="B25" s="5">
        <v>25</v>
      </c>
      <c r="C25" s="6" t="s">
        <v>3741</v>
      </c>
    </row>
    <row r="26" spans="2:3">
      <c r="B26" s="5">
        <v>26</v>
      </c>
      <c r="C26" s="6" t="s">
        <v>3742</v>
      </c>
    </row>
    <row r="27" spans="2:3">
      <c r="B27" s="5">
        <v>27</v>
      </c>
      <c r="C27" s="6" t="s">
        <v>3743</v>
      </c>
    </row>
    <row r="28" spans="2:3">
      <c r="B28" s="5">
        <v>28</v>
      </c>
      <c r="C28" s="6" t="s">
        <v>3744</v>
      </c>
    </row>
    <row r="29" spans="2:3">
      <c r="B29" s="5">
        <v>29</v>
      </c>
      <c r="C29" s="6" t="s">
        <v>3745</v>
      </c>
    </row>
    <row r="30" spans="2:3">
      <c r="B30" s="5">
        <v>30</v>
      </c>
      <c r="C30" s="6" t="s">
        <v>3746</v>
      </c>
    </row>
    <row r="31" spans="2:3">
      <c r="B31" s="5">
        <v>31</v>
      </c>
      <c r="C31" s="6" t="s">
        <v>3747</v>
      </c>
    </row>
    <row r="32" spans="2:3">
      <c r="B32" s="5">
        <v>32</v>
      </c>
      <c r="C32" s="6" t="s">
        <v>3748</v>
      </c>
    </row>
    <row r="33" spans="2:3">
      <c r="B33" s="5">
        <v>33</v>
      </c>
      <c r="C33" s="6" t="s">
        <v>3749</v>
      </c>
    </row>
    <row r="34" spans="2:3">
      <c r="B34" s="5">
        <v>34</v>
      </c>
      <c r="C34" s="6" t="s">
        <v>3750</v>
      </c>
    </row>
    <row r="35" spans="2:3">
      <c r="B35" s="5">
        <v>35</v>
      </c>
      <c r="C35" s="6" t="s">
        <v>3751</v>
      </c>
    </row>
    <row r="36" spans="2:3">
      <c r="B36" s="5">
        <v>36</v>
      </c>
      <c r="C36" s="37" t="s">
        <v>3752</v>
      </c>
    </row>
    <row r="37" spans="2:3">
      <c r="B37" s="5">
        <v>37</v>
      </c>
      <c r="C37" s="6" t="s">
        <v>3753</v>
      </c>
    </row>
    <row r="38" spans="2:3">
      <c r="B38" s="5">
        <v>38</v>
      </c>
      <c r="C38" s="6" t="s">
        <v>3754</v>
      </c>
    </row>
    <row r="39" spans="2:3">
      <c r="B39" s="5">
        <v>39</v>
      </c>
      <c r="C39" s="6" t="s">
        <v>3755</v>
      </c>
    </row>
    <row r="40" spans="2:3">
      <c r="B40" s="5">
        <v>40</v>
      </c>
      <c r="C40" s="6" t="s">
        <v>3756</v>
      </c>
    </row>
    <row r="41" spans="2:3">
      <c r="B41" s="5">
        <v>41</v>
      </c>
      <c r="C41" s="6" t="s">
        <v>3757</v>
      </c>
    </row>
    <row r="42" spans="2:3">
      <c r="B42" s="5">
        <v>42</v>
      </c>
      <c r="C42" s="6" t="s">
        <v>3758</v>
      </c>
    </row>
    <row r="43" spans="2:3">
      <c r="B43" s="5">
        <v>43</v>
      </c>
      <c r="C43" s="6" t="s">
        <v>3759</v>
      </c>
    </row>
    <row r="44" spans="2:3">
      <c r="B44" s="5">
        <v>44</v>
      </c>
      <c r="C44" s="6" t="s">
        <v>3760</v>
      </c>
    </row>
    <row r="45" spans="2:3">
      <c r="B45" s="5">
        <v>45</v>
      </c>
      <c r="C45" s="6" t="s">
        <v>3761</v>
      </c>
    </row>
    <row r="46" spans="2:3">
      <c r="B46" s="5">
        <v>46</v>
      </c>
      <c r="C46" s="6" t="s">
        <v>3762</v>
      </c>
    </row>
    <row r="47" spans="2:3">
      <c r="B47" s="5">
        <v>47</v>
      </c>
      <c r="C47" s="6" t="s">
        <v>3763</v>
      </c>
    </row>
    <row r="48" spans="2:3">
      <c r="B48" s="5">
        <v>48</v>
      </c>
      <c r="C48" s="6" t="s">
        <v>3764</v>
      </c>
    </row>
    <row r="49" spans="2:3">
      <c r="B49" s="5">
        <v>50</v>
      </c>
      <c r="C49" s="6" t="s">
        <v>3765</v>
      </c>
    </row>
    <row r="50" spans="2:3">
      <c r="B50" s="5">
        <v>51</v>
      </c>
      <c r="C50" s="6" t="s">
        <v>3766</v>
      </c>
    </row>
    <row r="51" spans="2:3">
      <c r="B51" s="5">
        <v>52</v>
      </c>
      <c r="C51" s="6" t="s">
        <v>3767</v>
      </c>
    </row>
    <row r="52" spans="2:3">
      <c r="B52" s="5">
        <v>55</v>
      </c>
      <c r="C52" s="6" t="s">
        <v>3768</v>
      </c>
    </row>
    <row r="53" spans="2:3">
      <c r="B53" s="5">
        <v>56</v>
      </c>
      <c r="C53" s="6" t="s">
        <v>3769</v>
      </c>
    </row>
    <row r="54" spans="2:3">
      <c r="B54" s="5">
        <v>57</v>
      </c>
      <c r="C54" s="6" t="s">
        <v>3770</v>
      </c>
    </row>
    <row r="55" spans="2:3">
      <c r="B55" s="5">
        <v>58</v>
      </c>
      <c r="C55" s="6" t="s">
        <v>3771</v>
      </c>
    </row>
    <row r="56" spans="2:3">
      <c r="B56" s="5">
        <v>59</v>
      </c>
      <c r="C56" s="6" t="s">
        <v>3772</v>
      </c>
    </row>
    <row r="57" spans="2:3">
      <c r="B57" s="5">
        <v>60</v>
      </c>
      <c r="C57" s="6" t="s">
        <v>3773</v>
      </c>
    </row>
    <row r="58" spans="2:3">
      <c r="B58" s="5">
        <v>61</v>
      </c>
      <c r="C58" s="6" t="s">
        <v>3774</v>
      </c>
    </row>
    <row r="59" spans="2:3">
      <c r="B59" s="5">
        <v>62</v>
      </c>
      <c r="C59" s="6" t="s">
        <v>3775</v>
      </c>
    </row>
    <row r="60" spans="2:3">
      <c r="B60" s="5">
        <v>63</v>
      </c>
      <c r="C60" s="6" t="s">
        <v>3776</v>
      </c>
    </row>
    <row r="61" spans="2:3">
      <c r="B61" s="5">
        <v>64</v>
      </c>
      <c r="C61" s="6" t="s">
        <v>3777</v>
      </c>
    </row>
    <row r="62" spans="2:3">
      <c r="B62" s="5">
        <v>65</v>
      </c>
      <c r="C62" s="6" t="s">
        <v>3778</v>
      </c>
    </row>
    <row r="63" spans="2:3">
      <c r="B63" s="5">
        <v>66</v>
      </c>
      <c r="C63" s="6" t="s">
        <v>3779</v>
      </c>
    </row>
    <row r="64" spans="2:3">
      <c r="B64" s="5">
        <v>67</v>
      </c>
      <c r="C64" s="6" t="s">
        <v>3780</v>
      </c>
    </row>
    <row r="65" spans="2:3">
      <c r="B65" s="5">
        <v>68</v>
      </c>
      <c r="C65" s="6" t="s">
        <v>3781</v>
      </c>
    </row>
    <row r="66" spans="2:3">
      <c r="B66" s="5">
        <v>69</v>
      </c>
      <c r="C66" s="6" t="s">
        <v>295</v>
      </c>
    </row>
    <row r="67" spans="2:3">
      <c r="B67" s="5">
        <v>70</v>
      </c>
      <c r="C67" s="6" t="s">
        <v>296</v>
      </c>
    </row>
    <row r="68" spans="2:3">
      <c r="B68" s="5">
        <v>71</v>
      </c>
      <c r="C68" s="6" t="s">
        <v>3782</v>
      </c>
    </row>
    <row r="69" spans="2:3">
      <c r="B69" s="5">
        <v>72</v>
      </c>
      <c r="C69" s="6" t="s">
        <v>3783</v>
      </c>
    </row>
    <row r="70" spans="2:3">
      <c r="B70" s="5">
        <v>76</v>
      </c>
      <c r="C70" s="6" t="s">
        <v>3784</v>
      </c>
    </row>
    <row r="71" spans="2:3">
      <c r="B71" s="5">
        <v>77</v>
      </c>
      <c r="C71" s="6" t="s">
        <v>3785</v>
      </c>
    </row>
    <row r="72" spans="2:3">
      <c r="B72" s="5">
        <v>80</v>
      </c>
      <c r="C72" s="6" t="s">
        <v>3786</v>
      </c>
    </row>
    <row r="73" spans="2:3">
      <c r="B73" s="5">
        <v>81</v>
      </c>
      <c r="C73" s="6" t="s">
        <v>3787</v>
      </c>
    </row>
    <row r="74" spans="2:3">
      <c r="B74" s="5">
        <v>83</v>
      </c>
      <c r="C74" s="6" t="s">
        <v>3788</v>
      </c>
    </row>
    <row r="75" spans="2:3">
      <c r="B75" s="5">
        <v>94</v>
      </c>
      <c r="C75" s="6" t="s">
        <v>3789</v>
      </c>
    </row>
    <row r="76" spans="2:3">
      <c r="B76" s="38">
        <v>97</v>
      </c>
      <c r="C76" s="37" t="s">
        <v>3790</v>
      </c>
    </row>
    <row r="77" spans="2:3">
      <c r="B77" s="5">
        <v>98</v>
      </c>
      <c r="C77" s="6" t="s">
        <v>3791</v>
      </c>
    </row>
    <row r="78" spans="2:3">
      <c r="B78" s="9"/>
      <c r="C78" s="39"/>
    </row>
  </sheetData>
  <phoneticPr fontId="19" type="noConversion"/>
  <pageMargins left="0.69930555555555596" right="0.69930555555555596" top="0.75" bottom="0.75" header="0.3" footer="0.3"/>
  <pageSetup paperSize="9" orientation="portrait"/>
  <headerFooter alignWithMargins="0"/>
</worksheet>
</file>

<file path=xl/worksheets/sheet7.xml><?xml version="1.0" encoding="utf-8"?>
<worksheet xmlns="http://schemas.openxmlformats.org/spreadsheetml/2006/main" xmlns:r="http://schemas.openxmlformats.org/officeDocument/2006/relationships">
  <sheetPr codeName="Sheet7"/>
  <dimension ref="B1:E86"/>
  <sheetViews>
    <sheetView topLeftCell="A22" workbookViewId="0">
      <selection activeCell="C62" sqref="C62:C79"/>
    </sheetView>
  </sheetViews>
  <sheetFormatPr defaultColWidth="9" defaultRowHeight="13.5"/>
  <cols>
    <col min="1" max="1" width="1" style="1" customWidth="1"/>
    <col min="2" max="2" width="19.5" style="1" customWidth="1"/>
    <col min="3" max="3" width="24.375" style="1" customWidth="1"/>
    <col min="4" max="4" width="13" style="1" customWidth="1"/>
    <col min="5" max="5" width="42.875" style="1" customWidth="1"/>
    <col min="6" max="16384" width="9" style="1"/>
  </cols>
  <sheetData>
    <row r="1" spans="2:5" ht="6.75" customHeight="1"/>
    <row r="2" spans="2:5">
      <c r="B2" s="3" t="s">
        <v>3792</v>
      </c>
      <c r="C2" s="10" t="s">
        <v>3793</v>
      </c>
      <c r="D2" s="11" t="s">
        <v>348</v>
      </c>
      <c r="E2" s="12" t="s">
        <v>334</v>
      </c>
    </row>
    <row r="3" spans="2:5">
      <c r="B3" s="301" t="s">
        <v>3794</v>
      </c>
      <c r="C3" s="298" t="s">
        <v>3795</v>
      </c>
      <c r="D3" s="13" t="s">
        <v>3796</v>
      </c>
      <c r="E3" s="14" t="s">
        <v>3797</v>
      </c>
    </row>
    <row r="4" spans="2:5">
      <c r="B4" s="302"/>
      <c r="C4" s="299"/>
      <c r="D4" s="15" t="s">
        <v>3798</v>
      </c>
      <c r="E4" s="16" t="s">
        <v>3799</v>
      </c>
    </row>
    <row r="5" spans="2:5">
      <c r="B5" s="302"/>
      <c r="C5" s="299"/>
      <c r="D5" s="15" t="s">
        <v>3800</v>
      </c>
      <c r="E5" s="16" t="s">
        <v>3801</v>
      </c>
    </row>
    <row r="6" spans="2:5">
      <c r="B6" s="302"/>
      <c r="C6" s="299"/>
      <c r="D6" s="17" t="s">
        <v>3802</v>
      </c>
      <c r="E6" s="18" t="s">
        <v>3803</v>
      </c>
    </row>
    <row r="7" spans="2:5">
      <c r="B7" s="302"/>
      <c r="C7" s="299"/>
      <c r="D7" s="17" t="s">
        <v>3804</v>
      </c>
      <c r="E7" s="18" t="s">
        <v>3805</v>
      </c>
    </row>
    <row r="8" spans="2:5">
      <c r="B8" s="302"/>
      <c r="C8" s="299"/>
      <c r="D8" s="17" t="s">
        <v>3806</v>
      </c>
      <c r="E8" s="18" t="s">
        <v>3807</v>
      </c>
    </row>
    <row r="9" spans="2:5">
      <c r="B9" s="302"/>
      <c r="C9" s="299"/>
      <c r="D9" s="19" t="s">
        <v>3808</v>
      </c>
      <c r="E9" s="20" t="s">
        <v>3809</v>
      </c>
    </row>
    <row r="10" spans="2:5">
      <c r="B10" s="309"/>
      <c r="C10" s="304"/>
      <c r="D10" s="19" t="s">
        <v>3810</v>
      </c>
      <c r="E10" s="20" t="s">
        <v>3811</v>
      </c>
    </row>
    <row r="11" spans="2:5">
      <c r="B11" s="301" t="s">
        <v>3812</v>
      </c>
      <c r="C11" s="305" t="s">
        <v>3813</v>
      </c>
      <c r="D11" s="17" t="s">
        <v>3798</v>
      </c>
      <c r="E11" s="18" t="s">
        <v>3814</v>
      </c>
    </row>
    <row r="12" spans="2:5">
      <c r="B12" s="302"/>
      <c r="C12" s="306"/>
      <c r="D12" s="17" t="s">
        <v>3800</v>
      </c>
      <c r="E12" s="18" t="s">
        <v>3815</v>
      </c>
    </row>
    <row r="13" spans="2:5">
      <c r="B13" s="309"/>
      <c r="C13" s="307"/>
      <c r="D13" s="21" t="s">
        <v>3816</v>
      </c>
      <c r="E13" s="22" t="s">
        <v>3817</v>
      </c>
    </row>
    <row r="14" spans="2:5">
      <c r="B14" s="301" t="s">
        <v>3818</v>
      </c>
      <c r="C14" s="305" t="s">
        <v>3819</v>
      </c>
      <c r="D14" s="17" t="s">
        <v>3796</v>
      </c>
      <c r="E14" s="18" t="s">
        <v>3820</v>
      </c>
    </row>
    <row r="15" spans="2:5">
      <c r="B15" s="302"/>
      <c r="C15" s="306"/>
      <c r="D15" s="17" t="s">
        <v>3821</v>
      </c>
      <c r="E15" s="18" t="s">
        <v>3822</v>
      </c>
    </row>
    <row r="16" spans="2:5">
      <c r="B16" s="309"/>
      <c r="C16" s="304"/>
      <c r="D16" s="23"/>
      <c r="E16" s="24"/>
    </row>
    <row r="17" spans="2:5">
      <c r="B17" s="301" t="s">
        <v>3823</v>
      </c>
      <c r="C17" s="298" t="s">
        <v>3824</v>
      </c>
      <c r="D17" s="13">
        <v>0</v>
      </c>
      <c r="E17" s="14" t="s">
        <v>3825</v>
      </c>
    </row>
    <row r="18" spans="2:5">
      <c r="B18" s="302"/>
      <c r="C18" s="299"/>
      <c r="D18" s="25">
        <v>1</v>
      </c>
      <c r="E18" s="26" t="s">
        <v>3826</v>
      </c>
    </row>
    <row r="19" spans="2:5">
      <c r="B19" s="309"/>
      <c r="C19" s="304"/>
      <c r="D19" s="27">
        <v>2</v>
      </c>
      <c r="E19" s="28" t="s">
        <v>3827</v>
      </c>
    </row>
    <row r="20" spans="2:5">
      <c r="B20" s="301" t="s">
        <v>3828</v>
      </c>
      <c r="C20" s="298" t="s">
        <v>3829</v>
      </c>
      <c r="D20" s="13">
        <v>0</v>
      </c>
      <c r="E20" s="14" t="s">
        <v>3830</v>
      </c>
    </row>
    <row r="21" spans="2:5">
      <c r="B21" s="302"/>
      <c r="C21" s="299"/>
      <c r="D21" s="25">
        <v>1</v>
      </c>
      <c r="E21" s="26" t="s">
        <v>3831</v>
      </c>
    </row>
    <row r="22" spans="2:5">
      <c r="B22" s="302"/>
      <c r="C22" s="299"/>
      <c r="D22" s="25" t="s">
        <v>3816</v>
      </c>
      <c r="E22" s="26" t="s">
        <v>3832</v>
      </c>
    </row>
    <row r="23" spans="2:5">
      <c r="B23" s="302"/>
      <c r="C23" s="299"/>
      <c r="D23" s="25" t="s">
        <v>3833</v>
      </c>
      <c r="E23" s="26" t="s">
        <v>3834</v>
      </c>
    </row>
    <row r="24" spans="2:5">
      <c r="B24" s="309"/>
      <c r="C24" s="304"/>
      <c r="D24" s="27" t="s">
        <v>3835</v>
      </c>
      <c r="E24" s="28" t="s">
        <v>3836</v>
      </c>
    </row>
    <row r="25" spans="2:5">
      <c r="B25" s="301" t="s">
        <v>3837</v>
      </c>
      <c r="C25" s="298" t="s">
        <v>3838</v>
      </c>
      <c r="D25" s="29" t="s">
        <v>3839</v>
      </c>
      <c r="E25" s="30" t="s">
        <v>3840</v>
      </c>
    </row>
    <row r="26" spans="2:5">
      <c r="B26" s="302"/>
      <c r="C26" s="299"/>
      <c r="D26" s="25" t="s">
        <v>3796</v>
      </c>
      <c r="E26" s="14" t="s">
        <v>3841</v>
      </c>
    </row>
    <row r="27" spans="2:5">
      <c r="B27" s="302"/>
      <c r="C27" s="299"/>
      <c r="D27" s="25" t="s">
        <v>3798</v>
      </c>
      <c r="E27" s="26" t="s">
        <v>3842</v>
      </c>
    </row>
    <row r="28" spans="2:5">
      <c r="B28" s="302"/>
      <c r="C28" s="299"/>
      <c r="D28" s="25" t="s">
        <v>3800</v>
      </c>
      <c r="E28" s="31" t="s">
        <v>3843</v>
      </c>
    </row>
    <row r="29" spans="2:5">
      <c r="B29" s="309"/>
      <c r="C29" s="304"/>
      <c r="D29" s="27" t="s">
        <v>3816</v>
      </c>
      <c r="E29" s="28" t="s">
        <v>3844</v>
      </c>
    </row>
    <row r="30" spans="2:5">
      <c r="B30" s="301" t="s">
        <v>3845</v>
      </c>
      <c r="C30" s="298" t="s">
        <v>3846</v>
      </c>
      <c r="D30" s="13">
        <v>1</v>
      </c>
      <c r="E30" s="14" t="s">
        <v>462</v>
      </c>
    </row>
    <row r="31" spans="2:5">
      <c r="B31" s="302"/>
      <c r="C31" s="299"/>
      <c r="D31" s="25">
        <v>2</v>
      </c>
      <c r="E31" s="26" t="s">
        <v>3847</v>
      </c>
    </row>
    <row r="32" spans="2:5">
      <c r="B32" s="302"/>
      <c r="C32" s="299"/>
      <c r="D32" s="25">
        <v>4</v>
      </c>
      <c r="E32" s="26" t="s">
        <v>3848</v>
      </c>
    </row>
    <row r="33" spans="2:5">
      <c r="B33" s="302"/>
      <c r="C33" s="299"/>
      <c r="D33" s="25">
        <v>8</v>
      </c>
      <c r="E33" s="26" t="s">
        <v>3849</v>
      </c>
    </row>
    <row r="34" spans="2:5">
      <c r="B34" s="309"/>
      <c r="C34" s="304"/>
      <c r="D34" s="27">
        <v>32</v>
      </c>
      <c r="E34" s="28" t="s">
        <v>3850</v>
      </c>
    </row>
    <row r="35" spans="2:5">
      <c r="B35" s="301" t="s">
        <v>3851</v>
      </c>
      <c r="C35" s="298" t="s">
        <v>3852</v>
      </c>
      <c r="D35" s="29" t="s">
        <v>3796</v>
      </c>
      <c r="E35" s="30" t="s">
        <v>3853</v>
      </c>
    </row>
    <row r="36" spans="2:5">
      <c r="B36" s="302"/>
      <c r="C36" s="299"/>
      <c r="D36" s="25" t="s">
        <v>3798</v>
      </c>
      <c r="E36" s="26" t="s">
        <v>3854</v>
      </c>
    </row>
    <row r="37" spans="2:5">
      <c r="B37" s="302"/>
      <c r="C37" s="299"/>
      <c r="D37" s="25" t="s">
        <v>3800</v>
      </c>
      <c r="E37" s="26" t="s">
        <v>3855</v>
      </c>
    </row>
    <row r="38" spans="2:5">
      <c r="B38" s="302"/>
      <c r="C38" s="299"/>
      <c r="D38" s="25" t="s">
        <v>3816</v>
      </c>
      <c r="E38" s="26" t="s">
        <v>3856</v>
      </c>
    </row>
    <row r="39" spans="2:5">
      <c r="B39" s="302"/>
      <c r="C39" s="299"/>
      <c r="D39" s="25" t="s">
        <v>3821</v>
      </c>
      <c r="E39" s="26" t="s">
        <v>3857</v>
      </c>
    </row>
    <row r="40" spans="2:5">
      <c r="B40" s="302"/>
      <c r="C40" s="299"/>
      <c r="D40" s="25" t="s">
        <v>3858</v>
      </c>
      <c r="E40" s="26" t="s">
        <v>3859</v>
      </c>
    </row>
    <row r="41" spans="2:5">
      <c r="B41" s="302"/>
      <c r="C41" s="299"/>
      <c r="D41" s="25" t="s">
        <v>3833</v>
      </c>
      <c r="E41" s="26" t="s">
        <v>3860</v>
      </c>
    </row>
    <row r="42" spans="2:5">
      <c r="B42" s="302"/>
      <c r="C42" s="299"/>
      <c r="D42" s="25" t="s">
        <v>3835</v>
      </c>
      <c r="E42" s="26" t="s">
        <v>3861</v>
      </c>
    </row>
    <row r="43" spans="2:5">
      <c r="B43" s="309"/>
      <c r="C43" s="304"/>
      <c r="D43" s="27" t="s">
        <v>3862</v>
      </c>
      <c r="E43" s="28" t="s">
        <v>3863</v>
      </c>
    </row>
    <row r="44" spans="2:5">
      <c r="B44" s="301" t="s">
        <v>3864</v>
      </c>
      <c r="C44" s="298" t="s">
        <v>3865</v>
      </c>
      <c r="D44" s="13" t="s">
        <v>3796</v>
      </c>
      <c r="E44" s="14" t="s">
        <v>3830</v>
      </c>
    </row>
    <row r="45" spans="2:5">
      <c r="B45" s="302"/>
      <c r="C45" s="299"/>
      <c r="D45" s="25" t="s">
        <v>3798</v>
      </c>
      <c r="E45" s="26" t="s">
        <v>3866</v>
      </c>
    </row>
    <row r="46" spans="2:5">
      <c r="B46" s="302"/>
      <c r="C46" s="299"/>
      <c r="D46" s="25" t="s">
        <v>3800</v>
      </c>
      <c r="E46" s="26" t="s">
        <v>3867</v>
      </c>
    </row>
    <row r="47" spans="2:5">
      <c r="B47" s="309"/>
      <c r="C47" s="304"/>
      <c r="D47" s="27" t="s">
        <v>3868</v>
      </c>
      <c r="E47" s="28" t="s">
        <v>3869</v>
      </c>
    </row>
    <row r="48" spans="2:5">
      <c r="B48" s="301" t="s">
        <v>3870</v>
      </c>
      <c r="C48" s="298" t="s">
        <v>3871</v>
      </c>
      <c r="D48" s="29" t="s">
        <v>3798</v>
      </c>
      <c r="E48" s="30" t="s">
        <v>3872</v>
      </c>
    </row>
    <row r="49" spans="2:5">
      <c r="B49" s="309"/>
      <c r="C49" s="304"/>
      <c r="D49" s="27" t="s">
        <v>3800</v>
      </c>
      <c r="E49" s="28" t="s">
        <v>3873</v>
      </c>
    </row>
    <row r="50" spans="2:5">
      <c r="B50" s="301" t="s">
        <v>3874</v>
      </c>
      <c r="C50" s="298" t="s">
        <v>3875</v>
      </c>
      <c r="D50" s="13">
        <v>0</v>
      </c>
      <c r="E50" s="14" t="s">
        <v>3825</v>
      </c>
    </row>
    <row r="51" spans="2:5">
      <c r="B51" s="302"/>
      <c r="C51" s="299"/>
      <c r="D51" s="25">
        <v>1</v>
      </c>
      <c r="E51" s="26" t="s">
        <v>3876</v>
      </c>
    </row>
    <row r="52" spans="2:5">
      <c r="B52" s="309"/>
      <c r="C52" s="304"/>
      <c r="D52" s="27">
        <v>2</v>
      </c>
      <c r="E52" s="28" t="s">
        <v>3877</v>
      </c>
    </row>
    <row r="53" spans="2:5">
      <c r="B53" s="301" t="s">
        <v>3878</v>
      </c>
      <c r="C53" s="298" t="s">
        <v>3879</v>
      </c>
      <c r="D53" s="29" t="s">
        <v>3798</v>
      </c>
      <c r="E53" s="30" t="s">
        <v>3880</v>
      </c>
    </row>
    <row r="54" spans="2:5">
      <c r="B54" s="302"/>
      <c r="C54" s="299"/>
      <c r="D54" s="25" t="s">
        <v>3800</v>
      </c>
      <c r="E54" s="26" t="s">
        <v>3881</v>
      </c>
    </row>
    <row r="55" spans="2:5">
      <c r="B55" s="309"/>
      <c r="C55" s="304"/>
      <c r="D55" s="27" t="s">
        <v>3821</v>
      </c>
      <c r="E55" s="28" t="s">
        <v>3882</v>
      </c>
    </row>
    <row r="56" spans="2:5">
      <c r="B56" s="310" t="s">
        <v>3883</v>
      </c>
      <c r="C56" s="308" t="s">
        <v>363</v>
      </c>
      <c r="D56" s="29" t="s">
        <v>3884</v>
      </c>
      <c r="E56" s="30" t="s">
        <v>3885</v>
      </c>
    </row>
    <row r="57" spans="2:5">
      <c r="B57" s="310"/>
      <c r="C57" s="308"/>
      <c r="D57" s="25" t="s">
        <v>3886</v>
      </c>
      <c r="E57" s="26" t="s">
        <v>3887</v>
      </c>
    </row>
    <row r="58" spans="2:5">
      <c r="B58" s="310"/>
      <c r="C58" s="308"/>
      <c r="D58" s="25" t="s">
        <v>3888</v>
      </c>
      <c r="E58" s="26" t="s">
        <v>3889</v>
      </c>
    </row>
    <row r="59" spans="2:5">
      <c r="B59" s="310"/>
      <c r="C59" s="308"/>
      <c r="D59" s="25" t="s">
        <v>3890</v>
      </c>
      <c r="E59" s="26" t="s">
        <v>3891</v>
      </c>
    </row>
    <row r="60" spans="2:5">
      <c r="B60" s="310"/>
      <c r="C60" s="308"/>
      <c r="D60" s="25" t="s">
        <v>3892</v>
      </c>
      <c r="E60" s="26" t="s">
        <v>3893</v>
      </c>
    </row>
    <row r="61" spans="2:5">
      <c r="B61" s="310"/>
      <c r="C61" s="308"/>
      <c r="D61" s="27" t="s">
        <v>3894</v>
      </c>
      <c r="E61" s="28" t="s">
        <v>3895</v>
      </c>
    </row>
    <row r="62" spans="2:5" s="2" customFormat="1" ht="15" customHeight="1">
      <c r="B62" s="310" t="s">
        <v>3896</v>
      </c>
      <c r="C62" s="308" t="s">
        <v>3897</v>
      </c>
      <c r="D62" s="29" t="s">
        <v>3898</v>
      </c>
      <c r="E62" s="30" t="s">
        <v>190</v>
      </c>
    </row>
    <row r="63" spans="2:5" s="2" customFormat="1" ht="15" customHeight="1">
      <c r="B63" s="310"/>
      <c r="C63" s="308"/>
      <c r="D63" s="25" t="s">
        <v>3899</v>
      </c>
      <c r="E63" s="26" t="s">
        <v>191</v>
      </c>
    </row>
    <row r="64" spans="2:5" s="2" customFormat="1" ht="15" customHeight="1">
      <c r="B64" s="310"/>
      <c r="C64" s="308"/>
      <c r="D64" s="25" t="s">
        <v>3900</v>
      </c>
      <c r="E64" s="26" t="s">
        <v>3901</v>
      </c>
    </row>
    <row r="65" spans="2:5" s="2" customFormat="1" ht="15" customHeight="1">
      <c r="B65" s="310"/>
      <c r="C65" s="308"/>
      <c r="D65" s="25" t="s">
        <v>3821</v>
      </c>
      <c r="E65" s="26" t="s">
        <v>3902</v>
      </c>
    </row>
    <row r="66" spans="2:5" s="2" customFormat="1" ht="15" customHeight="1">
      <c r="B66" s="310"/>
      <c r="C66" s="308"/>
      <c r="D66" s="25" t="s">
        <v>3903</v>
      </c>
      <c r="E66" s="26" t="s">
        <v>3727</v>
      </c>
    </row>
    <row r="67" spans="2:5" s="2" customFormat="1" ht="15" customHeight="1">
      <c r="B67" s="310"/>
      <c r="C67" s="308"/>
      <c r="D67" s="25" t="s">
        <v>3904</v>
      </c>
      <c r="E67" s="26" t="s">
        <v>3905</v>
      </c>
    </row>
    <row r="68" spans="2:5" s="2" customFormat="1" ht="15" customHeight="1">
      <c r="B68" s="310"/>
      <c r="C68" s="308"/>
      <c r="D68" s="25" t="s">
        <v>3906</v>
      </c>
      <c r="E68" s="26" t="s">
        <v>3907</v>
      </c>
    </row>
    <row r="69" spans="2:5" s="2" customFormat="1" ht="15" customHeight="1">
      <c r="B69" s="310"/>
      <c r="C69" s="308"/>
      <c r="D69" s="25" t="s">
        <v>3908</v>
      </c>
      <c r="E69" s="26" t="s">
        <v>3909</v>
      </c>
    </row>
    <row r="70" spans="2:5" s="2" customFormat="1" ht="15" customHeight="1">
      <c r="B70" s="310"/>
      <c r="C70" s="308"/>
      <c r="D70" s="25" t="s">
        <v>3910</v>
      </c>
      <c r="E70" s="26" t="s">
        <v>3911</v>
      </c>
    </row>
    <row r="71" spans="2:5" s="2" customFormat="1" ht="15" customHeight="1">
      <c r="B71" s="310"/>
      <c r="C71" s="308"/>
      <c r="D71" s="25" t="s">
        <v>3912</v>
      </c>
      <c r="E71" s="26" t="s">
        <v>3913</v>
      </c>
    </row>
    <row r="72" spans="2:5" s="2" customFormat="1" ht="15" customHeight="1">
      <c r="B72" s="310"/>
      <c r="C72" s="308"/>
      <c r="D72" s="25" t="s">
        <v>3914</v>
      </c>
      <c r="E72" s="26" t="s">
        <v>3915</v>
      </c>
    </row>
    <row r="73" spans="2:5" s="2" customFormat="1" ht="15" customHeight="1">
      <c r="B73" s="310"/>
      <c r="C73" s="308"/>
      <c r="D73" s="25" t="s">
        <v>3916</v>
      </c>
      <c r="E73" s="26" t="s">
        <v>3917</v>
      </c>
    </row>
    <row r="74" spans="2:5" s="2" customFormat="1" ht="15" customHeight="1">
      <c r="B74" s="310"/>
      <c r="C74" s="308"/>
      <c r="D74" s="25" t="s">
        <v>3918</v>
      </c>
      <c r="E74" s="26" t="s">
        <v>3919</v>
      </c>
    </row>
    <row r="75" spans="2:5" s="2" customFormat="1" ht="15" customHeight="1">
      <c r="B75" s="310"/>
      <c r="C75" s="308"/>
      <c r="D75" s="25" t="s">
        <v>3920</v>
      </c>
      <c r="E75" s="26" t="s">
        <v>3921</v>
      </c>
    </row>
    <row r="76" spans="2:5" s="2" customFormat="1" ht="15" customHeight="1">
      <c r="B76" s="310"/>
      <c r="C76" s="308"/>
      <c r="D76" s="25"/>
      <c r="E76" s="26" t="s">
        <v>3922</v>
      </c>
    </row>
    <row r="77" spans="2:5" s="2" customFormat="1" ht="15" customHeight="1">
      <c r="B77" s="310"/>
      <c r="C77" s="308"/>
      <c r="D77" s="25"/>
      <c r="E77" s="26" t="s">
        <v>3923</v>
      </c>
    </row>
    <row r="78" spans="2:5" s="2" customFormat="1" ht="15" customHeight="1">
      <c r="B78" s="310"/>
      <c r="C78" s="308"/>
      <c r="D78" s="25"/>
      <c r="E78" s="26" t="s">
        <v>3924</v>
      </c>
    </row>
    <row r="79" spans="2:5" s="2" customFormat="1" ht="15" customHeight="1">
      <c r="B79" s="301"/>
      <c r="C79" s="298"/>
      <c r="D79" s="32"/>
      <c r="E79" s="31" t="s">
        <v>3925</v>
      </c>
    </row>
    <row r="80" spans="2:5">
      <c r="B80" s="301" t="s">
        <v>3926</v>
      </c>
      <c r="C80" s="298" t="s">
        <v>3927</v>
      </c>
      <c r="D80" s="33">
        <v>0</v>
      </c>
      <c r="E80" s="34" t="s">
        <v>3830</v>
      </c>
    </row>
    <row r="81" spans="2:5">
      <c r="B81" s="302"/>
      <c r="C81" s="299"/>
      <c r="D81" s="25">
        <v>1</v>
      </c>
      <c r="E81" s="26" t="s">
        <v>3928</v>
      </c>
    </row>
    <row r="82" spans="2:5">
      <c r="B82" s="309"/>
      <c r="C82" s="304"/>
      <c r="D82" s="27">
        <v>2</v>
      </c>
      <c r="E82" s="28" t="s">
        <v>3929</v>
      </c>
    </row>
    <row r="83" spans="2:5">
      <c r="B83" s="301" t="s">
        <v>3930</v>
      </c>
      <c r="C83" s="298" t="s">
        <v>3931</v>
      </c>
      <c r="D83" s="13">
        <v>0</v>
      </c>
      <c r="E83" s="14" t="s">
        <v>3932</v>
      </c>
    </row>
    <row r="84" spans="2:5">
      <c r="B84" s="302"/>
      <c r="C84" s="299"/>
      <c r="D84" s="25">
        <v>1</v>
      </c>
      <c r="E84" s="26" t="s">
        <v>3933</v>
      </c>
    </row>
    <row r="85" spans="2:5">
      <c r="B85" s="302"/>
      <c r="C85" s="299"/>
      <c r="D85" s="25" t="s">
        <v>3800</v>
      </c>
      <c r="E85" s="26" t="s">
        <v>3934</v>
      </c>
    </row>
    <row r="86" spans="2:5">
      <c r="B86" s="303"/>
      <c r="C86" s="300"/>
      <c r="D86" s="35" t="s">
        <v>3816</v>
      </c>
      <c r="E86" s="36" t="s">
        <v>3935</v>
      </c>
    </row>
  </sheetData>
  <mergeCells count="32">
    <mergeCell ref="B3:B10"/>
    <mergeCell ref="B11:B13"/>
    <mergeCell ref="B14:B16"/>
    <mergeCell ref="B17:B19"/>
    <mergeCell ref="B20:B24"/>
    <mergeCell ref="B25:B29"/>
    <mergeCell ref="B30:B34"/>
    <mergeCell ref="B35:B43"/>
    <mergeCell ref="B44:B47"/>
    <mergeCell ref="B48:B49"/>
    <mergeCell ref="C80:C82"/>
    <mergeCell ref="B50:B52"/>
    <mergeCell ref="B53:B55"/>
    <mergeCell ref="B56:B61"/>
    <mergeCell ref="B62:B79"/>
    <mergeCell ref="B80:B82"/>
    <mergeCell ref="C83:C86"/>
    <mergeCell ref="B83:B86"/>
    <mergeCell ref="C3:C10"/>
    <mergeCell ref="C11:C13"/>
    <mergeCell ref="C14:C16"/>
    <mergeCell ref="C17:C19"/>
    <mergeCell ref="C20:C24"/>
    <mergeCell ref="C25:C29"/>
    <mergeCell ref="C30:C34"/>
    <mergeCell ref="C35:C43"/>
    <mergeCell ref="C44:C47"/>
    <mergeCell ref="C48:C49"/>
    <mergeCell ref="C50:C52"/>
    <mergeCell ref="C53:C55"/>
    <mergeCell ref="C56:C61"/>
    <mergeCell ref="C62:C79"/>
  </mergeCells>
  <phoneticPr fontId="19" type="noConversion"/>
  <pageMargins left="0.69930555555555596" right="0.69930555555555596" top="0.75" bottom="0.75" header="0.3" footer="0.3"/>
  <pageSetup paperSize="9" orientation="portrait"/>
  <headerFooter alignWithMargins="0"/>
</worksheet>
</file>

<file path=xl/worksheets/sheet8.xml><?xml version="1.0" encoding="utf-8"?>
<worksheet xmlns="http://schemas.openxmlformats.org/spreadsheetml/2006/main" xmlns:r="http://schemas.openxmlformats.org/officeDocument/2006/relationships">
  <dimension ref="B1:D9"/>
  <sheetViews>
    <sheetView workbookViewId="0">
      <selection activeCell="C9" sqref="C9"/>
    </sheetView>
  </sheetViews>
  <sheetFormatPr defaultColWidth="9" defaultRowHeight="13.5"/>
  <cols>
    <col min="1" max="1" width="1" style="1" customWidth="1"/>
    <col min="2" max="2" width="12.75" style="2" customWidth="1"/>
    <col min="3" max="3" width="13.625" style="2" customWidth="1"/>
    <col min="4" max="4" width="28.625" style="2" customWidth="1"/>
    <col min="5" max="16384" width="9" style="1"/>
  </cols>
  <sheetData>
    <row r="1" spans="2:4" ht="6.75" customHeight="1"/>
    <row r="2" spans="2:4">
      <c r="B2" s="3" t="s">
        <v>3936</v>
      </c>
      <c r="C2" s="4" t="s">
        <v>3937</v>
      </c>
      <c r="D2" s="4" t="s">
        <v>3938</v>
      </c>
    </row>
    <row r="3" spans="2:4">
      <c r="B3" s="5" t="s">
        <v>3884</v>
      </c>
      <c r="C3" s="6" t="s">
        <v>3939</v>
      </c>
      <c r="D3" s="6" t="s">
        <v>3940</v>
      </c>
    </row>
    <row r="4" spans="2:4">
      <c r="B4" s="5" t="s">
        <v>3888</v>
      </c>
      <c r="C4" s="6" t="s">
        <v>3889</v>
      </c>
      <c r="D4" s="6" t="s">
        <v>3941</v>
      </c>
    </row>
    <row r="5" spans="2:4">
      <c r="B5" s="5" t="s">
        <v>3886</v>
      </c>
      <c r="C5" s="6" t="s">
        <v>3942</v>
      </c>
      <c r="D5" s="6" t="s">
        <v>3943</v>
      </c>
    </row>
    <row r="6" spans="2:4">
      <c r="B6" s="5" t="s">
        <v>3890</v>
      </c>
      <c r="C6" s="6" t="s">
        <v>3891</v>
      </c>
      <c r="D6" s="6" t="s">
        <v>3944</v>
      </c>
    </row>
    <row r="7" spans="2:4">
      <c r="B7" s="7" t="s">
        <v>3892</v>
      </c>
      <c r="C7" s="8" t="s">
        <v>3945</v>
      </c>
      <c r="D7" s="8" t="s">
        <v>3946</v>
      </c>
    </row>
    <row r="8" spans="2:4">
      <c r="B8" s="5" t="s">
        <v>3894</v>
      </c>
      <c r="C8" s="6" t="s">
        <v>3947</v>
      </c>
      <c r="D8" s="6" t="s">
        <v>3948</v>
      </c>
    </row>
    <row r="9" spans="2:4">
      <c r="B9" s="9" t="s">
        <v>3949</v>
      </c>
      <c r="C9" s="225" t="s">
        <v>3950</v>
      </c>
      <c r="D9" s="6" t="s">
        <v>3951</v>
      </c>
    </row>
  </sheetData>
  <phoneticPr fontId="19" type="noConversion"/>
  <pageMargins left="0.69930555555555596" right="0.69930555555555596"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封面</vt:lpstr>
      <vt:lpstr>修订说明</vt:lpstr>
      <vt:lpstr>功能索引</vt:lpstr>
      <vt:lpstr>接口信息</vt:lpstr>
      <vt:lpstr>基本字段定义</vt:lpstr>
      <vt:lpstr>交易类别</vt:lpstr>
      <vt:lpstr>数据字典</vt:lpstr>
      <vt:lpstr>市场参数</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zxj</dc:creator>
  <cp:lastModifiedBy>lhz</cp:lastModifiedBy>
  <dcterms:created xsi:type="dcterms:W3CDTF">2014-05-29T09:32:00Z</dcterms:created>
  <dcterms:modified xsi:type="dcterms:W3CDTF">2014-08-06T03:29:28Z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2052-9.1.0.4764</vt:lpwstr>
  </property>
</Properties>
</file>